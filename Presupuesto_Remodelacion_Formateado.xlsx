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Remodel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00000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</patternFill>
    </fill>
    <fill>
      <patternFill patternType="solid">
        <fgColor rgb="00F9FAFC"/>
      </patternFill>
    </fill>
    <fill>
      <patternFill patternType="solid">
        <fgColor rgb="00D5E1F2"/>
      </patternFill>
    </fill>
    <fill>
      <patternFill patternType="solid">
        <fgColor rgb="00FFE6B3"/>
      </patternFill>
    </fill>
    <fill>
      <patternFill patternType="solid">
        <fgColor rgb="001B365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5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4" fillId="4" borderId="1" pivotButton="0" quotePrefix="0" xfId="0"/>
    <xf numFmtId="164" fontId="5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4" borderId="1" pivotButton="0" quotePrefix="0" xfId="0"/>
    <xf numFmtId="0" fontId="6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6" borderId="1" pivotButton="0" quotePrefix="0" xfId="0"/>
    <xf numFmtId="16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7" fillId="7" borderId="2" pivotButton="0" quotePrefix="0" xfId="0"/>
    <xf numFmtId="164" fontId="7" fillId="7" borderId="2" applyAlignment="1" pivotButton="0" quotePrefix="0" xfId="0">
      <alignment horizontal="right" vertical="center"/>
    </xf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85" customWidth="1" min="5" max="5"/>
  </cols>
  <sheetData>
    <row r="1">
      <c r="A1" s="1" t="inlineStr">
        <is>
          <t>PRESUPUESTO DETALLADO DE REMODELACIÓN Y TRABAJOS EXTRAS</t>
        </is>
      </c>
    </row>
    <row r="2">
      <c r="A2" s="2" t="inlineStr">
        <is>
          <t>Desglose comparativo de precios, materiales, mano de obra y especificaciones técnicas (COP)</t>
        </is>
      </c>
    </row>
    <row r="4" ht="32" customHeight="1">
      <c r="A4" s="3" t="inlineStr">
        <is>
          <t>Concepto (Nombre del Trabajo)</t>
        </is>
      </c>
      <c r="B4" s="3" t="inlineStr">
        <is>
          <t>Rango Inferior
(Barato / Económico)</t>
        </is>
      </c>
      <c r="C4" s="3" t="inlineStr">
        <is>
          <t>Rango Medio
(Justo / Mercado)</t>
        </is>
      </c>
      <c r="D4" s="3" t="inlineStr">
        <is>
          <t>Rango Superior
(Precio Inflado)</t>
        </is>
      </c>
      <c r="E4" s="3" t="inlineStr">
        <is>
          <t>Detalle del Trabajo
(Materiales y Proceso de Mano de Obra)</t>
        </is>
      </c>
    </row>
    <row r="5" ht="55" customHeight="1">
      <c r="A5" s="4" t="inlineStr">
        <is>
          <t>Caso 1: 5 Baños Nuevos + Remodelaciones</t>
        </is>
      </c>
      <c r="B5" s="5" t="n">
        <v>34150000</v>
      </c>
      <c r="C5" s="6" t="n">
        <v>43670000</v>
      </c>
      <c r="D5" s="5" t="n">
        <v>59000000</v>
      </c>
      <c r="E5" s="7" t="inlineStr">
        <is>
          <t>MATERIALES: Red hidrosanitaria PVC agua fría/caliente/reventilación, enchapes cerámicos (18m² por baño), 7 divisiones en vidrio templado 6mm, sanitarios, lavamanos con mueble, griferías y puertas.
MANO DE OBRA: Regatado e instalación de tuberías, impermeabilización de duchas, enchapado, fraguado, montaje de aparatos sanitarios, griferías, divisiones y carpintería.</t>
        </is>
      </c>
    </row>
    <row r="6" ht="55" customHeight="1">
      <c r="A6" s="8" t="inlineStr">
        <is>
          <t>Caso 2: 5 Cocinas Integrales (1.20m)</t>
        </is>
      </c>
      <c r="B6" s="9" t="n">
        <v>9900000</v>
      </c>
      <c r="C6" s="10" t="n">
        <v>14950000</v>
      </c>
      <c r="D6" s="9" t="n">
        <v>23500000</v>
      </c>
      <c r="E6" s="11" t="inlineStr">
        <is>
          <t>MATERIALES: 5 muebles integrales (aéreo y bajo) de 1.20m en RH, pocetas inox, grifería, mangueras/conexiones de gas flexible, estufas empotrables y campanas extractoras.
MANO DE OBRA: Armado y nivelación de muebles, adecuación de acometidas hidráulicas y de gas, empotrado de estufas, conexión y prueba de hermeticidad de campanas.</t>
        </is>
      </c>
    </row>
    <row r="7" ht="55" customHeight="1">
      <c r="A7" s="4" t="inlineStr">
        <is>
          <t>Caso 3: Acabados Generales</t>
        </is>
      </c>
      <c r="B7" s="5" t="n">
        <v>5950000</v>
      </c>
      <c r="C7" s="6" t="n">
        <v>9100000</v>
      </c>
      <c r="D7" s="5" t="n">
        <v>14350000</v>
      </c>
      <c r="E7" s="7" t="inlineStr">
        <is>
          <t>MATERIALES: Pintura tipo 1 lavable, estuco plástico, lijas, placas de Drywall 8mm/12mm, perfiles metálicos, resanes de fachada y punto de gas.
MANO DE OBRA: Preparación y lijado de muros, aplicación de 3 manos de pintura, armado de estructura y muros en Drywall, resane exterior y mantenimiento en terraza.</t>
        </is>
      </c>
    </row>
    <row r="8" ht="55" customHeight="1">
      <c r="A8" s="8" t="inlineStr">
        <is>
          <t>Extra 1: Reparación Piso Terraza (2 m²)</t>
        </is>
      </c>
      <c r="B8" s="9" t="n">
        <v>240000</v>
      </c>
      <c r="C8" s="10" t="n">
        <v>440000</v>
      </c>
      <c r="D8" s="9" t="n">
        <v>760000</v>
      </c>
      <c r="E8" s="11" t="inlineStr">
        <is>
          <t>MATERIALES: Manto/solución impermeabilizante de alto tráfico, mortero de nivelación, cerámica exterior y boquilla hidrorepelente.
MANO DE OBRA: Demolición de baldosa fracturada, retirado de escombro, aplicación de capa impermeabilizante, vaciado de mortero e instalación de cerámica.</t>
        </is>
      </c>
    </row>
    <row r="9" ht="55" customHeight="1">
      <c r="A9" s="4" t="inlineStr">
        <is>
          <t>Extra 2: Puertas, Mueble y 7 Chapas</t>
        </is>
      </c>
      <c r="B9" s="5" t="n">
        <v>885000</v>
      </c>
      <c r="C9" s="6" t="n">
        <v>1355000</v>
      </c>
      <c r="D9" s="5" t="n">
        <v>2250000</v>
      </c>
      <c r="E9" s="7" t="inlineStr">
        <is>
          <t>MATERIALES: 7 chapas/cerraduras de manija moderna tipo pomo/palanca, masilla para madera, lijas y herrajes.
MANO DE OBRA: Cepillado y ajuste de hojas de madera desalineadas, reparación estructural de mueble de madera, desmonte de chapas antiguas e instalación de las 7 nuevas.</t>
        </is>
      </c>
    </row>
    <row r="10" ht="55" customHeight="1">
      <c r="A10" s="8" t="inlineStr">
        <is>
          <t>Extra 3: Estructura Metálica + Tanque 500L</t>
        </is>
      </c>
      <c r="B10" s="9" t="n">
        <v>1080000</v>
      </c>
      <c r="C10" s="10" t="n">
        <v>1750000</v>
      </c>
      <c r="D10" s="9" t="n">
        <v>2850000</v>
      </c>
      <c r="E10" s="11" t="inlineStr">
        <is>
          <t>MATERIALES: Perfiles de acero anticorrosivo, tanque de reserva de 500L, tubería PVC presión, válvulas de corte y flotador.
MANO DE OBRA: Corte, soldadura y armado de base metálica, fijación e instalación del tanque, trazado de tubería de alimentación y empalme a red hidráulica.</t>
        </is>
      </c>
    </row>
    <row r="11" ht="55" customHeight="1">
      <c r="A11" s="4" t="inlineStr">
        <is>
          <t>Extra 4: Mantenimiento Marquesina (9 m²)</t>
        </is>
      </c>
      <c r="B11" s="5" t="n">
        <v>200000</v>
      </c>
      <c r="C11" s="6" t="n">
        <v>350000</v>
      </c>
      <c r="D11" s="5" t="n">
        <v>550000</v>
      </c>
      <c r="E11" s="7" t="inlineStr">
        <is>
          <t>MATERIALES: Desengrasante industrial, limpiador de juntas, silicona neutra de alta adherencia e intemperie.
MANO DE OBRA: Lavado profundo de estructura y vidrios/policarbonato, retiro de silicona cristalizada/viejas juntas y resellado perimetral e interuniones.</t>
        </is>
      </c>
    </row>
    <row r="12" ht="55" customHeight="1">
      <c r="A12" s="8" t="inlineStr">
        <is>
          <t>Extra 5: Cambio de 4 Vidrios Rotos</t>
        </is>
      </c>
      <c r="B12" s="9" t="n">
        <v>180000</v>
      </c>
      <c r="C12" s="10" t="n">
        <v>300000</v>
      </c>
      <c r="D12" s="9" t="n">
        <v>520000</v>
      </c>
      <c r="E12" s="11" t="inlineStr">
        <is>
          <t>MATERIALES: 4 láminas de vidrio transparente (4mm a 5mm) cortadas a medida, silicona de sellado y empaques.
MANO DE OBRA: Retiro con cuidado de junquillos y esquirlas de vidrio roto, limpieza de marcos, asentado de cristales nuevos y sellado perimetral.</t>
        </is>
      </c>
    </row>
    <row r="13" ht="55" customHeight="1">
      <c r="A13" s="4" t="inlineStr">
        <is>
          <t>Extra 6: 2 Chapas Yale Puerta Principal</t>
        </is>
      </c>
      <c r="B13" s="5" t="n">
        <v>440000</v>
      </c>
      <c r="C13" s="6" t="n">
        <v>610000</v>
      </c>
      <c r="D13" s="5" t="n">
        <v>850000</v>
      </c>
      <c r="E13" s="7" t="inlineStr">
        <is>
          <t>MATERIALES: 2 cerraduras de seguridad de sobreponer tipo Yale (1 con sistema de alarma por fuerza/vibración) y tornillería pesada.
MANO DE OBRA: Perforación, avellanado y calado en puerta principal de madera/metal, montaje de cilindros, escudos de seguridad y prueba de mecanismos.</t>
        </is>
      </c>
    </row>
    <row r="14" ht="55" customHeight="1">
      <c r="A14" s="8" t="inlineStr">
        <is>
          <t>Extra 7: Impermeabilización Manto a Calor</t>
        </is>
      </c>
      <c r="B14" s="9" t="n">
        <v>380000</v>
      </c>
      <c r="C14" s="10" t="n">
        <v>530000</v>
      </c>
      <c r="D14" s="9" t="n">
        <v>800000</v>
      </c>
      <c r="E14" s="11" t="inlineStr">
        <is>
          <t>MATERIALES: Emulsión asfáltica de imprimación, manto asfáltico de 3mm/4mm y gas propano para soplete.
MANO DE OBRA: Imprimación de la superficie en canaleta/muro, calentamiento a llama de soplete y traslape de manto asfáltico sellado al vacío.</t>
        </is>
      </c>
    </row>
    <row r="15" ht="55" customHeight="1">
      <c r="A15" s="4" t="inlineStr">
        <is>
          <t>Extra 8: Cielo Raso PVC (24 m² - 2 Hab)</t>
        </is>
      </c>
      <c r="B15" s="5" t="n">
        <v>1080000</v>
      </c>
      <c r="C15" s="6" t="n">
        <v>1560000</v>
      </c>
      <c r="D15" s="5" t="n">
        <v>2400000</v>
      </c>
      <c r="E15" s="7" t="inlineStr">
        <is>
          <t>MATERIALES: Tablilla PVC machihembrada, perfilería galvanizada (omega/ángulo), cornisas y fijaciones.
MANO DE OBRA: Trazado de nivel con manguera/láser, armado de estructura colgada, ensamble de tablillas PVC y remate perimetral con cornisas.</t>
        </is>
      </c>
    </row>
    <row r="16" ht="55" customHeight="1">
      <c r="A16" s="8" t="inlineStr">
        <is>
          <t>Extra 9: Reubicación Eléctrica (24 Puntos)</t>
        </is>
      </c>
      <c r="B16" s="9" t="n">
        <v>1560000</v>
      </c>
      <c r="C16" s="10" t="n">
        <v>2280000</v>
      </c>
      <c r="D16" s="9" t="n">
        <v>3600000</v>
      </c>
      <c r="E16" s="11" t="inlineStr">
        <is>
          <t>MATERIALES: 45m tubería PVC conduit 1/2", cajas 4x2, cable de cobre THHN #12 AWG, tomas dobles con placa y mortero/estuco.
MANO DE OBRA: Regatado/picado en muro, tendido de tubería, cableado de circuitos, conexión de tomas y resane completo de regatas.</t>
        </is>
      </c>
    </row>
    <row r="17" ht="55" customHeight="1">
      <c r="A17" s="4" t="inlineStr">
        <is>
          <t>Extra 10: 15 Luminarias LED Sobreponer</t>
        </is>
      </c>
      <c r="B17" s="5" t="n">
        <v>525000</v>
      </c>
      <c r="C17" s="6" t="n">
        <v>750000</v>
      </c>
      <c r="D17" s="5" t="n">
        <v>1275000</v>
      </c>
      <c r="E17" s="7" t="inlineStr">
        <is>
          <t>MATERIALES: 15 plafones LED de sobreponer (12W-24W) con drivers integrados, chazos y conectores eléctricos.
MANO DE OBRA: Desmonte de rosetas antiguas, chazado de platinas a placa/cielo raso, empalme eléctrico y montaje estético de lámparas.</t>
        </is>
      </c>
    </row>
    <row r="18" ht="55" customHeight="1">
      <c r="A18" s="8" t="inlineStr">
        <is>
          <t>Extra 11: Independización por Sondeo</t>
        </is>
      </c>
      <c r="B18" s="9" t="n">
        <v>600000</v>
      </c>
      <c r="C18" s="10" t="n">
        <v>950000</v>
      </c>
      <c r="D18" s="9" t="n">
        <v>1500000</v>
      </c>
      <c r="E18" s="11" t="inlineStr">
        <is>
          <t>MATERIALES: Cinta aislante vulcanizada, guía sonda de fontanero/electricista, lubricante de cables y marcadores.
MANO DE OBRA: Mapeo de circuitos, retiro de líneas cruzadas entre P1 y P2, sondeo mediante guía en tuberías empotradas y recableado e independización en tablero.</t>
        </is>
      </c>
    </row>
    <row r="19" ht="55" customHeight="1">
      <c r="A19" s="4" t="inlineStr">
        <is>
          <t>Extra 12: Marco + Puerta Habitación P1</t>
        </is>
      </c>
      <c r="B19" s="5" t="n">
        <v>320000</v>
      </c>
      <c r="C19" s="6" t="n">
        <v>480000</v>
      </c>
      <c r="D19" s="5" t="n">
        <v>750000</v>
      </c>
      <c r="E19" s="7" t="inlineStr">
        <is>
          <t>MATERIALES: Marco en madera ajustado, hoja entamborada triplex con moldura, 3 bisagras 3.5", chapa de pomo y tapaluces.
MANO DE OBRA: Presentación e instalación de marco a plomo, fijación de bisagras, colgado de hoja de puerta, ajuste de chapa y tapaluces.</t>
        </is>
      </c>
    </row>
    <row r="20" ht="55" customHeight="1">
      <c r="A20" s="8" t="inlineStr">
        <is>
          <t>Extra 13: Red 220V Bifásica (7 Duchas)</t>
        </is>
      </c>
      <c r="B20" s="9" t="n">
        <v>3490000</v>
      </c>
      <c r="C20" s="10" t="n">
        <v>4310000</v>
      </c>
      <c r="D20" s="9" t="n">
        <v>6050000</v>
      </c>
      <c r="E20" s="11" t="inlineStr">
        <is>
          <t>MATERIALES: 450m cable THHN #10 AWG, 150m tubería conduit 3/4", 7 breakers bifásicos (2x30A/40A) y caja subdistribuidora.
MANO DE OBRA: Tendido de 7 circuitos independientes a 220V desde tablero principal, peinado de caja de brekers y conexión directa a duchas.</t>
        </is>
      </c>
    </row>
    <row r="21" ht="55" customHeight="1">
      <c r="A21" s="4" t="inlineStr">
        <is>
          <t>Extra 14: Cambio de Piso (18 m²)</t>
        </is>
      </c>
      <c r="B21" s="5" t="n">
        <v>1260000</v>
      </c>
      <c r="C21" s="6" t="n">
        <v>1890000</v>
      </c>
      <c r="D21" s="5" t="n">
        <v>2880000</v>
      </c>
      <c r="E21" s="7" t="inlineStr">
        <is>
          <t>MATERIALES: Cerámica de alto tráfico, pegante cerámico (Pegacor), boquilla y guardaescobas.
MANO DE OBRA: Demolición de baldosa previa, alistado y nivelación con mortero, asentado de cerámica con llana dentada, fraguado e instalación de guardaescobas.</t>
        </is>
      </c>
    </row>
    <row r="22" ht="24" customHeight="1">
      <c r="A22" s="12" t="inlineStr">
        <is>
          <t>SUBTOTAL CASOS BASE</t>
        </is>
      </c>
      <c r="B22" s="13">
        <f>SUM(B5:B7)</f>
        <v/>
      </c>
      <c r="C22" s="13">
        <f>SUM(C5:C7)</f>
        <v/>
      </c>
      <c r="D22" s="13">
        <f>SUM(D5:D7)</f>
        <v/>
      </c>
      <c r="E22" s="14" t="n"/>
    </row>
    <row r="23" ht="24" customHeight="1">
      <c r="A23" s="15" t="inlineStr">
        <is>
          <t>SUBTOTAL TRABAJOS EXTRAS</t>
        </is>
      </c>
      <c r="B23" s="16">
        <f>SUM(B8:B21)</f>
        <v/>
      </c>
      <c r="C23" s="16">
        <f>SUM(C8:C21)</f>
        <v/>
      </c>
      <c r="D23" s="16">
        <f>SUM(D8:D21)</f>
        <v/>
      </c>
      <c r="E23" s="17" t="n"/>
    </row>
    <row r="24" ht="30" customHeight="1">
      <c r="A24" s="18" t="inlineStr">
        <is>
          <t>TOTAL GENERAL ACUMULADO</t>
        </is>
      </c>
      <c r="B24" s="19">
        <f>SUM(B5:B21)</f>
        <v/>
      </c>
      <c r="C24" s="19">
        <f>SUM(C5:C21)</f>
        <v/>
      </c>
      <c r="D24" s="19">
        <f>SUM(D5:D21)</f>
        <v/>
      </c>
      <c r="E24" s="20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2026-07-24T22:57:04+00:00Z</dcterms:created>
  <dcterms:modified xmlns:dcterms="http://purl.org/dc/terms/" xmlns:xsi="http://www.w3.org/2001/XMLSchema-instance" xsi:type="dcterms:W3CDTF">2026-07-24T22:57:04+00:00Z</dcterms:modified>
</cp:coreProperties>
</file>