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1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Propuesta" sheetId="2" state="visible" r:id="rId4"/>
    <sheet name="Movimientos" sheetId="3" state="visible" r:id="rId5"/>
    <sheet name="Cuadre" sheetId="4" state="visible" r:id="rId6"/>
    <sheet name="Mobiliario" sheetId="5" state="visible" r:id="rId7"/>
    <sheet name="Préstamo" sheetId="6" state="visible" r:id="rId8"/>
    <sheet name="Registro Mensual" sheetId="7" state="visible" r:id="rId9"/>
    <sheet name="Flujo Proyectado" sheetId="8" state="visible" r:id="rId10"/>
    <sheet name="Escenarios" sheetId="9" state="visible" r:id="rId11"/>
    <sheet name="Comparación" sheetId="10" state="visible" r:id="rId12"/>
    <sheet name="Valoración" sheetId="11" state="visible" r:id="rId13"/>
    <sheet name="Supuestos" sheetId="12" state="visible" r:id="rId14"/>
  </sheets>
  <definedNames>
    <definedName function="false" hidden="false" localSheetId="7" name="_xlnm.Print_Titles" vbProcedure="false">'Flujo Proyectado'!$4:$5</definedName>
    <definedName function="false" hidden="false" localSheetId="4" name="_xlnm.Print_Titles" vbProcedure="false">Mobiliario!$4:$4</definedName>
    <definedName function="false" hidden="false" localSheetId="2" name="_xlnm.Print_Area" vbProcedure="false">Movimientos!$A$1:$N$46</definedName>
    <definedName function="false" hidden="false" localSheetId="2" name="_xlnm.Print_Titles" vbProcedure="false">Movimientos!$5:$5</definedName>
    <definedName function="false" hidden="false" localSheetId="5" name="_xlnm.Print_Titles" vbProcedure="false">Préstamo!$17:$17</definedName>
    <definedName function="false" hidden="false" localSheetId="6" name="_xlnm.Print_Titles" vbProcedure="false">'Registro Mensual'!$5:$5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6" authorId="0">
      <text>
        <r>
          <rPr>
            <sz val="10"/>
            <rFont val="Arial"/>
            <family val="2"/>
          </rPr>
          <t xml:space="preserve">Servicios de sep: se usaron los valores 'actuales' que reportó Felipe. Reemplazar con los recibos reales.</t>
        </r>
      </text>
    </comment>
  </commentList>
</comments>
</file>

<file path=xl/comments1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9" authorId="0">
      <text>
        <r>
          <rPr>
            <sz val="10"/>
            <rFont val="Arial"/>
            <family val="2"/>
          </rPr>
          <t xml:space="preserve">Valor ilustrativo, no es el saldo real</t>
        </r>
      </text>
    </comment>
    <comment ref="C12" authorId="0">
      <text>
        <r>
          <rPr>
            <sz val="10"/>
            <rFont val="Arial"/>
            <family val="2"/>
          </rPr>
          <t xml:space="preserve">Felipe: entre 1.300.000 y 1.500.000. Se usa el punto medio.</t>
        </r>
      </text>
    </comment>
    <comment ref="D12" authorId="0">
      <text>
        <r>
          <rPr>
            <sz val="10"/>
            <rFont val="Arial"/>
            <family val="2"/>
          </rPr>
          <t xml:space="preserve">Supuesto base: abril 2028 (punto medio de 'en 1 o 2 años'). Cambie la fecha si hay más claridad.</t>
        </r>
      </text>
    </comment>
  </commentList>
</comments>
</file>

<file path=xl/sharedStrings.xml><?xml version="1.0" encoding="utf-8"?>
<sst xmlns="http://schemas.openxmlformats.org/spreadsheetml/2006/main" count="754" uniqueCount="543">
  <si>
    <t xml:space="preserve">Casa La Clarita — Rendición de cuentas e inversión</t>
  </si>
  <si>
    <t xml:space="preserve">Preparado por Felipe Fajardo para Jorge Quintero · corte 30 de septiembre de 2026 · cifras en pesos colombianos</t>
  </si>
  <si>
    <t xml:space="preserve">1. ¿Cuánto se ha invertido?</t>
  </si>
  <si>
    <t xml:space="preserve">Contratista principal (contrato $85M + adicionales $29M)</t>
  </si>
  <si>
    <t xml:space="preserve">Adecuación eléctrica y aumento de carga (incluye saldo pendiente)</t>
  </si>
  <si>
    <t xml:space="preserve">Cámaras de seguridad</t>
  </si>
  <si>
    <t xml:space="preserve">Bomba de presión (equipo + instalación)</t>
  </si>
  <si>
    <t xml:space="preserve">Impuesto 4x1000 de transferencias</t>
  </si>
  <si>
    <t xml:space="preserve">Mobiliario habitación 1</t>
  </si>
  <si>
    <t xml:space="preserve">TOTAL INVERTIDO Y COMPROMETIDO</t>
  </si>
  <si>
    <t xml:space="preserve">     Ya pagado</t>
  </si>
  <si>
    <t xml:space="preserve">     Pendiente de pago</t>
  </si>
  <si>
    <t xml:space="preserve">2. ¿De dónde salió el dinero?</t>
  </si>
  <si>
    <t xml:space="preserve">Abuelos – capital propio</t>
  </si>
  <si>
    <t xml:space="preserve">Préstamo mamá</t>
  </si>
  <si>
    <t xml:space="preserve">TC abuelos (cuotas)</t>
  </si>
  <si>
    <t xml:space="preserve">Sobrante del préstamo en la cuenta de la abuela</t>
  </si>
  <si>
    <t xml:space="preserve">3. Lo que falta por invertir (proyectado)</t>
  </si>
  <si>
    <t xml:space="preserve">Mobiliario habitaciones 2 a 7 (estimado)</t>
  </si>
  <si>
    <t xml:space="preserve">Lavandería (lavadora + monedero)</t>
  </si>
  <si>
    <t xml:space="preserve">Menos: venta de objetos almacenados</t>
  </si>
  <si>
    <t xml:space="preserve">Intereses del préstamo de mamá (36 cuotas)</t>
  </si>
  <si>
    <t xml:space="preserve">INVERSIÓN TOTAL A RECUPERAR</t>
  </si>
  <si>
    <t xml:space="preserve">4. ¿Qué va a producir la casa? (casa completa: 7 habitaciones + lavandería)</t>
  </si>
  <si>
    <t xml:space="preserve">Ingreso bruto mensual (arriendos + lavandería)</t>
  </si>
  <si>
    <t xml:space="preserve">Gastos de operación</t>
  </si>
  <si>
    <t xml:space="preserve">Comisión de administración</t>
  </si>
  <si>
    <t xml:space="preserve">Comisión seleccionada (sobre ingreso neto)</t>
  </si>
  <si>
    <t xml:space="preserve">GANANCIA MENSUAL PARA LOS ABUELOS</t>
  </si>
  <si>
    <t xml:space="preserve">Cuota préstamo de mamá (dic 2026 – nov 2029)</t>
  </si>
  <si>
    <t xml:space="preserve">Ganancia mensual mientras se paga el préstamo</t>
  </si>
  <si>
    <t xml:space="preserve">Mientras la hab. 7 sea bodega (6 hab.), mientras se paga el préstamo</t>
  </si>
  <si>
    <t xml:space="preserve">Antes de la remodelación</t>
  </si>
  <si>
    <t xml:space="preserve">5. ¿En cuánto tiempo se recupera?</t>
  </si>
  <si>
    <t xml:space="preserve">Meses para recuperar toda la inversión (desde oct 2026)</t>
  </si>
  <si>
    <t xml:space="preserve">Mes estimado de recuperación total</t>
  </si>
  <si>
    <t xml:space="preserve">Rentabilidad anual de la casa</t>
  </si>
  <si>
    <t xml:space="preserve">vs. CDT a 1 año (promedio del mercado)</t>
  </si>
  <si>
    <t xml:space="preserve">vs. cuenta de ahorros actual</t>
  </si>
  <si>
    <t xml:space="preserve">6. ¿Cuánto podría valer la casa? (referencia, no avalúo)</t>
  </si>
  <si>
    <t xml:space="preserve">Rango bajo</t>
  </si>
  <si>
    <t xml:space="preserve">Rango alto</t>
  </si>
  <si>
    <t xml:space="preserve">Detalle de cada pago en la hoja Movimientos. Supuestos editables en la hoja Supuestos. Celdas amarillas = por confirmar.</t>
  </si>
  <si>
    <t xml:space="preserve">Propuesta: separar la inversión del flujo mensual de la casa</t>
  </si>
  <si>
    <t xml:space="preserve">Preparado por Felipe Fajardo para Jorge Quintero · corte 30 de septiembre de 2026</t>
  </si>
  <si>
    <t xml:space="preserve">1. Lo que pasó en septiembre</t>
  </si>
  <si>
    <t xml:space="preserve">Arriendo cobrado Habitación 1</t>
  </si>
  <si>
    <t xml:space="preserve">Primera cuota de la tarjeta (muebles de la Habitación 1)</t>
  </si>
  <si>
    <t xml:space="preserve">Servicios del mes</t>
  </si>
  <si>
    <t xml:space="preserve">Resultado del mes</t>
  </si>
  <si>
    <t xml:space="preserve">Después de pagar la primera cuota de los muebles y los servicios, el mes cerró en negativo. Desde el segundo mes cada habitación amoblada suma una cuota de ~$850.000. Si cada habitación nueva se amuebla a cuotas y se paga con el arriendo, y desde diciembre además se paga el préstamo de mamá con el mismo arriendo, la casa no alcanza a cubrir sus obligaciones durante el primer año y no deja ganancia para nadie.</t>
  </si>
  <si>
    <t xml:space="preserve">2. El principio: dos cajas separadas</t>
  </si>
  <si>
    <t xml:space="preserve">Caja de INVERSIÓN (se paga una sola vez): remodelación, muebles, lavadora. La obra se pagó con ahorros y con el préstamo, no con el arriendo. Los muebles son parte de esa misma inversión.</t>
  </si>
  <si>
    <t xml:space="preserve">Caja de OPERACIÓN (cada mes): arriendos menos servicios, reservas y administración. De aquí sale la cuota del préstamo de mamá, y lo que sobra es la ganancia real de la casa.</t>
  </si>
  <si>
    <t xml:space="preserve">3. Si el arriendo paga también los muebles (Opción A)</t>
  </si>
  <si>
    <t xml:space="preserve">Cuota mensual del préstamo de mamá desde el 15 dic 2026</t>
  </si>
  <si>
    <t xml:space="preserve">Meses con caja negativa en los primeros 12 meses</t>
  </si>
  <si>
    <t xml:space="preserve">Peor momento acumulado de la caja de la casa</t>
  </si>
  <si>
    <t xml:space="preserve">Ese faltante tendría que salir de algún lado. Si no sale de los ahorros, se atrasa la cuota a mamá o la de la tarjeta. Es decir, la plata de los muebles termina saliendo de los ahorros de todas formas, pero tarde y en desorden.</t>
  </si>
  <si>
    <t xml:space="preserve">4. Lo que propongo (Opción B)</t>
  </si>
  <si>
    <t xml:space="preserve">a) Pagar las cuotas de los muebles y de la lavandería desde la cuenta de ahorros, no desde el arriendo. Se siguen aprovechando las cuotas sin interés de Mercado Libre: no hay que pagar de contado, solo cambiar de qué cuenta sale cada cuota.</t>
  </si>
  <si>
    <t xml:space="preserve">b) El arriendo paga la operación de la casa y la cuota del préstamo de mamá. Desde que se arriendan las 6 habitaciones alcanza para todo y sobra; con la 7 sobra más.</t>
  </si>
  <si>
    <t xml:space="preserve">Ganancia mensual mientras se paga el préstamo — 6 habitaciones</t>
  </si>
  <si>
    <t xml:space="preserve">Ganancia mensual mientras se paga el préstamo — casa completa (7)</t>
  </si>
  <si>
    <t xml:space="preserve">Ganancia mensual cuando termine el préstamo — casa completa (7)</t>
  </si>
  <si>
    <t xml:space="preserve">c) Cambiar la lavadora de más de 20 años por una nueva e instalar un monedero para cobrar por ciclo. El monedero ordena el uso de la máquina entre 7 inquilinos y convierte la lavandería en un ingreso. El contrato de arriendo ya contempla el cobro por ciclo; hoy el uso es gratis hasta que se instale. El monedero se compra a cuotas sin interés.</t>
  </si>
  <si>
    <t xml:space="preserve">Lavadora nueva</t>
  </si>
  <si>
    <t xml:space="preserve">Monedero</t>
  </si>
  <si>
    <t xml:space="preserve">Ingreso mensual estimado del monedero (casa completa)</t>
  </si>
  <si>
    <t xml:space="preserve">Ahorro mensual en energía y agua (lavadora nueva)</t>
  </si>
  <si>
    <t xml:space="preserve">Meses para que la lavandería completa se pague sola</t>
  </si>
  <si>
    <t xml:space="preserve">d) El dinero que se quiera guardar para otra propiedad rinde más en un CDT a 1 año (~12% EA promedio del mercado) que en la cuenta actual (8,5%).</t>
  </si>
  <si>
    <t xml:space="preserve">Rendimiento extra al año por cada $10.000.000</t>
  </si>
  <si>
    <t xml:space="preserve">e) Habilitar la habitación 7 cuando salgan los objetos almacenados (se trasladan a la nueva propiedad o se venden). Si se venden, lo recibido ayuda a pagar el mobiliario de esa habitación. Los objetos probablemente valen menos de $10.000.000, y cada mes de bodega deja de producir la ganancia de abajo: en un año, mantener la bodega cuesta aproximadamente lo mismo que valen los objetos.</t>
  </si>
  <si>
    <t xml:space="preserve">Canon esperado habitación 7</t>
  </si>
  <si>
    <t xml:space="preserve">Fecha estimada</t>
  </si>
  <si>
    <t xml:space="preserve">Mobiliario habitación 7 (estimado)</t>
  </si>
  <si>
    <t xml:space="preserve">Ganancia mensual adicional para los abuelos con la habitación 7</t>
  </si>
  <si>
    <t xml:space="preserve">Lo que deja de producir la bodega en 12 meses</t>
  </si>
  <si>
    <t xml:space="preserve">5. Qué cambia y qué no</t>
  </si>
  <si>
    <t xml:space="preserve">Dinero neto que saldría de los ahorros para muebles y lavandería</t>
  </si>
  <si>
    <t xml:space="preserve">Caja de la casa a 12 meses — Opción A</t>
  </si>
  <si>
    <t xml:space="preserve">Caja de la casa a 12 meses — Opción B</t>
  </si>
  <si>
    <t xml:space="preserve">La rentabilidad total de la inversión es la misma en las dos opciones. Lo que cambia es que con la Opción B la casa cumple sus obligaciones cada mes, la cuota a mamá está asegurada desde el primer pago y la ganancia real de la casa se ve desde el primer mes.</t>
  </si>
  <si>
    <t xml:space="preserve">6. Decisión pendiente: comisión de administración</t>
  </si>
  <si>
    <t xml:space="preserve">Felipe administra las 7 habitaciones: contratos, cobros, servicios, mantenimiento, rotación de inquilinos y marketing. Se presentan tres opciones sobre el ingreso neto (después de gastos). La decisión es de los abuelos. Ver hoja Escenarios.</t>
  </si>
  <si>
    <t xml:space="preserve">Movimientos — cada pago, uno por uno</t>
  </si>
  <si>
    <t xml:space="preserve">Documento vivo: agregue una fila por cada pago, recibo firmado o transferencia. Las filas 'Por desglosar' se reemplazan por sus pagos individuales cuando se digitalicen los soportes.</t>
  </si>
  <si>
    <t xml:space="preserve">Cómo llenar: escriba en azul · Categoría, Fuente y Estado tienen lista desplegable · Grupo se calcula solo · Tipo: 'Gasto' o 'Traslado'.</t>
  </si>
  <si>
    <t xml:space="preserve">Total gastos registrados:</t>
  </si>
  <si>
    <t xml:space="preserve">N°</t>
  </si>
  <si>
    <t xml:space="preserve">Fecha</t>
  </si>
  <si>
    <t xml:space="preserve">Categoría</t>
  </si>
  <si>
    <t xml:space="preserve">Concepto / detalle</t>
  </si>
  <si>
    <t xml:space="preserve">Proveedor o beneficiario</t>
  </si>
  <si>
    <t xml:space="preserve">Fuente del dinero</t>
  </si>
  <si>
    <t xml:space="preserve">Quién pagó (cuenta / persona)</t>
  </si>
  <si>
    <t xml:space="preserve">Medio</t>
  </si>
  <si>
    <t xml:space="preserve">Monto</t>
  </si>
  <si>
    <t xml:space="preserve">Soporte (tipo y referencia)</t>
  </si>
  <si>
    <t xml:space="preserve">Estado</t>
  </si>
  <si>
    <t xml:space="preserve">Tipo</t>
  </si>
  <si>
    <t xml:space="preserve">Grupo</t>
  </si>
  <si>
    <t xml:space="preserve">Notas</t>
  </si>
  <si>
    <t xml:space="preserve">Obra – contratista principal</t>
  </si>
  <si>
    <t xml:space="preserve">Anticipo de obra (transferencia 1 de 2)</t>
  </si>
  <si>
    <t xml:space="preserve">Germán Segura Rojas (CC 80.127.526)</t>
  </si>
  <si>
    <t xml:space="preserve">Jorge Enrique Quintero Ruiz — Nu ••8689</t>
  </si>
  <si>
    <t xml:space="preserve">Transferencia</t>
  </si>
  <si>
    <t xml:space="preserve">Comprobante Nu 22848468…923405</t>
  </si>
  <si>
    <t xml:space="preserve">Soportado</t>
  </si>
  <si>
    <t xml:space="preserve">Gasto</t>
  </si>
  <si>
    <t xml:space="preserve">Anticipo de obra (transferencia 2 de 2)</t>
  </si>
  <si>
    <t xml:space="preserve">Comprobante Nu 10341941…199155</t>
  </si>
  <si>
    <t xml:space="preserve">Costos bancarios – 4x1000</t>
  </si>
  <si>
    <t xml:space="preserve">Impuesto 4x1000 de las dos transferencias del anticipo</t>
  </si>
  <si>
    <t xml:space="preserve">DIAN (vía Nu)</t>
  </si>
  <si>
    <t xml:space="preserve">Débito automático</t>
  </si>
  <si>
    <t xml:space="preserve">Mismos comprobantes Nu</t>
  </si>
  <si>
    <t xml:space="preserve">$40.000 por cada transferencia</t>
  </si>
  <si>
    <t xml:space="preserve">Adelanto obra La Clarita</t>
  </si>
  <si>
    <t xml:space="preserve">Efectivo retirado por el abuelo, entregado por Felipe</t>
  </si>
  <si>
    <t xml:space="preserve">Efectivo</t>
  </si>
  <si>
    <t xml:space="preserve">Recibo firmado 25/05/2026</t>
  </si>
  <si>
    <t xml:space="preserve">Avance de obra La Clarita</t>
  </si>
  <si>
    <t xml:space="preserve">Recibo firmado 22/06/2026</t>
  </si>
  <si>
    <t xml:space="preserve">Eléctrico – aumento de carga (Enel)</t>
  </si>
  <si>
    <t xml:space="preserve">50% adecuación eléctrica</t>
  </si>
  <si>
    <t xml:space="preserve">Clemente Gregorio Carriazo</t>
  </si>
  <si>
    <t xml:space="preserve">Avance obra La Clarita</t>
  </si>
  <si>
    <t xml:space="preserve">Recibo firmado 24/06/2026</t>
  </si>
  <si>
    <t xml:space="preserve">Pago de obra (adicionales)</t>
  </si>
  <si>
    <t xml:space="preserve">Janneth Quintero Ávila — Nu</t>
  </si>
  <si>
    <t xml:space="preserve">Comprobante Nu 21299625…062555</t>
  </si>
  <si>
    <t xml:space="preserve">Comprobante Nu 28378064…566602</t>
  </si>
  <si>
    <t xml:space="preserve">Segundo pago adecuación eléctrica</t>
  </si>
  <si>
    <t xml:space="preserve">Andrés Felipe Fajardo — Nu ••6045 (dinero del abuelo)</t>
  </si>
  <si>
    <t xml:space="preserve">Comprobante Nu 13857091…720148</t>
  </si>
  <si>
    <t xml:space="preserve">Comprobante Nu 58860168…806189</t>
  </si>
  <si>
    <t xml:space="preserve">Impuesto 4x1000 de las transferencias del 15 jul y 13 ago</t>
  </si>
  <si>
    <t xml:space="preserve">$4.211 + $11.977. Asumido por la cuenta de mamá, adicional a los $35M</t>
  </si>
  <si>
    <t xml:space="preserve">Abono de obra</t>
  </si>
  <si>
    <t xml:space="preserve">Jorge Enrique Quintero — Davivienda ahorros ••5040</t>
  </si>
  <si>
    <t xml:space="preserve">Davivienda, aprobación 10420591</t>
  </si>
  <si>
    <t xml:space="preserve">Destino: cuenta AV Villas ••3613 de Germán Segura</t>
  </si>
  <si>
    <t xml:space="preserve">Abono 1er contrato</t>
  </si>
  <si>
    <t xml:space="preserve">Recibo firmado 07/09/2026</t>
  </si>
  <si>
    <t xml:space="preserve">Seguridad – cámaras</t>
  </si>
  <si>
    <t xml:space="preserve">Cámaras — pago 1</t>
  </si>
  <si>
    <t xml:space="preserve">Oscar Mauricio Herrera Bello</t>
  </si>
  <si>
    <t xml:space="preserve">Janneth Quintero Ávila — Nu ••0510</t>
  </si>
  <si>
    <t xml:space="preserve">Comprobante Nu 10234145…242438</t>
  </si>
  <si>
    <t xml:space="preserve">Recibo firmado 15/09/2026</t>
  </si>
  <si>
    <t xml:space="preserve">Pago final de obra</t>
  </si>
  <si>
    <t xml:space="preserve">Andrés Felipe Fajardo — Nu ••6045 (dinero del préstamo transferido por mamá)</t>
  </si>
  <si>
    <t xml:space="preserve">Comprobante Nu 10694692…366546</t>
  </si>
  <si>
    <t xml:space="preserve">Cámaras — pago 2</t>
  </si>
  <si>
    <t xml:space="preserve">Comprobante Nu 10893610…120247</t>
  </si>
  <si>
    <t xml:space="preserve">Cámaras — pago 3</t>
  </si>
  <si>
    <t xml:space="preserve">Comprobante Nu 39673969…293348</t>
  </si>
  <si>
    <t xml:space="preserve">Total cámaras = cotización final $4.999.785</t>
  </si>
  <si>
    <t xml:space="preserve">Traslado entre cuentas</t>
  </si>
  <si>
    <t xml:space="preserve">Sobrante del préstamo trasladado a la cuenta de la abuela (cuenta de la casa)</t>
  </si>
  <si>
    <t xml:space="preserve">Cuenta abuela</t>
  </si>
  <si>
    <t xml:space="preserve">Cuenta de mamá</t>
  </si>
  <si>
    <t xml:space="preserve">Consultable en la app de la cuenta de la abuela</t>
  </si>
  <si>
    <t xml:space="preserve">Traslado</t>
  </si>
  <si>
    <t xml:space="preserve">Saldo = $35.000.000 − $29.500.000 − $4.999.785</t>
  </si>
  <si>
    <t xml:space="preserve">Hidráulico – bomba de presión</t>
  </si>
  <si>
    <t xml:space="preserve">Bomba de presurización (equipo)</t>
  </si>
  <si>
    <t xml:space="preserve">Por confirmar</t>
  </si>
  <si>
    <t xml:space="preserve">Tarjeta de crédito abuelo</t>
  </si>
  <si>
    <t xml:space="preserve">Tarjeta de crédito</t>
  </si>
  <si>
    <t xml:space="preserve">Consultable en la app de la tarjeta del abuelo</t>
  </si>
  <si>
    <t xml:space="preserve">Instalación bomba (mano de obra)</t>
  </si>
  <si>
    <t xml:space="preserve">Instalador</t>
  </si>
  <si>
    <t xml:space="preserve">Abuelo</t>
  </si>
  <si>
    <t xml:space="preserve">Por definir</t>
  </si>
  <si>
    <t xml:space="preserve">Pendiente</t>
  </si>
  <si>
    <t xml:space="preserve">Pendiente de pago</t>
  </si>
  <si>
    <t xml:space="preserve">Instalación programada 1 oct 2026</t>
  </si>
  <si>
    <t xml:space="preserve">Saldo adecuación eléctrica</t>
  </si>
  <si>
    <t xml:space="preserve">Obra civil terminada. Se paga cuando Enel cambie el contador y apruebe el aumento de carga</t>
  </si>
  <si>
    <t xml:space="preserve">Mobiliario – habitaciones</t>
  </si>
  <si>
    <t xml:space="preserve">Amoblado completo habitación 1 (37 ítems — ver hoja Mobiliario)</t>
  </si>
  <si>
    <t xml:space="preserve">Mercado Libre (varias tiendas)</t>
  </si>
  <si>
    <t xml:space="preserve">Tarjeta de crédito abuelos</t>
  </si>
  <si>
    <t xml:space="preserve">Compras consultables en Mercado Libre y en la app de la tarjeta</t>
  </si>
  <si>
    <t xml:space="preserve">Cuotas sin interés 6–12 meses. 1ª cuota (~$1.300.000) pagada con el arriendo de sep 2026</t>
  </si>
  <si>
    <t xml:space="preserve">Fuentes y usos del dinero — cuadre</t>
  </si>
  <si>
    <t xml:space="preserve">Todo sale de la hoja Movimientos. Si agrega un pago allá, este cuadre se actualiza solo.</t>
  </si>
  <si>
    <t xml:space="preserve">1. ¿En qué se gastó y quién lo pagó? (incluye pagos pendientes)</t>
  </si>
  <si>
    <t xml:space="preserve">Total</t>
  </si>
  <si>
    <t xml:space="preserve">TOTAL</t>
  </si>
  <si>
    <t xml:space="preserve">Control: total cuadre = total Movimientos</t>
  </si>
  <si>
    <t xml:space="preserve">2. Préstamo de mamá — ¿a dónde fue cada peso?</t>
  </si>
  <si>
    <t xml:space="preserve">Monto recibido</t>
  </si>
  <si>
    <t xml:space="preserve">Pagado a proveedores (contratista y cámaras)</t>
  </si>
  <si>
    <t xml:space="preserve">Aparte: 4x1000 asumido por la cuenta de mamá, adicional al préstamo:</t>
  </si>
  <si>
    <t xml:space="preserve">Trasladado a la cuenta de la abuela</t>
  </si>
  <si>
    <t xml:space="preserve">Diferencia sin explicar (debe ser 0)</t>
  </si>
  <si>
    <t xml:space="preserve">3. Contratista principal — contratado vs. pagado</t>
  </si>
  <si>
    <t xml:space="preserve">Contrato inicial</t>
  </si>
  <si>
    <t xml:space="preserve">Abuelo: $84.500.000 · Préstamo mamá: $29.500.000</t>
  </si>
  <si>
    <t xml:space="preserve">Acuerdo de arreglos adicionales</t>
  </si>
  <si>
    <t xml:space="preserve">Total contratado</t>
  </si>
  <si>
    <t xml:space="preserve">Total pagado (12 pagos: 5 recibos en efectivo + 7 transferencias)</t>
  </si>
  <si>
    <t xml:space="preserve">Saldo por pagar al contratista</t>
  </si>
  <si>
    <t xml:space="preserve">4. Pagado vs. pendiente</t>
  </si>
  <si>
    <t xml:space="preserve">Ya pagado</t>
  </si>
  <si>
    <t xml:space="preserve">Pendiente de pago (saldo eléctrico + mano de obra bomba)</t>
  </si>
  <si>
    <t xml:space="preserve">5. Tarjeta de crédito de los abuelos</t>
  </si>
  <si>
    <t xml:space="preserve">Compras cargadas a la tarjeta (mobiliario + bomba)</t>
  </si>
  <si>
    <t xml:space="preserve">Cuotas pagadas (según Registro Mensual)</t>
  </si>
  <si>
    <t xml:space="preserve">Saldo pendiente en la tarjeta</t>
  </si>
  <si>
    <t xml:space="preserve">6. Pendiente: aportes de Felipe</t>
  </si>
  <si>
    <t xml:space="preserve">Pagos registrados desde la cuenta de Felipe con fuente 'Felipe (por definir)'</t>
  </si>
  <si>
    <t xml:space="preserve">Además, Felipe pagó con su cuenta y tarjetas otras compras de la casa. Se documentarán con extractos bancarios y se definirá si son reembolso o aporte.</t>
  </si>
  <si>
    <t xml:space="preserve">Mobiliario por habitación</t>
  </si>
  <si>
    <t xml:space="preserve">Hab 1 = costo real pagado. Hab 2–7: escriba el costo real de cada ítem al comprarlo. Mientras una habitación no tenga datos, se usa el costo de la Hab 1 como estimado.</t>
  </si>
  <si>
    <t xml:space="preserve">Ítem</t>
  </si>
  <si>
    <t xml:space="preserve">Hab 1 (real)</t>
  </si>
  <si>
    <t xml:space="preserve">Hab 2</t>
  </si>
  <si>
    <t xml:space="preserve">Hab 3</t>
  </si>
  <si>
    <t xml:space="preserve">Hab 4</t>
  </si>
  <si>
    <t xml:space="preserve">Hab 5</t>
  </si>
  <si>
    <t xml:space="preserve">Hab 6</t>
  </si>
  <si>
    <t xml:space="preserve">Hab 7</t>
  </si>
  <si>
    <t xml:space="preserve">Ducha</t>
  </si>
  <si>
    <t xml:space="preserve">Gabinete de baño</t>
  </si>
  <si>
    <t xml:space="preserve">Bowl acero inoxidable</t>
  </si>
  <si>
    <t xml:space="preserve">Tijeras de cocina</t>
  </si>
  <si>
    <t xml:space="preserve">Estantería de ducha</t>
  </si>
  <si>
    <t xml:space="preserve">Basurero de pedal 20 litros</t>
  </si>
  <si>
    <t xml:space="preserve">Microondas Electrolux</t>
  </si>
  <si>
    <t xml:space="preserve">Vajilla 2 puestos Corona</t>
  </si>
  <si>
    <t xml:space="preserve">Set de cubiertos en acero</t>
  </si>
  <si>
    <t xml:space="preserve">Nevera minibar</t>
  </si>
  <si>
    <t xml:space="preserve">Filtro de agua ozono</t>
  </si>
  <si>
    <t xml:space="preserve">Cobijas x2</t>
  </si>
  <si>
    <t xml:space="preserve">Cesta de ropa sucia</t>
  </si>
  <si>
    <t xml:space="preserve">Set de utensilios de cocina</t>
  </si>
  <si>
    <t xml:space="preserve">Batería de ollas Imusa</t>
  </si>
  <si>
    <t xml:space="preserve">Set de cuchillos Tramontina</t>
  </si>
  <si>
    <t xml:space="preserve">Tope de puertas x2</t>
  </si>
  <si>
    <t xml:space="preserve">Silla de oficina</t>
  </si>
  <si>
    <t xml:space="preserve">Papelera de baño 3 litros</t>
  </si>
  <si>
    <t xml:space="preserve">Licuadora Universal</t>
  </si>
  <si>
    <t xml:space="preserve">Vasos de cristal x2</t>
  </si>
  <si>
    <t xml:space="preserve">Juego de sábanas x2</t>
  </si>
  <si>
    <t xml:space="preserve">Mesa de noche</t>
  </si>
  <si>
    <t xml:space="preserve">Televisor 32" Challenger</t>
  </si>
  <si>
    <t xml:space="preserve">Escritorio 120 cm</t>
  </si>
  <si>
    <t xml:space="preserve">Colchón pullman 120 cm</t>
  </si>
  <si>
    <t xml:space="preserve">Basecama semidoble</t>
  </si>
  <si>
    <t xml:space="preserve">Clóset 120 cm</t>
  </si>
  <si>
    <t xml:space="preserve">Almohadas x2</t>
  </si>
  <si>
    <t xml:space="preserve">Organizador de cubiertos</t>
  </si>
  <si>
    <t xml:space="preserve">Tabla para picar de acero</t>
  </si>
  <si>
    <t xml:space="preserve">Soporte de TV</t>
  </si>
  <si>
    <t xml:space="preserve">Protector de colchón</t>
  </si>
  <si>
    <t xml:space="preserve">Lámpara de mesa de noche</t>
  </si>
  <si>
    <t xml:space="preserve">Lámpara de escritorio</t>
  </si>
  <si>
    <t xml:space="preserve">Timbre</t>
  </si>
  <si>
    <t xml:space="preserve">Mesa abatible multiusos para cocina</t>
  </si>
  <si>
    <t xml:space="preserve">Total registrado (real)</t>
  </si>
  <si>
    <t xml:space="preserve">¿Real o estimado?</t>
  </si>
  <si>
    <t xml:space="preserve">Costo usado en los cálculos</t>
  </si>
  <si>
    <t xml:space="preserve">Total mobiliario 7 habitaciones</t>
  </si>
  <si>
    <t xml:space="preserve">Lavandería — lavadora nueva y monedero</t>
  </si>
  <si>
    <t xml:space="preserve">Opción</t>
  </si>
  <si>
    <t xml:space="preserve">Precio</t>
  </si>
  <si>
    <t xml:space="preserve">Nota</t>
  </si>
  <si>
    <t xml:space="preserve">Whirlpool 14 kg</t>
  </si>
  <si>
    <t xml:space="preserve">Cotizada por Felipe</t>
  </si>
  <si>
    <t xml:space="preserve">Whirlpool 20 kg</t>
  </si>
  <si>
    <t xml:space="preserve">Cotizada por Felipe — permite lavar cobijas y edredones</t>
  </si>
  <si>
    <t xml:space="preserve">Opción seleccionada (escriba 1 = 14 kg, 2 = 20 kg)</t>
  </si>
  <si>
    <t xml:space="preserve">Monedero para cobro por ciclo</t>
  </si>
  <si>
    <t xml:space="preserve">Cotizado por Felipe — ordena el uso y genera ingreso por ciclo</t>
  </si>
  <si>
    <t xml:space="preserve">¿Incluir monedero? (1 = sí, 0 = no)</t>
  </si>
  <si>
    <t xml:space="preserve">TOTAL LAVANDERÍA</t>
  </si>
  <si>
    <t xml:space="preserve">Lavadora actual: Whirlpool de más de 20 años, alto consumo de energía. Zonas comunes ya amobladas (a mediano plazo: puffs o sillas de lectura).</t>
  </si>
  <si>
    <t xml:space="preserve">Préstamo de mamá — tabla de amortización (sistema francés)</t>
  </si>
  <si>
    <t xml:space="preserve">Intereses de gracia se suman al capital; cuota fija desde el 15 dic 2026. Columnas J–K: registre cada pago real.</t>
  </si>
  <si>
    <t xml:space="preserve">Monto prestado</t>
  </si>
  <si>
    <t xml:space="preserve">Tasa nominal mensual</t>
  </si>
  <si>
    <t xml:space="preserve">Tasa efectiva anual equivalente</t>
  </si>
  <si>
    <t xml:space="preserve">Fecha de desembolso</t>
  </si>
  <si>
    <t xml:space="preserve">Fecha primera cuota</t>
  </si>
  <si>
    <t xml:space="preserve">Número de cuotas</t>
  </si>
  <si>
    <t xml:space="preserve">Meses de interés sumado al capital antes del primer periodo</t>
  </si>
  <si>
    <t xml:space="preserve">Saldo sobre el que se calculan las cuotas</t>
  </si>
  <si>
    <t xml:space="preserve">Cuota fija mensual</t>
  </si>
  <si>
    <t xml:space="preserve">Total a pagar en 36 cuotas</t>
  </si>
  <si>
    <t xml:space="preserve">Total intereses si se paga en cuotas</t>
  </si>
  <si>
    <t xml:space="preserve">Mes</t>
  </si>
  <si>
    <t xml:space="preserve">Saldo inicial</t>
  </si>
  <si>
    <t xml:space="preserve">Interés</t>
  </si>
  <si>
    <t xml:space="preserve">Cuota</t>
  </si>
  <si>
    <t xml:space="preserve">Abono a capital</t>
  </si>
  <si>
    <t xml:space="preserve">Saldo final</t>
  </si>
  <si>
    <t xml:space="preserve">Pagado real</t>
  </si>
  <si>
    <t xml:space="preserve">Fecha pago real</t>
  </si>
  <si>
    <t xml:space="preserve">Registro mensual real — documento vivo</t>
  </si>
  <si>
    <t xml:space="preserve">Cada mes: escriba en azul lo que realmente entró y salió. La columna 'Proyectado' compara contra el plan.</t>
  </si>
  <si>
    <t xml:space="preserve">Hab. ocupadas</t>
  </si>
  <si>
    <t xml:space="preserve">Arriendos cobrados</t>
  </si>
  <si>
    <t xml:space="preserve">Servicios pagados</t>
  </si>
  <si>
    <t xml:space="preserve">Reserva apartada</t>
  </si>
  <si>
    <t xml:space="preserve">Predial apartado</t>
  </si>
  <si>
    <t xml:space="preserve">Neto operativo</t>
  </si>
  <si>
    <t xml:space="preserve">Comisión administración</t>
  </si>
  <si>
    <t xml:space="preserve">Neto casa (antes de deudas)</t>
  </si>
  <si>
    <t xml:space="preserve">Cuota préstamo pagada</t>
  </si>
  <si>
    <t xml:space="preserve">Cuotas tarjeta pagadas con arriendo</t>
  </si>
  <si>
    <t xml:space="preserve">Neto entregado a los abuelos</t>
  </si>
  <si>
    <t xml:space="preserve">Neto proyectado (antes de deudas)</t>
  </si>
  <si>
    <t xml:space="preserve">Diferencia real − proyectado</t>
  </si>
  <si>
    <t xml:space="preserve">Arriendo Hab 1 se usó completo para la 1ª cuota de la tarjeta (muebles). Servicios = valores actuales reportados. Comisión causada, no cobrada. Nadie recibió ganancia.</t>
  </si>
  <si>
    <t xml:space="preserve">Flujo proyectado mes a mes — 72 meses</t>
  </si>
  <si>
    <t xml:space="preserve">Llenado gradual según fechas de ingreso (hoja Supuestos). En ambas opciones el arriendo paga la operación y la cuota del préstamo de mamá. La diferencia es de dónde salen las cuotas de los muebles.</t>
  </si>
  <si>
    <t xml:space="preserve">OPERACIÓN DE LA CASA</t>
  </si>
  <si>
    <t xml:space="preserve">OPCIÓN A — el arriendo paga también los muebles</t>
  </si>
  <si>
    <t xml:space="preserve">OPCIÓN B — los ahorros pagan los muebles</t>
  </si>
  <si>
    <t xml:space="preserve">RECUPERACIÓN ACUMULADA POR COMISIÓN</t>
  </si>
  <si>
    <t xml:space="preserve">Ingreso bruto (arriendos + lavandería)</t>
  </si>
  <si>
    <t xml:space="preserve">Servicios</t>
  </si>
  <si>
    <t xml:space="preserve">Reserva reparac. + vacancia</t>
  </si>
  <si>
    <t xml:space="preserve">Ahorro predial</t>
  </si>
  <si>
    <t xml:space="preserve">Cuota préstamo mamá</t>
  </si>
  <si>
    <t xml:space="preserve">Cuotas muebles + lavadora</t>
  </si>
  <si>
    <t xml:space="preserve">Caja casa A</t>
  </si>
  <si>
    <t xml:space="preserve">Acumulado A</t>
  </si>
  <si>
    <t xml:space="preserve">Caja casa B</t>
  </si>
  <si>
    <t xml:space="preserve">Acumulado B</t>
  </si>
  <si>
    <t xml:space="preserve">Tomado de ahorros (muebles − venta objetos)</t>
  </si>
  <si>
    <t xml:space="preserve">Acumulado tomado de ahorros</t>
  </si>
  <si>
    <t xml:space="preserve">Acum. neto 10%</t>
  </si>
  <si>
    <t xml:space="preserve">Acum. neto 20%</t>
  </si>
  <si>
    <t xml:space="preserve">Acum. neto 30%</t>
  </si>
  <si>
    <t xml:space="preserve">Escenarios de comisión y tiempo de recuperación</t>
  </si>
  <si>
    <t xml:space="preserve">Casa completa con 7 habitaciones arrendadas y lavandería con monedero. La comisión de administración se calcula sobre el ingreso neto operativo (después de gastos).</t>
  </si>
  <si>
    <t xml:space="preserve">1. Inversión total a recuperar</t>
  </si>
  <si>
    <t xml:space="preserve">Obra y adecuaciones (incluye pendientes, bomba y 4x1000)</t>
  </si>
  <si>
    <t xml:space="preserve">Mobiliario 7 habitaciones (real + estimado)</t>
  </si>
  <si>
    <t xml:space="preserve">Subtotal capital invertido (menos venta de objetos almacenados)</t>
  </si>
  <si>
    <t xml:space="preserve">Intereses préstamo mamá (36 cuotas)</t>
  </si>
  <si>
    <t xml:space="preserve">2. Casa completa: 7 habitaciones + lavandería (estabilizado)</t>
  </si>
  <si>
    <t xml:space="preserve">Concepto</t>
  </si>
  <si>
    <t xml:space="preserve">Gastos de operación (extrapolados a 7 inquilinos, con ahorro de la lavadora)</t>
  </si>
  <si>
    <t xml:space="preserve">Neto casa para los abuelos (antes de deudas)</t>
  </si>
  <si>
    <t xml:space="preserve">Cuota préstamo mamá (dic 2026 – nov 2029)</t>
  </si>
  <si>
    <t xml:space="preserve">Neto para los abuelos mientras se paga el préstamo</t>
  </si>
  <si>
    <t xml:space="preserve">Neto anual (antes de deudas)</t>
  </si>
  <si>
    <t xml:space="preserve">Rentabilidad anual sobre la inversión total</t>
  </si>
  <si>
    <t xml:space="preserve">Recuperación simple, como si la casa estuviera llena desde el día 1 (años)</t>
  </si>
  <si>
    <t xml:space="preserve">Recuperación con llenado gradual (meses desde oct 2026)</t>
  </si>
  <si>
    <t xml:space="preserve">Mes en que se recupera toda la inversión</t>
  </si>
  <si>
    <t xml:space="preserve">Ganancia adicional vs. antes de la remodelación (mensual)</t>
  </si>
  <si>
    <t xml:space="preserve">Ingreso mensual de Felipe por administración</t>
  </si>
  <si>
    <t xml:space="preserve">3. Referencia de mercado para la comisión</t>
  </si>
  <si>
    <t xml:space="preserve">Honorario inmobiliaria tradicional: % sobre canon bruto + IVA</t>
  </si>
  <si>
    <t xml:space="preserve">Equivale en pesos a (mensual, casa completa)</t>
  </si>
  <si>
    <t xml:space="preserve">Equivale como % del ingreso neto operativo</t>
  </si>
  <si>
    <t xml:space="preserve">Una inmobiliaria administra 1 contrato por inmueble. Aquí son 7 contratos, servicios compartidos, rotación de inquilinos, aseo y mantenimiento de un coliving: más carga que una administración tradicional, y la inmobiliaria además suele cobrar un canon por cada inquilino nuevo.</t>
  </si>
  <si>
    <t xml:space="preserve">Fuente referencia: Inmobiliare Latam, 'Administración de inmuebles en Bogotá: guía 2026' (8%–12% del canon + IVA).</t>
  </si>
  <si>
    <t xml:space="preserve">4. Mientras la habitación 7 sigue de bodega (6 habitaciones + lavandería)</t>
  </si>
  <si>
    <t xml:space="preserve">Gastos de operación (con ahorro de la lavadora)</t>
  </si>
  <si>
    <t xml:space="preserve">Comparación: la casa frente a otras alternativas</t>
  </si>
  <si>
    <t xml:space="preserve">Rentabilidades antes de impuestos. Los CDT y la cuenta de ahorros tienen retención en la fuente; la casa ya descuenta predial y reservas.</t>
  </si>
  <si>
    <t xml:space="preserve">1. ¿Cuánto rinde el mismo dinero en cada alternativa? (capital = inversión total)</t>
  </si>
  <si>
    <t xml:space="preserve">Alternativa</t>
  </si>
  <si>
    <t xml:space="preserve">Rentabilidad anual</t>
  </si>
  <si>
    <t xml:space="preserve">Ingreso anual</t>
  </si>
  <si>
    <t xml:space="preserve">Ingreso mensual promedio</t>
  </si>
  <si>
    <t xml:space="preserve">Cuenta de ahorros actual de los abuelos</t>
  </si>
  <si>
    <t xml:space="preserve">CDT 360 días — promedio del mercado (sep 2026)</t>
  </si>
  <si>
    <t xml:space="preserve">CDT 360 días — mejor tasa del mercado (sep 2026)</t>
  </si>
  <si>
    <t xml:space="preserve">La Clarita — comisión 10%</t>
  </si>
  <si>
    <t xml:space="preserve">La Clarita — comisión 20%</t>
  </si>
  <si>
    <t xml:space="preserve">La Clarita — comisión 30%</t>
  </si>
  <si>
    <t xml:space="preserve">La casa rinde más, pero exige administración, tiene riesgo de vacancia y el capital queda en el inmueble (no se puede retirar como un CDT). A cambio, la casa conserva su valor como propiedad.</t>
  </si>
  <si>
    <t xml:space="preserve">2. Opción A vs. Opción B — ¿de qué caja salen los muebles?</t>
  </si>
  <si>
    <t xml:space="preserve">A 6 meses</t>
  </si>
  <si>
    <t xml:space="preserve">A 12 meses</t>
  </si>
  <si>
    <t xml:space="preserve">A 24 meses</t>
  </si>
  <si>
    <t xml:space="preserve">Fecha de corte</t>
  </si>
  <si>
    <t xml:space="preserve">Caja de la casa acumulada — Opción A (arriendo paga muebles)</t>
  </si>
  <si>
    <t xml:space="preserve">Caja de la casa acumulada — Opción B (ahorros pagan muebles)</t>
  </si>
  <si>
    <t xml:space="preserve">Dinero tomado de los ahorros para muebles y lavadora — Opción B</t>
  </si>
  <si>
    <t xml:space="preserve">Saldo ILUSTRATIVO de ahorros después de pagar los muebles (sin contar intereses)</t>
  </si>
  <si>
    <t xml:space="preserve">En las dos opciones los abuelos terminan con prácticamente el mismo patrimonio: los muebles se pagan con la misma plata. La diferencia es que en la Opción A la casa no alcanza a cubrir sus obligaciones mes a mes y alguien tiene que tapar el hueco.</t>
  </si>
  <si>
    <t xml:space="preserve">3. Señales de la Opción A (el arriendo paga préstamo + muebles)</t>
  </si>
  <si>
    <t xml:space="preserve">Peor momento de la caja acumulada (primeros 24 meses)</t>
  </si>
  <si>
    <t xml:space="preserve">Resultado de caja del mes más difícil</t>
  </si>
  <si>
    <t xml:space="preserve">Ese faltante no tiene fuente: si no sale de los ahorros, se deja de pagar la cuota a mamá o la tarjeta, y no queda ganancia para nadie.</t>
  </si>
  <si>
    <t xml:space="preserve">4. Si el efectivo se guarda para otra propiedad</t>
  </si>
  <si>
    <t xml:space="preserve">Rendimiento extra al año por cada $10.000.000 que pasen de la cuenta (8,5%) a un CDT promedio</t>
  </si>
  <si>
    <t xml:space="preserve">Fuentes: Infobae (29 sep 2026) y El País (sep 2026) — promedio CDT 360 días 12,07% EA según Banco de la República; finanzasplus.co — tasas hasta 13% EA.</t>
  </si>
  <si>
    <t xml:space="preserve">¿Cuánto podría valer la casa para un inversionista?</t>
  </si>
  <si>
    <t xml:space="preserve">Estimación de referencia por dos métodos. Antes de publicar un precio: avalúo comercial profesional (Lonja o perito RAA).</t>
  </si>
  <si>
    <t xml:space="preserve">Datos del inmueble</t>
  </si>
  <si>
    <t xml:space="preserve">Barrio / localidad</t>
  </si>
  <si>
    <t xml:space="preserve">La Clarita, Engativá — Bogotá</t>
  </si>
  <si>
    <t xml:space="preserve">Estrato</t>
  </si>
  <si>
    <t xml:space="preserve">Frente del lote (m)</t>
  </si>
  <si>
    <t xml:space="preserve">Fondo del lote (m)</t>
  </si>
  <si>
    <t xml:space="preserve">Área del lote (m²)</t>
  </si>
  <si>
    <t xml:space="preserve">Área construida (m²)</t>
  </si>
  <si>
    <t xml:space="preserve">Pisos</t>
  </si>
  <si>
    <t xml:space="preserve">3 + terraza</t>
  </si>
  <si>
    <t xml:space="preserve">Habitaciones de renta</t>
  </si>
  <si>
    <t xml:space="preserve">Método 1 — Comparables en venta en La Clarita (precios de oferta)</t>
  </si>
  <si>
    <t xml:space="preserve">Inmueble</t>
  </si>
  <si>
    <t xml:space="preserve">Precio de oferta</t>
  </si>
  <si>
    <t xml:space="preserve">Precio por m²</t>
  </si>
  <si>
    <t xml:space="preserve">Casa 4 hab / 3 baños</t>
  </si>
  <si>
    <t xml:space="preserve">Casa 4 hab / 2 baños</t>
  </si>
  <si>
    <t xml:space="preserve">Casa 3 hab / 3 baños</t>
  </si>
  <si>
    <t xml:space="preserve">Promedio comparables</t>
  </si>
  <si>
    <t xml:space="preserve">Promedio Engativá (casas, precio por m²)</t>
  </si>
  <si>
    <t xml:space="preserve">Descuento de negociación sobre precio de oferta</t>
  </si>
  <si>
    <t xml:space="preserve">Valor por comparables (promedio La Clarita, con descuento)</t>
  </si>
  <si>
    <t xml:space="preserve">Valor por comparables (promedio Engativá, con descuento)</t>
  </si>
  <si>
    <t xml:space="preserve">Fuentes: listados en Fincaraíz / Properati / Mercado Libre para La Clarita, y Habi.co ('Valor del metro cuadrado en Bogotá por localidad'), consultados 30 sep 2026. Son precios de oferta, no de cierre. Los comparables no están remodelados para renta.</t>
  </si>
  <si>
    <t xml:space="preserve">Método 2 — Por la renta que produce (lo que mira un inversionista)</t>
  </si>
  <si>
    <t xml:space="preserve">Casa completa (7 hab)</t>
  </si>
  <si>
    <t xml:space="preserve">Hoy (6 hab)</t>
  </si>
  <si>
    <t xml:space="preserve">Ingreso neto operativo anual estabilizado (arriendos + lavandería − gastos)</t>
  </si>
  <si>
    <t xml:space="preserve">Menos administración a precio de mercado (el comprador tendría que pagarla)</t>
  </si>
  <si>
    <t xml:space="preserve">Ingreso neto anual para un inversionista</t>
  </si>
  <si>
    <t xml:space="preserve">Equivale a un flujo de caja mensual de</t>
  </si>
  <si>
    <t xml:space="preserve">Tasa de capitalización exigida</t>
  </si>
  <si>
    <t xml:space="preserve">Valor — casa completa</t>
  </si>
  <si>
    <t xml:space="preserve">Valor — hoy (6 hab)</t>
  </si>
  <si>
    <t xml:space="preserve">Lectura</t>
  </si>
  <si>
    <t xml:space="preserve">Inversionista que valora la renta ya probada</t>
  </si>
  <si>
    <t xml:space="preserve">Punto medio</t>
  </si>
  <si>
    <t xml:space="preserve">Inversionista que castiga el riesgo del coliving</t>
  </si>
  <si>
    <t xml:space="preserve">Tasa de capitalización = ingreso neto anual ÷ precio. Supuesto de Felipe/Claude, no dato de mercado: para vivienda por habitaciones con 7 contratos se exige más que para un arriendo tradicional. La venta se entrega amoblada y con contratos vigentes.</t>
  </si>
  <si>
    <t xml:space="preserve">Rango de referencia</t>
  </si>
  <si>
    <t xml:space="preserve">Valor mínimo de los métodos</t>
  </si>
  <si>
    <t xml:space="preserve">Valor máximo de los métodos</t>
  </si>
  <si>
    <t xml:space="preserve">Qué revisaría un comprador: (0) un comprador paga por ingreso con historial, no por ingreso proyectado — la Hab 7 y el monedero aún no existen, y el Registro Mensual es la evidencia que respalda el valor por renta; (1) el ingreso depende de que alguien administre las 7 habitaciones; (2) la casa es una sola unidad, sin independización; (3) la obra fue interna sin licencia — conviene confirmar con un curador o abogado que las adecuaciones (baños y cocinas nuevas) no la requerían; (4) contratos vigentes y su historial de pago.</t>
  </si>
  <si>
    <t xml:space="preserve">Supuestos y parámetros</t>
  </si>
  <si>
    <t xml:space="preserve">Azul = dato ingresado · Negro = fórmula · Verde = viene de otra hoja · Amarillo = POR CONFIRMAR. Cambie aquí y todo el libro se recalcula.</t>
  </si>
  <si>
    <t xml:space="preserve">Habitaciones</t>
  </si>
  <si>
    <t xml:space="preserve">Habitación</t>
  </si>
  <si>
    <t xml:space="preserve">Canon mensual</t>
  </si>
  <si>
    <t xml:space="preserve">Fecha ingreso inquilino</t>
  </si>
  <si>
    <t xml:space="preserve">Fecha compra mobiliario</t>
  </si>
  <si>
    <t xml:space="preserve">Mes 1ª cuota muebles</t>
  </si>
  <si>
    <t xml:space="preserve">Mes última cuota</t>
  </si>
  <si>
    <t xml:space="preserve">Costo amoblado</t>
  </si>
  <si>
    <t xml:space="preserve">Hab 1</t>
  </si>
  <si>
    <t xml:space="preserve">Grande</t>
  </si>
  <si>
    <t xml:space="preserve">Contrato firmado — inicio 15 sep 2026</t>
  </si>
  <si>
    <t xml:space="preserve">Interesado aceptó precio — reuniendo documentos</t>
  </si>
  <si>
    <t xml:space="preserve">Proyectado (precio mínimo esperado)</t>
  </si>
  <si>
    <t xml:space="preserve">Pequeña</t>
  </si>
  <si>
    <t xml:space="preserve">Proyectado</t>
  </si>
  <si>
    <t xml:space="preserve">Hoy es bodega de objetos de los abuelos — disponible en 1–2 años</t>
  </si>
  <si>
    <t xml:space="preserve">Total 7 habitaciones</t>
  </si>
  <si>
    <t xml:space="preserve">Habitaciones 3 a 7: precios esperados por Felipe. Ritmo base: 1 habitación nueva por mes hasta la 6. La 7 se habilita cuando salgan los objetos almacenados (se trasladan o se venden).</t>
  </si>
  <si>
    <t xml:space="preserve">Gastos mensuales de operación</t>
  </si>
  <si>
    <t xml:space="preserve">Actual (1 inquilino)</t>
  </si>
  <si>
    <t xml:space="preserve">Estimado (6 inquilinos)</t>
  </si>
  <si>
    <t xml:space="preserve">Energía</t>
  </si>
  <si>
    <t xml:space="preserve">7 duchas eléctricas a 220V: el rubro más sensible</t>
  </si>
  <si>
    <t xml:space="preserve">Gas</t>
  </si>
  <si>
    <t xml:space="preserve">Acueducto</t>
  </si>
  <si>
    <t xml:space="preserve">Internet</t>
  </si>
  <si>
    <t xml:space="preserve">Aseo</t>
  </si>
  <si>
    <t xml:space="preserve">Persona de aseo semanal — valor mensual acordado</t>
  </si>
  <si>
    <t xml:space="preserve">Subtotal servicios</t>
  </si>
  <si>
    <t xml:space="preserve">Reserva reparaciones menores/mayores + vacancia</t>
  </si>
  <si>
    <t xml:space="preserve">Se provisiona en proporción a las habitaciones ocupadas</t>
  </si>
  <si>
    <t xml:space="preserve">Ahorro mensual impuesto predial</t>
  </si>
  <si>
    <t xml:space="preserve">Total gastos de operación</t>
  </si>
  <si>
    <t xml:space="preserve">Fuente: estimados de Felipe (sep 2026). Sin la comisión de administración.</t>
  </si>
  <si>
    <t xml:space="preserve">Parámetros financieros</t>
  </si>
  <si>
    <t xml:space="preserve">Habitación 7, lavandería y muebles</t>
  </si>
  <si>
    <t xml:space="preserve">Comisión de administración seleccionada (sobre ingreso neto operativo)</t>
  </si>
  <si>
    <t xml:space="preserve">Cambie a 10%, 20% o 30% para ver cada escenario en todo el libro</t>
  </si>
  <si>
    <t xml:space="preserve">Hab 7 — venta de objetos almacenados (ingreso único)</t>
  </si>
  <si>
    <t xml:space="preserve">Valor desconocido, probablemente &lt; $10M. Se deja en 0 (conservador)</t>
  </si>
  <si>
    <t xml:space="preserve">Escenario comisión 1</t>
  </si>
  <si>
    <t xml:space="preserve">Monedero — precio por ciclo de lavado</t>
  </si>
  <si>
    <t xml:space="preserve">Definido por Felipe. El contrato ya contempla cobro por ciclo (gratis hasta instalar el monedero)</t>
  </si>
  <si>
    <t xml:space="preserve">Escenario comisión 2</t>
  </si>
  <si>
    <t xml:space="preserve">Ciclos de lavado por inquilino al mes</t>
  </si>
  <si>
    <t xml:space="preserve">Supuesto: 1 por semana</t>
  </si>
  <si>
    <t xml:space="preserve">Escenario comisión 3</t>
  </si>
  <si>
    <t xml:space="preserve">Monedero — mes de inicio</t>
  </si>
  <si>
    <t xml:space="preserve">Se compra a cuotas sin interés junto con la lavadora</t>
  </si>
  <si>
    <t xml:space="preserve">Préstamo mamá — monto</t>
  </si>
  <si>
    <t xml:space="preserve">Fuente: Felipe</t>
  </si>
  <si>
    <t xml:space="preserve">¿Se incluye el monedero? (1 = sí, 0 = no)</t>
  </si>
  <si>
    <t xml:space="preserve">Se elige en la hoja Mobiliario</t>
  </si>
  <si>
    <t xml:space="preserve">Préstamo mamá — tasa nominal mensual</t>
  </si>
  <si>
    <t xml:space="preserve">Inquilinos del estimado de gastos (columna C)</t>
  </si>
  <si>
    <t xml:space="preserve">Los gastos se extrapolan por inquilino adicional</t>
  </si>
  <si>
    <t xml:space="preserve">Préstamo mamá — fecha de desembolso (para cálculo de intereses)</t>
  </si>
  <si>
    <t xml:space="preserve">Acordado: intereses desde el 15 ago, aunque hubo desembolsos parciales desde el 15 jul</t>
  </si>
  <si>
    <t xml:space="preserve">Cuota mensual promedio de muebles por habitación</t>
  </si>
  <si>
    <t xml:space="preserve">Felipe: desde el 2º mes ~850.000 por habitación</t>
  </si>
  <si>
    <t xml:space="preserve">Préstamo mamá — fecha primera cuota</t>
  </si>
  <si>
    <t xml:space="preserve">Mes en que entra la venta de objetos (= compra muebles Hab 7)</t>
  </si>
  <si>
    <t xml:space="preserve">Préstamo mamá — número de cuotas (sistema francés)</t>
  </si>
  <si>
    <t xml:space="preserve">3 años desde la primera cuota</t>
  </si>
  <si>
    <t xml:space="preserve">Préstamo mamá — tasa efectiva anual equivalente</t>
  </si>
  <si>
    <t xml:space="preserve">Cuenta de ahorros abuelos — rendimiento efectivo anual</t>
  </si>
  <si>
    <t xml:space="preserve">Cuenta de ahorros abuelos — saldo (ILUSTRATIVO)</t>
  </si>
  <si>
    <t xml:space="preserve">Valor ilustrativo, no es el saldo real</t>
  </si>
  <si>
    <t xml:space="preserve">CDT 360 días — tasa promedio del mercado (EA)</t>
  </si>
  <si>
    <t xml:space="preserve">Banco de la República vía Infobae/El País, sep 2026</t>
  </si>
  <si>
    <t xml:space="preserve">CDT 360 días — tasa alta del mercado (EA)</t>
  </si>
  <si>
    <t xml:space="preserve">KOA / Pibank, sep 2026 (finanzasplus.co)</t>
  </si>
  <si>
    <t xml:space="preserve">Rendimiento mensual equivalente de la cuenta de ahorros</t>
  </si>
  <si>
    <t xml:space="preserve">Mobiliario — número de cuotas por habitación (derivado de la cuota promedio, celda F34)</t>
  </si>
  <si>
    <t xml:space="preserve">Cuotas sin interés de Mercado Libre</t>
  </si>
  <si>
    <t xml:space="preserve">Mobiliario — costo habitación pequeña vs. grande</t>
  </si>
  <si>
    <t xml:space="preserve">Felipe: rango parecido</t>
  </si>
  <si>
    <t xml:space="preserve">Lavandería nueva — lavadora + monedero</t>
  </si>
  <si>
    <t xml:space="preserve">Lavadora nueva — mes de compra</t>
  </si>
  <si>
    <t xml:space="preserve">Lavadora nueva — ahorro mensual estimado (energía + agua)</t>
  </si>
  <si>
    <t xml:space="preserve">Estimado de Felipe: entre 40.000 y 50.000</t>
  </si>
  <si>
    <t xml:space="preserve">Ingreso neto de la casa ANTES de la remodelación (mensual)</t>
  </si>
  <si>
    <t xml:space="preserve">Felipe: bruto ~820.000, neto ~620.000</t>
  </si>
  <si>
    <t xml:space="preserve">Referencia de mercado: honorario de administración inmobiliaria (sobre canon bruto)</t>
  </si>
  <si>
    <t xml:space="preserve">Bogotá 8%–12% + IVA (Inmobiliare Latam, guía 2026)</t>
  </si>
  <si>
    <t xml:space="preserve">IVA sobre honorarios</t>
  </si>
  <si>
    <t xml:space="preserve">Primer mes de la proyección</t>
  </si>
  <si>
    <t xml:space="preserve">Listas (usadas en Movimientos)</t>
  </si>
  <si>
    <t xml:space="preserve">Estado del soporte</t>
  </si>
  <si>
    <t xml:space="preserve">Obra y adecuaciones</t>
  </si>
  <si>
    <t xml:space="preserve">Por desglosar</t>
  </si>
  <si>
    <t xml:space="preserve">Arriendo de la casa</t>
  </si>
  <si>
    <t xml:space="preserve">Felipe (por definir)</t>
  </si>
  <si>
    <t xml:space="preserve">Mobiliario</t>
  </si>
  <si>
    <t xml:space="preserve">Lavandería – lavadora</t>
  </si>
  <si>
    <t xml:space="preserve">Traslado (no es gasto)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</si>
</sst>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0"/>
    <numFmt numFmtId="168" formatCode="mmm\ yyyy"/>
    <numFmt numFmtId="169" formatCode="dd/mm/yyyy"/>
    <numFmt numFmtId="170" formatCode="0.00%"/>
    <numFmt numFmtId="171" formatCode="&quot;Comisión &quot;0%"/>
    <numFmt numFmtId="172" formatCode="0.0"/>
    <numFmt numFmtId="173" formatCode="0.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B365D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1"/>
      <color rgb="FF1B365D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0"/>
      <color rgb="FF1B365D"/>
      <name val="Arial"/>
      <family val="0"/>
      <charset val="1"/>
    </font>
    <font>
      <b val="true"/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EF2F8"/>
        <bgColor rgb="FFFFFFFF"/>
      </patternFill>
    </fill>
    <fill>
      <patternFill patternType="solid">
        <fgColor rgb="FF1B365D"/>
        <bgColor rgb="FF333333"/>
      </patternFill>
    </fill>
    <fill>
      <patternFill patternType="solid">
        <fgColor rgb="FFFFFF00"/>
        <bgColor rgb="FFFFFF0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1B365D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2" fontId="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2F8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vmlDrawing" Target="../drawings/vmlDrawing1.v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5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n">
        <f aca="false">SUMIFS(Movimientos!$I$6:$I$205,Movimientos!$C$6:$C$205,"Obra – contratista principal",Movimientos!$L$6:$L$205,"Gasto")</f>
        <v>114000000</v>
      </c>
    </row>
    <row r="6" customFormat="false" ht="15" hidden="false" customHeight="false" outlineLevel="0" collapsed="false">
      <c r="A6" s="5" t="s">
        <v>4</v>
      </c>
      <c r="B6" s="6" t="n">
        <f aca="false">SUMIFS(Movimientos!$I$6:$I$205,Movimientos!$C$6:$C$205,"Eléctrico – aumento de carga (Enel)",Movimientos!$L$6:$L$205,"Gasto")</f>
        <v>5000000</v>
      </c>
    </row>
    <row r="7" customFormat="false" ht="15" hidden="false" customHeight="false" outlineLevel="0" collapsed="false">
      <c r="A7" s="5" t="s">
        <v>5</v>
      </c>
      <c r="B7" s="6" t="n">
        <f aca="false">SUMIFS(Movimientos!$I$6:$I$205,Movimientos!$C$6:$C$205,"Seguridad – cámaras",Movimientos!$L$6:$L$205,"Gasto")</f>
        <v>4999785</v>
      </c>
    </row>
    <row r="8" customFormat="false" ht="15" hidden="false" customHeight="false" outlineLevel="0" collapsed="false">
      <c r="A8" s="5" t="s">
        <v>6</v>
      </c>
      <c r="B8" s="6" t="n">
        <f aca="false">SUMIFS(Movimientos!$I$6:$I$205,Movimientos!$C$6:$C$205,"Hidráulico – bomba de presión",Movimientos!$L$6:$L$205,"Gasto")</f>
        <v>610000</v>
      </c>
    </row>
    <row r="9" customFormat="false" ht="15" hidden="false" customHeight="false" outlineLevel="0" collapsed="false">
      <c r="A9" s="5" t="s">
        <v>7</v>
      </c>
      <c r="B9" s="6" t="n">
        <f aca="false">SUMIFS(Movimientos!$I$6:$I$205,Movimientos!$C$6:$C$205,"Costos bancarios – 4x1000",Movimientos!$L$6:$L$205,"Gasto")</f>
        <v>96188</v>
      </c>
    </row>
    <row r="10" customFormat="false" ht="15" hidden="false" customHeight="false" outlineLevel="0" collapsed="false">
      <c r="A10" s="5" t="s">
        <v>8</v>
      </c>
      <c r="B10" s="6" t="n">
        <f aca="false">SUMIFS(Movimientos!$I$6:$I$205,Movimientos!$C$6:$C$205,"Mobiliario – habitaciones",Movimientos!$L$6:$L$205,"Gasto")</f>
        <v>6551800</v>
      </c>
    </row>
    <row r="11" customFormat="false" ht="15" hidden="false" customHeight="false" outlineLevel="0" collapsed="false">
      <c r="A11" s="7" t="s">
        <v>9</v>
      </c>
      <c r="B11" s="8" t="n">
        <f aca="false">Movimientos!$I$4</f>
        <v>131257773</v>
      </c>
    </row>
    <row r="12" customFormat="false" ht="15" hidden="false" customHeight="false" outlineLevel="0" collapsed="false">
      <c r="A12" s="5" t="s">
        <v>10</v>
      </c>
      <c r="B12" s="6" t="n">
        <f aca="false">Cuadre!$B$31</f>
        <v>129707773</v>
      </c>
    </row>
    <row r="13" customFormat="false" ht="15" hidden="false" customHeight="false" outlineLevel="0" collapsed="false">
      <c r="A13" s="5" t="s">
        <v>11</v>
      </c>
      <c r="B13" s="6" t="n">
        <f aca="false">Cuadre!$B$32</f>
        <v>1550000</v>
      </c>
    </row>
    <row r="15" customFormat="false" ht="15" hidden="false" customHeight="false" outlineLevel="0" collapsed="false">
      <c r="A15" s="3" t="s">
        <v>12</v>
      </c>
      <c r="B15" s="4"/>
    </row>
    <row r="16" customFormat="false" ht="15" hidden="false" customHeight="false" outlineLevel="0" collapsed="false">
      <c r="A16" s="5" t="s">
        <v>13</v>
      </c>
      <c r="B16" s="6" t="n">
        <f aca="false">SUMIFS(Movimientos!$I$6:$I$205,Movimientos!$F$6:$F$205,"Abuelos – capital propio",Movimientos!$L$6:$L$205,"Gasto")</f>
        <v>89880000</v>
      </c>
    </row>
    <row r="17" customFormat="false" ht="15" hidden="false" customHeight="false" outlineLevel="0" collapsed="false">
      <c r="A17" s="5" t="s">
        <v>14</v>
      </c>
      <c r="B17" s="6" t="n">
        <f aca="false">SUMIFS(Movimientos!$I$6:$I$205,Movimientos!$F$6:$F$205,"Préstamo mamá",Movimientos!$L$6:$L$205,"Gasto")</f>
        <v>34515973</v>
      </c>
    </row>
    <row r="18" customFormat="false" ht="15" hidden="false" customHeight="false" outlineLevel="0" collapsed="false">
      <c r="A18" s="5" t="s">
        <v>15</v>
      </c>
      <c r="B18" s="6" t="n">
        <f aca="false">SUMIFS(Movimientos!$I$6:$I$205,Movimientos!$F$6:$F$205,"TC abuelos (cuotas)",Movimientos!$L$6:$L$205,"Gasto")</f>
        <v>6861800</v>
      </c>
    </row>
    <row r="19" customFormat="false" ht="15" hidden="false" customHeight="false" outlineLevel="0" collapsed="false">
      <c r="A19" s="5" t="s">
        <v>16</v>
      </c>
      <c r="B19" s="6" t="n">
        <f aca="false">Cuadre!$B$20</f>
        <v>500215</v>
      </c>
    </row>
    <row r="21" customFormat="false" ht="15" hidden="false" customHeight="false" outlineLevel="0" collapsed="false">
      <c r="A21" s="3" t="s">
        <v>17</v>
      </c>
      <c r="B21" s="4"/>
    </row>
    <row r="22" customFormat="false" ht="15" hidden="false" customHeight="false" outlineLevel="0" collapsed="false">
      <c r="A22" s="5" t="s">
        <v>18</v>
      </c>
      <c r="B22" s="6" t="n">
        <f aca="false">Supuestos!$I$13-Mobiliario!$B$44</f>
        <v>39310800</v>
      </c>
    </row>
    <row r="23" customFormat="false" ht="15" hidden="false" customHeight="false" outlineLevel="0" collapsed="false">
      <c r="A23" s="5" t="s">
        <v>19</v>
      </c>
      <c r="B23" s="6" t="n">
        <f aca="false">Supuestos!$B$45</f>
        <v>4020000</v>
      </c>
    </row>
    <row r="24" customFormat="false" ht="15" hidden="false" customHeight="false" outlineLevel="0" collapsed="false">
      <c r="A24" s="5" t="s">
        <v>20</v>
      </c>
      <c r="B24" s="6" t="n">
        <f aca="false">-Supuestos!$F$28</f>
        <v>-0</v>
      </c>
    </row>
    <row r="25" customFormat="false" ht="15" hidden="false" customHeight="false" outlineLevel="0" collapsed="false">
      <c r="A25" s="5" t="s">
        <v>21</v>
      </c>
      <c r="B25" s="6" t="n">
        <f aca="false">Préstamo!$B$13</f>
        <v>12632760.552607</v>
      </c>
    </row>
    <row r="26" customFormat="false" ht="15" hidden="false" customHeight="false" outlineLevel="0" collapsed="false">
      <c r="A26" s="7" t="s">
        <v>22</v>
      </c>
      <c r="B26" s="8" t="n">
        <f aca="false">Escenarios!$B$10</f>
        <v>187221333.552607</v>
      </c>
    </row>
    <row r="28" customFormat="false" ht="15" hidden="false" customHeight="false" outlineLevel="0" collapsed="false">
      <c r="A28" s="3" t="s">
        <v>23</v>
      </c>
      <c r="B28" s="4"/>
    </row>
    <row r="29" customFormat="false" ht="15" hidden="false" customHeight="false" outlineLevel="0" collapsed="false">
      <c r="A29" s="5" t="s">
        <v>24</v>
      </c>
      <c r="B29" s="6" t="n">
        <f aca="false">Escenarios!$B$16</f>
        <v>9246000</v>
      </c>
    </row>
    <row r="30" customFormat="false" ht="15" hidden="false" customHeight="false" outlineLevel="0" collapsed="false">
      <c r="A30" s="5" t="s">
        <v>25</v>
      </c>
      <c r="B30" s="6" t="n">
        <f aca="false">Escenarios!$B$17</f>
        <v>-3418466.66666667</v>
      </c>
    </row>
    <row r="31" customFormat="false" ht="15" hidden="false" customHeight="false" outlineLevel="0" collapsed="false">
      <c r="A31" s="5" t="s">
        <v>26</v>
      </c>
      <c r="B31" s="6" t="n">
        <f aca="false">INDEX(Escenarios!$B$19:$D$19,MATCH(Supuestos!$B$28,Escenarios!$B$15:$D$15,0))</f>
        <v>-1165506.66666667</v>
      </c>
    </row>
    <row r="32" customFormat="false" ht="15" hidden="false" customHeight="false" outlineLevel="0" collapsed="false">
      <c r="A32" s="5" t="s">
        <v>27</v>
      </c>
      <c r="B32" s="9" t="n">
        <f aca="false">Supuestos!$B$28</f>
        <v>0.2</v>
      </c>
    </row>
    <row r="33" customFormat="false" ht="15" hidden="false" customHeight="false" outlineLevel="0" collapsed="false">
      <c r="A33" s="7" t="s">
        <v>28</v>
      </c>
      <c r="B33" s="8" t="n">
        <f aca="false">INDEX(Escenarios!$B$20:$D$20,MATCH(Supuestos!$B$28,Escenarios!$B$15:$D$15,0))</f>
        <v>4662026.66666667</v>
      </c>
    </row>
    <row r="34" customFormat="false" ht="15" hidden="false" customHeight="false" outlineLevel="0" collapsed="false">
      <c r="A34" s="5" t="s">
        <v>29</v>
      </c>
      <c r="B34" s="6" t="n">
        <f aca="false">Escenarios!$B$21</f>
        <v>-1323132.23757242</v>
      </c>
    </row>
    <row r="35" customFormat="false" ht="15" hidden="false" customHeight="false" outlineLevel="0" collapsed="false">
      <c r="A35" s="5" t="s">
        <v>30</v>
      </c>
      <c r="B35" s="6" t="n">
        <f aca="false">INDEX(Escenarios!$B$22:$D$22,MATCH(Supuestos!$B$28,Escenarios!$B$15:$D$15,0))</f>
        <v>3338894.42909425</v>
      </c>
    </row>
    <row r="36" customFormat="false" ht="15" hidden="false" customHeight="false" outlineLevel="0" collapsed="false">
      <c r="A36" s="5" t="s">
        <v>31</v>
      </c>
      <c r="B36" s="6" t="n">
        <f aca="false">INDEX(Escenarios!$B$50:$D$50,MATCH(Supuestos!$B$28,Escenarios!$B$15:$D$15,0))</f>
        <v>2535267.76242758</v>
      </c>
    </row>
    <row r="37" customFormat="false" ht="15" hidden="false" customHeight="false" outlineLevel="0" collapsed="false">
      <c r="A37" s="5" t="s">
        <v>32</v>
      </c>
      <c r="B37" s="6" t="n">
        <f aca="false">Supuestos!$B$50</f>
        <v>620000</v>
      </c>
    </row>
    <row r="39" customFormat="false" ht="15" hidden="false" customHeight="false" outlineLevel="0" collapsed="false">
      <c r="A39" s="3" t="s">
        <v>33</v>
      </c>
      <c r="B39" s="4"/>
    </row>
    <row r="40" customFormat="false" ht="15" hidden="false" customHeight="false" outlineLevel="0" collapsed="false">
      <c r="A40" s="7" t="s">
        <v>34</v>
      </c>
      <c r="B40" s="10" t="n">
        <f aca="false">INDEX(Escenarios!$B$26:$D$26,MATCH(Supuestos!$B$28,Escenarios!$B$15:$D$15,0))</f>
        <v>45</v>
      </c>
    </row>
    <row r="41" customFormat="false" ht="15" hidden="false" customHeight="false" outlineLevel="0" collapsed="false">
      <c r="A41" s="5" t="s">
        <v>35</v>
      </c>
      <c r="B41" s="11" t="n">
        <f aca="false">INDEX(Escenarios!$B$27:$D$27,MATCH(Supuestos!$B$28,Escenarios!$B$15:$D$15,0))</f>
        <v>47635</v>
      </c>
    </row>
    <row r="42" customFormat="false" ht="15" hidden="false" customHeight="false" outlineLevel="0" collapsed="false">
      <c r="A42" s="7" t="s">
        <v>36</v>
      </c>
      <c r="B42" s="12" t="n">
        <f aca="false">INDEX(Escenarios!$B$24:$D$24,MATCH(Supuestos!$B$28,Escenarios!$B$15:$D$15,0))</f>
        <v>0.298813810042007</v>
      </c>
    </row>
    <row r="43" customFormat="false" ht="15" hidden="false" customHeight="false" outlineLevel="0" collapsed="false">
      <c r="A43" s="5" t="s">
        <v>37</v>
      </c>
      <c r="B43" s="9" t="n">
        <f aca="false">Supuestos!$B$40</f>
        <v>0.1207</v>
      </c>
    </row>
    <row r="44" customFormat="false" ht="15" hidden="false" customHeight="false" outlineLevel="0" collapsed="false">
      <c r="A44" s="5" t="s">
        <v>38</v>
      </c>
      <c r="B44" s="9" t="n">
        <f aca="false">Supuestos!$B$38</f>
        <v>0.085</v>
      </c>
    </row>
    <row r="46" customFormat="false" ht="15" hidden="false" customHeight="false" outlineLevel="0" collapsed="false">
      <c r="A46" s="3" t="s">
        <v>39</v>
      </c>
      <c r="B46" s="4"/>
    </row>
    <row r="47" customFormat="false" ht="15" hidden="false" customHeight="false" outlineLevel="0" collapsed="false">
      <c r="A47" s="5" t="s">
        <v>40</v>
      </c>
      <c r="B47" s="6" t="n">
        <f aca="false">Valoración!$B$41</f>
        <v>602928141.9</v>
      </c>
    </row>
    <row r="48" customFormat="false" ht="15" hidden="false" customHeight="false" outlineLevel="0" collapsed="false">
      <c r="A48" s="5" t="s">
        <v>41</v>
      </c>
      <c r="B48" s="6" t="n">
        <f aca="false">Valoración!$B$42</f>
        <v>810387314.285714</v>
      </c>
    </row>
    <row r="50" customFormat="false" ht="15" hidden="false" customHeight="false" outlineLevel="0" collapsed="false">
      <c r="A50" s="2" t="s">
        <v>42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6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3" min="2" style="0" width="16"/>
    <col collapsed="false" customWidth="true" hidden="false" outlineLevel="0" max="4" min="4" style="0" width="20"/>
  </cols>
  <sheetData>
    <row r="1" customFormat="false" ht="18.5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44</v>
      </c>
    </row>
    <row r="4" customFormat="false" ht="15" hidden="false" customHeight="false" outlineLevel="0" collapsed="false">
      <c r="A4" s="13" t="s">
        <v>45</v>
      </c>
    </row>
    <row r="5" customFormat="false" ht="15" hidden="false" customHeight="false" outlineLevel="0" collapsed="false">
      <c r="A5" s="14" t="s">
        <v>46</v>
      </c>
      <c r="B5" s="14"/>
      <c r="C5" s="14"/>
      <c r="D5" s="15" t="n">
        <f aca="false">'Registro Mensual'!$C$6</f>
        <v>1250000</v>
      </c>
    </row>
    <row r="6" customFormat="false" ht="15" hidden="false" customHeight="false" outlineLevel="0" collapsed="false">
      <c r="A6" s="14" t="s">
        <v>47</v>
      </c>
      <c r="B6" s="14"/>
      <c r="C6" s="14"/>
      <c r="D6" s="15" t="n">
        <f aca="false">-'Registro Mensual'!$K$6</f>
        <v>-1190248</v>
      </c>
    </row>
    <row r="7" customFormat="false" ht="15" hidden="false" customHeight="false" outlineLevel="0" collapsed="false">
      <c r="A7" s="14" t="s">
        <v>48</v>
      </c>
      <c r="B7" s="14"/>
      <c r="C7" s="14"/>
      <c r="D7" s="15" t="n">
        <f aca="false">-'Registro Mensual'!$D$6</f>
        <v>-606000</v>
      </c>
    </row>
    <row r="8" customFormat="false" ht="15" hidden="false" customHeight="false" outlineLevel="0" collapsed="false">
      <c r="A8" s="16" t="s">
        <v>49</v>
      </c>
      <c r="B8" s="16"/>
      <c r="C8" s="16"/>
      <c r="D8" s="17" t="n">
        <f aca="false">'Registro Mensual'!$C$6-'Registro Mensual'!$K$6-'Registro Mensual'!$D$6</f>
        <v>-546248</v>
      </c>
    </row>
    <row r="9" customFormat="false" ht="15" hidden="false" customHeight="true" outlineLevel="0" collapsed="false">
      <c r="A9" s="18" t="s">
        <v>50</v>
      </c>
      <c r="B9" s="18"/>
      <c r="C9" s="18"/>
      <c r="D9" s="18"/>
    </row>
    <row r="10" customFormat="false" ht="15" hidden="false" customHeight="false" outlineLevel="0" collapsed="false">
      <c r="A10" s="18"/>
      <c r="B10" s="18"/>
      <c r="C10" s="18"/>
      <c r="D10" s="18"/>
    </row>
    <row r="11" customFormat="false" ht="15" hidden="false" customHeight="false" outlineLevel="0" collapsed="false">
      <c r="A11" s="18"/>
      <c r="B11" s="18"/>
      <c r="C11" s="18"/>
      <c r="D11" s="18"/>
    </row>
    <row r="13" customFormat="false" ht="15" hidden="false" customHeight="false" outlineLevel="0" collapsed="false">
      <c r="A13" s="13" t="s">
        <v>51</v>
      </c>
    </row>
    <row r="14" customFormat="false" ht="15" hidden="false" customHeight="true" outlineLevel="0" collapsed="false">
      <c r="A14" s="18" t="s">
        <v>52</v>
      </c>
      <c r="B14" s="18"/>
      <c r="C14" s="18"/>
      <c r="D14" s="18"/>
    </row>
    <row r="15" customFormat="false" ht="15" hidden="false" customHeight="false" outlineLevel="0" collapsed="false">
      <c r="A15" s="18"/>
      <c r="B15" s="18"/>
      <c r="C15" s="18"/>
      <c r="D15" s="18"/>
    </row>
    <row r="16" customFormat="false" ht="15" hidden="false" customHeight="true" outlineLevel="0" collapsed="false">
      <c r="A16" s="18" t="s">
        <v>53</v>
      </c>
      <c r="B16" s="18"/>
      <c r="C16" s="18"/>
      <c r="D16" s="18"/>
    </row>
    <row r="17" customFormat="false" ht="15" hidden="false" customHeight="false" outlineLevel="0" collapsed="false">
      <c r="A17" s="18"/>
      <c r="B17" s="18"/>
      <c r="C17" s="18"/>
      <c r="D17" s="18"/>
    </row>
    <row r="19" customFormat="false" ht="15" hidden="false" customHeight="false" outlineLevel="0" collapsed="false">
      <c r="A19" s="13" t="s">
        <v>54</v>
      </c>
    </row>
    <row r="20" customFormat="false" ht="15" hidden="false" customHeight="false" outlineLevel="0" collapsed="false">
      <c r="A20" s="14" t="s">
        <v>55</v>
      </c>
      <c r="B20" s="14"/>
      <c r="C20" s="14"/>
      <c r="D20" s="15" t="n">
        <f aca="false">Préstamo!$B$11</f>
        <v>1323132.23757242</v>
      </c>
    </row>
    <row r="21" customFormat="false" ht="15" hidden="false" customHeight="false" outlineLevel="0" collapsed="false">
      <c r="A21" s="14" t="s">
        <v>56</v>
      </c>
      <c r="B21" s="14"/>
      <c r="C21" s="14"/>
      <c r="D21" s="19" t="n">
        <f aca="false">Comparación!$B$26</f>
        <v>9</v>
      </c>
    </row>
    <row r="22" customFormat="false" ht="15" hidden="false" customHeight="false" outlineLevel="0" collapsed="false">
      <c r="A22" s="16" t="s">
        <v>57</v>
      </c>
      <c r="B22" s="16"/>
      <c r="C22" s="16"/>
      <c r="D22" s="17" t="n">
        <f aca="false">Comparación!$B$27</f>
        <v>-19254193.9963403</v>
      </c>
    </row>
    <row r="23" customFormat="false" ht="15" hidden="false" customHeight="true" outlineLevel="0" collapsed="false">
      <c r="A23" s="18" t="s">
        <v>58</v>
      </c>
      <c r="B23" s="18"/>
      <c r="C23" s="18"/>
      <c r="D23" s="18"/>
    </row>
    <row r="24" customFormat="false" ht="15" hidden="false" customHeight="false" outlineLevel="0" collapsed="false">
      <c r="A24" s="18"/>
      <c r="B24" s="18"/>
      <c r="C24" s="18"/>
      <c r="D24" s="18"/>
    </row>
    <row r="25" customFormat="false" ht="15" hidden="false" customHeight="false" outlineLevel="0" collapsed="false">
      <c r="A25" s="18"/>
      <c r="B25" s="18"/>
      <c r="C25" s="18"/>
      <c r="D25" s="18"/>
    </row>
    <row r="27" customFormat="false" ht="15" hidden="false" customHeight="false" outlineLevel="0" collapsed="false">
      <c r="A27" s="13" t="s">
        <v>59</v>
      </c>
    </row>
    <row r="28" customFormat="false" ht="15" hidden="false" customHeight="true" outlineLevel="0" collapsed="false">
      <c r="A28" s="18" t="s">
        <v>60</v>
      </c>
      <c r="B28" s="18"/>
      <c r="C28" s="18"/>
      <c r="D28" s="18"/>
    </row>
    <row r="29" customFormat="false" ht="15" hidden="false" customHeight="false" outlineLevel="0" collapsed="false">
      <c r="A29" s="18"/>
      <c r="B29" s="18"/>
      <c r="C29" s="18"/>
      <c r="D29" s="18"/>
    </row>
    <row r="30" customFormat="false" ht="15" hidden="false" customHeight="false" outlineLevel="0" collapsed="false">
      <c r="A30" s="18"/>
      <c r="B30" s="18"/>
      <c r="C30" s="18"/>
      <c r="D30" s="18"/>
    </row>
    <row r="31" customFormat="false" ht="15" hidden="false" customHeight="true" outlineLevel="0" collapsed="false">
      <c r="A31" s="18" t="s">
        <v>61</v>
      </c>
      <c r="B31" s="18"/>
      <c r="C31" s="18"/>
      <c r="D31" s="18"/>
    </row>
    <row r="32" customFormat="false" ht="15" hidden="false" customHeight="false" outlineLevel="0" collapsed="false">
      <c r="A32" s="18"/>
      <c r="B32" s="18"/>
      <c r="C32" s="18"/>
      <c r="D32" s="18"/>
    </row>
    <row r="33" customFormat="false" ht="15" hidden="false" customHeight="false" outlineLevel="0" collapsed="false">
      <c r="A33" s="16" t="s">
        <v>62</v>
      </c>
      <c r="B33" s="16"/>
      <c r="C33" s="16"/>
      <c r="D33" s="17" t="n">
        <f aca="false">INDEX(Escenarios!$B$50:$D$50,MATCH(Supuestos!$B$28,Escenarios!$B$15:$D$15,0))</f>
        <v>2535267.76242758</v>
      </c>
    </row>
    <row r="34" customFormat="false" ht="15" hidden="false" customHeight="false" outlineLevel="0" collapsed="false">
      <c r="A34" s="14" t="s">
        <v>63</v>
      </c>
      <c r="B34" s="14"/>
      <c r="C34" s="14"/>
      <c r="D34" s="15" t="n">
        <f aca="false">INDEX(Escenarios!$B$22:$D$22,MATCH(Supuestos!$B$28,Escenarios!$B$15:$D$15,0))</f>
        <v>3338894.42909425</v>
      </c>
    </row>
    <row r="35" customFormat="false" ht="15" hidden="false" customHeight="false" outlineLevel="0" collapsed="false">
      <c r="A35" s="14" t="s">
        <v>64</v>
      </c>
      <c r="B35" s="14"/>
      <c r="C35" s="14"/>
      <c r="D35" s="15" t="n">
        <f aca="false">INDEX(Escenarios!$B$20:$D$20,MATCH(Supuestos!$B$28,Escenarios!$B$15:$D$15,0))</f>
        <v>4662026.66666667</v>
      </c>
    </row>
    <row r="36" customFormat="false" ht="15" hidden="false" customHeight="true" outlineLevel="0" collapsed="false">
      <c r="A36" s="18" t="s">
        <v>65</v>
      </c>
      <c r="B36" s="18"/>
      <c r="C36" s="18"/>
      <c r="D36" s="18"/>
    </row>
    <row r="37" customFormat="false" ht="15" hidden="false" customHeight="false" outlineLevel="0" collapsed="false">
      <c r="A37" s="18"/>
      <c r="B37" s="18"/>
      <c r="C37" s="18"/>
      <c r="D37" s="18"/>
    </row>
    <row r="38" customFormat="false" ht="15" hidden="false" customHeight="false" outlineLevel="0" collapsed="false">
      <c r="A38" s="18"/>
      <c r="B38" s="18"/>
      <c r="C38" s="18"/>
      <c r="D38" s="18"/>
    </row>
    <row r="39" customFormat="false" ht="15" hidden="false" customHeight="false" outlineLevel="0" collapsed="false">
      <c r="A39" s="14" t="s">
        <v>66</v>
      </c>
      <c r="B39" s="14"/>
      <c r="C39" s="14"/>
      <c r="D39" s="15" t="n">
        <f aca="false">Mobiliario!$C$52</f>
        <v>2830000</v>
      </c>
    </row>
    <row r="40" customFormat="false" ht="15" hidden="false" customHeight="false" outlineLevel="0" collapsed="false">
      <c r="A40" s="14" t="s">
        <v>67</v>
      </c>
      <c r="B40" s="14"/>
      <c r="C40" s="14"/>
      <c r="D40" s="15" t="n">
        <f aca="false">Mobiliario!$B$54*Mobiliario!$B$56</f>
        <v>1190000</v>
      </c>
    </row>
    <row r="41" customFormat="false" ht="15" hidden="false" customHeight="false" outlineLevel="0" collapsed="false">
      <c r="A41" s="14" t="s">
        <v>68</v>
      </c>
      <c r="B41" s="14"/>
      <c r="C41" s="14"/>
      <c r="D41" s="15" t="n">
        <f aca="false">Supuestos!$F$30*Supuestos!$F$29*Supuestos!$F$32*COUNTA(Supuestos!$A$6:$A$12)</f>
        <v>196000</v>
      </c>
    </row>
    <row r="42" customFormat="false" ht="15" hidden="false" customHeight="false" outlineLevel="0" collapsed="false">
      <c r="A42" s="14" t="s">
        <v>69</v>
      </c>
      <c r="B42" s="14"/>
      <c r="C42" s="14"/>
      <c r="D42" s="15" t="n">
        <f aca="false">Supuestos!$B$47</f>
        <v>45000</v>
      </c>
    </row>
    <row r="43" customFormat="false" ht="15" hidden="false" customHeight="false" outlineLevel="0" collapsed="false">
      <c r="A43" s="16" t="s">
        <v>70</v>
      </c>
      <c r="B43" s="16"/>
      <c r="C43" s="16"/>
      <c r="D43" s="20" t="n">
        <f aca="false">IFERROR(Supuestos!$B$45/(D41+D42),0)</f>
        <v>16.6804979253112</v>
      </c>
    </row>
    <row r="44" customFormat="false" ht="15" hidden="false" customHeight="true" outlineLevel="0" collapsed="false">
      <c r="A44" s="18" t="s">
        <v>71</v>
      </c>
      <c r="B44" s="18"/>
      <c r="C44" s="18"/>
      <c r="D44" s="18"/>
    </row>
    <row r="45" customFormat="false" ht="15" hidden="false" customHeight="false" outlineLevel="0" collapsed="false">
      <c r="A45" s="18"/>
      <c r="B45" s="18"/>
      <c r="C45" s="18"/>
      <c r="D45" s="18"/>
    </row>
    <row r="46" customFormat="false" ht="15" hidden="false" customHeight="false" outlineLevel="0" collapsed="false">
      <c r="A46" s="14" t="s">
        <v>72</v>
      </c>
      <c r="B46" s="14"/>
      <c r="C46" s="14"/>
      <c r="D46" s="15" t="n">
        <f aca="false">Comparación!$B$33</f>
        <v>357000</v>
      </c>
    </row>
    <row r="47" customFormat="false" ht="15" hidden="false" customHeight="true" outlineLevel="0" collapsed="false">
      <c r="A47" s="18" t="s">
        <v>73</v>
      </c>
      <c r="B47" s="18"/>
      <c r="C47" s="18"/>
      <c r="D47" s="18"/>
    </row>
    <row r="48" customFormat="false" ht="15" hidden="false" customHeight="false" outlineLevel="0" collapsed="false">
      <c r="A48" s="18"/>
      <c r="B48" s="18"/>
      <c r="C48" s="18"/>
      <c r="D48" s="18"/>
    </row>
    <row r="49" customFormat="false" ht="15" hidden="false" customHeight="false" outlineLevel="0" collapsed="false">
      <c r="A49" s="18"/>
      <c r="B49" s="18"/>
      <c r="C49" s="18"/>
      <c r="D49" s="18"/>
    </row>
    <row r="50" customFormat="false" ht="15" hidden="false" customHeight="false" outlineLevel="0" collapsed="false">
      <c r="A50" s="14" t="s">
        <v>74</v>
      </c>
      <c r="B50" s="14"/>
      <c r="C50" s="14"/>
      <c r="D50" s="15" t="n">
        <f aca="false">Supuestos!$C$12</f>
        <v>1400000</v>
      </c>
    </row>
    <row r="51" customFormat="false" ht="15" hidden="false" customHeight="false" outlineLevel="0" collapsed="false">
      <c r="A51" s="14" t="s">
        <v>75</v>
      </c>
      <c r="B51" s="14"/>
      <c r="C51" s="14"/>
      <c r="D51" s="21" t="n">
        <f aca="false">Supuestos!$D$12</f>
        <v>46844</v>
      </c>
    </row>
    <row r="52" customFormat="false" ht="15" hidden="false" customHeight="false" outlineLevel="0" collapsed="false">
      <c r="A52" s="14" t="s">
        <v>76</v>
      </c>
      <c r="B52" s="14"/>
      <c r="C52" s="14"/>
      <c r="D52" s="15" t="n">
        <f aca="false">Mobiliario!$H$44</f>
        <v>6551800</v>
      </c>
    </row>
    <row r="53" customFormat="false" ht="15" hidden="false" customHeight="false" outlineLevel="0" collapsed="false">
      <c r="A53" s="16" t="s">
        <v>77</v>
      </c>
      <c r="B53" s="16"/>
      <c r="C53" s="16"/>
      <c r="D53" s="17" t="n">
        <f aca="false">INDEX(Escenarios!$B$20:$D$20,MATCH(Supuestos!$B$28,Escenarios!$B$15:$D$15,0))-INDEX(Escenarios!$B$48:$D$48,MATCH(Supuestos!$B$28,Escenarios!$B$15:$D$15,0))</f>
        <v>803626.666666666</v>
      </c>
    </row>
    <row r="54" customFormat="false" ht="15" hidden="false" customHeight="false" outlineLevel="0" collapsed="false">
      <c r="A54" s="14" t="s">
        <v>78</v>
      </c>
      <c r="B54" s="14"/>
      <c r="C54" s="14"/>
      <c r="D54" s="15" t="n">
        <f aca="false">12*(INDEX(Escenarios!$B$20:$D$20,MATCH(Supuestos!$B$28,Escenarios!$B$15:$D$15,0))-INDEX(Escenarios!$B$48:$D$48,MATCH(Supuestos!$B$28,Escenarios!$B$15:$D$15,0)))</f>
        <v>9643519.99999999</v>
      </c>
    </row>
    <row r="56" customFormat="false" ht="15" hidden="false" customHeight="false" outlineLevel="0" collapsed="false">
      <c r="A56" s="13" t="s">
        <v>79</v>
      </c>
    </row>
    <row r="57" customFormat="false" ht="15" hidden="false" customHeight="false" outlineLevel="0" collapsed="false">
      <c r="A57" s="14" t="s">
        <v>80</v>
      </c>
      <c r="B57" s="14"/>
      <c r="C57" s="14"/>
      <c r="D57" s="15" t="n">
        <f aca="false">'Flujo Proyectado'!$Q$77</f>
        <v>49063625</v>
      </c>
    </row>
    <row r="58" customFormat="false" ht="15" hidden="false" customHeight="false" outlineLevel="0" collapsed="false">
      <c r="A58" s="14" t="s">
        <v>81</v>
      </c>
      <c r="B58" s="14"/>
      <c r="C58" s="14"/>
      <c r="D58" s="15" t="n">
        <f aca="false">Comparación!$C$18</f>
        <v>-16562240.7090575</v>
      </c>
    </row>
    <row r="59" customFormat="false" ht="15" hidden="false" customHeight="false" outlineLevel="0" collapsed="false">
      <c r="A59" s="16" t="s">
        <v>82</v>
      </c>
      <c r="B59" s="16"/>
      <c r="C59" s="16"/>
      <c r="D59" s="17" t="n">
        <f aca="false">Comparación!$C$19</f>
        <v>25949584.2909425</v>
      </c>
    </row>
    <row r="60" customFormat="false" ht="15" hidden="false" customHeight="true" outlineLevel="0" collapsed="false">
      <c r="A60" s="18" t="s">
        <v>83</v>
      </c>
      <c r="B60" s="18"/>
      <c r="C60" s="18"/>
      <c r="D60" s="18"/>
    </row>
    <row r="61" customFormat="false" ht="15" hidden="false" customHeight="false" outlineLevel="0" collapsed="false">
      <c r="A61" s="18"/>
      <c r="B61" s="18"/>
      <c r="C61" s="18"/>
      <c r="D61" s="18"/>
    </row>
    <row r="62" customFormat="false" ht="15" hidden="false" customHeight="false" outlineLevel="0" collapsed="false">
      <c r="A62" s="18"/>
      <c r="B62" s="18"/>
      <c r="C62" s="18"/>
      <c r="D62" s="18"/>
    </row>
    <row r="64" customFormat="false" ht="15" hidden="false" customHeight="false" outlineLevel="0" collapsed="false">
      <c r="A64" s="13" t="s">
        <v>84</v>
      </c>
    </row>
    <row r="65" customFormat="false" ht="15" hidden="false" customHeight="true" outlineLevel="0" collapsed="false">
      <c r="A65" s="18" t="s">
        <v>85</v>
      </c>
      <c r="B65" s="18"/>
      <c r="C65" s="18"/>
      <c r="D65" s="18"/>
    </row>
    <row r="66" customFormat="false" ht="15" hidden="false" customHeight="false" outlineLevel="0" collapsed="false">
      <c r="A66" s="18"/>
      <c r="B66" s="18"/>
      <c r="C66" s="18"/>
      <c r="D66" s="18"/>
    </row>
    <row r="67" customFormat="false" ht="15" hidden="false" customHeight="false" outlineLevel="0" collapsed="false">
      <c r="A67" s="18"/>
      <c r="B67" s="18"/>
      <c r="C67" s="18"/>
      <c r="D67" s="18"/>
    </row>
  </sheetData>
  <mergeCells count="35">
    <mergeCell ref="A5:C5"/>
    <mergeCell ref="A6:C6"/>
    <mergeCell ref="A7:C7"/>
    <mergeCell ref="A8:C8"/>
    <mergeCell ref="A9:D11"/>
    <mergeCell ref="A14:D15"/>
    <mergeCell ref="A16:D17"/>
    <mergeCell ref="A20:C20"/>
    <mergeCell ref="A21:C21"/>
    <mergeCell ref="A22:C22"/>
    <mergeCell ref="A23:D25"/>
    <mergeCell ref="A28:D30"/>
    <mergeCell ref="A31:D32"/>
    <mergeCell ref="A33:C33"/>
    <mergeCell ref="A34:C34"/>
    <mergeCell ref="A35:C35"/>
    <mergeCell ref="A36:D38"/>
    <mergeCell ref="A39:C39"/>
    <mergeCell ref="A40:C40"/>
    <mergeCell ref="A41:C41"/>
    <mergeCell ref="A42:C42"/>
    <mergeCell ref="A43:C43"/>
    <mergeCell ref="A44:D45"/>
    <mergeCell ref="A46:C46"/>
    <mergeCell ref="A47:D49"/>
    <mergeCell ref="A50:C50"/>
    <mergeCell ref="A51:C51"/>
    <mergeCell ref="A52:C52"/>
    <mergeCell ref="A53:C53"/>
    <mergeCell ref="A54:C54"/>
    <mergeCell ref="A57:C57"/>
    <mergeCell ref="A58:C58"/>
    <mergeCell ref="A59:C59"/>
    <mergeCell ref="A60:D62"/>
    <mergeCell ref="A65:D67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N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6"/>
    <col collapsed="false" customWidth="true" hidden="false" outlineLevel="0" max="4" min="4" style="0" width="36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14"/>
    <col collapsed="false" customWidth="true" hidden="false" outlineLevel="0" max="10" min="10" style="0" width="28"/>
    <col collapsed="false" customWidth="true" hidden="false" outlineLevel="0" max="11" min="11" style="0" width="14"/>
    <col collapsed="false" customWidth="true" hidden="false" outlineLevel="0" max="12" min="12" style="0" width="9"/>
    <col collapsed="false" customWidth="true" hidden="false" outlineLevel="0" max="13" min="13" style="0" width="18"/>
    <col collapsed="false" customWidth="true" hidden="false" outlineLevel="0" max="14" min="14" style="0" width="38"/>
  </cols>
  <sheetData>
    <row r="1" customFormat="false" ht="18.55" hidden="false" customHeight="false" outlineLevel="0" collapsed="false">
      <c r="A1" s="1" t="s">
        <v>86</v>
      </c>
    </row>
    <row r="2" customFormat="false" ht="15" hidden="false" customHeight="false" outlineLevel="0" collapsed="false">
      <c r="A2" s="2" t="s">
        <v>87</v>
      </c>
    </row>
    <row r="3" customFormat="false" ht="15" hidden="false" customHeight="false" outlineLevel="0" collapsed="false">
      <c r="A3" s="22" t="s">
        <v>88</v>
      </c>
    </row>
    <row r="4" customFormat="false" ht="15" hidden="false" customHeight="false" outlineLevel="0" collapsed="false">
      <c r="H4" s="23" t="s">
        <v>89</v>
      </c>
      <c r="I4" s="17" t="n">
        <f aca="false">SUMIFS(I6:I205,L6:L205,"Gasto")</f>
        <v>131257773</v>
      </c>
    </row>
    <row r="5" customFormat="false" ht="33.75" hidden="false" customHeight="true" outlineLevel="0" collapsed="false">
      <c r="A5" s="24" t="s">
        <v>90</v>
      </c>
      <c r="B5" s="24" t="s">
        <v>91</v>
      </c>
      <c r="C5" s="24" t="s">
        <v>92</v>
      </c>
      <c r="D5" s="24" t="s">
        <v>93</v>
      </c>
      <c r="E5" s="24" t="s">
        <v>94</v>
      </c>
      <c r="F5" s="24" t="s">
        <v>95</v>
      </c>
      <c r="G5" s="24" t="s">
        <v>96</v>
      </c>
      <c r="H5" s="24" t="s">
        <v>97</v>
      </c>
      <c r="I5" s="24" t="s">
        <v>98</v>
      </c>
      <c r="J5" s="24" t="s">
        <v>99</v>
      </c>
      <c r="K5" s="24" t="s">
        <v>100</v>
      </c>
      <c r="L5" s="24" t="s">
        <v>101</v>
      </c>
      <c r="M5" s="24" t="s">
        <v>102</v>
      </c>
      <c r="N5" s="24" t="s">
        <v>103</v>
      </c>
    </row>
    <row r="6" customFormat="false" ht="23.85" hidden="false" customHeight="false" outlineLevel="0" collapsed="false">
      <c r="A6" s="25" t="n">
        <v>1</v>
      </c>
      <c r="B6" s="26" t="n">
        <v>46157</v>
      </c>
      <c r="C6" s="27" t="s">
        <v>104</v>
      </c>
      <c r="D6" s="28" t="s">
        <v>105</v>
      </c>
      <c r="E6" s="27" t="s">
        <v>106</v>
      </c>
      <c r="F6" s="27" t="s">
        <v>13</v>
      </c>
      <c r="G6" s="28" t="s">
        <v>107</v>
      </c>
      <c r="H6" s="27" t="s">
        <v>108</v>
      </c>
      <c r="I6" s="29" t="n">
        <v>10000000</v>
      </c>
      <c r="J6" s="28" t="s">
        <v>109</v>
      </c>
      <c r="K6" s="27" t="s">
        <v>110</v>
      </c>
      <c r="L6" s="27" t="s">
        <v>111</v>
      </c>
      <c r="M6" s="25" t="str">
        <f aca="false">IF(C6="","",IFERROR(VLOOKUP(C6,Supuestos!$A$58:$B$65,2,FALSE()),"Revisar"))</f>
        <v>Obra y adecuaciones</v>
      </c>
      <c r="N6" s="28"/>
    </row>
    <row r="7" customFormat="false" ht="23.85" hidden="false" customHeight="false" outlineLevel="0" collapsed="false">
      <c r="A7" s="25" t="n">
        <v>2</v>
      </c>
      <c r="B7" s="26" t="n">
        <v>46157</v>
      </c>
      <c r="C7" s="27" t="s">
        <v>104</v>
      </c>
      <c r="D7" s="28" t="s">
        <v>112</v>
      </c>
      <c r="E7" s="27" t="s">
        <v>106</v>
      </c>
      <c r="F7" s="27" t="s">
        <v>13</v>
      </c>
      <c r="G7" s="28" t="s">
        <v>107</v>
      </c>
      <c r="H7" s="27" t="s">
        <v>108</v>
      </c>
      <c r="I7" s="29" t="n">
        <v>10000000</v>
      </c>
      <c r="J7" s="28" t="s">
        <v>113</v>
      </c>
      <c r="K7" s="27" t="s">
        <v>110</v>
      </c>
      <c r="L7" s="27" t="s">
        <v>111</v>
      </c>
      <c r="M7" s="25" t="str">
        <f aca="false">IF(C7="","",IFERROR(VLOOKUP(C7,Supuestos!$A$58:$B$65,2,FALSE()),"Revisar"))</f>
        <v>Obra y adecuaciones</v>
      </c>
      <c r="N7" s="28"/>
    </row>
    <row r="8" customFormat="false" ht="23.85" hidden="false" customHeight="false" outlineLevel="0" collapsed="false">
      <c r="A8" s="25" t="n">
        <v>3</v>
      </c>
      <c r="B8" s="26" t="n">
        <v>46157</v>
      </c>
      <c r="C8" s="27" t="s">
        <v>114</v>
      </c>
      <c r="D8" s="28" t="s">
        <v>115</v>
      </c>
      <c r="E8" s="27" t="s">
        <v>116</v>
      </c>
      <c r="F8" s="27" t="s">
        <v>13</v>
      </c>
      <c r="G8" s="28" t="s">
        <v>107</v>
      </c>
      <c r="H8" s="27" t="s">
        <v>117</v>
      </c>
      <c r="I8" s="29" t="n">
        <v>80000</v>
      </c>
      <c r="J8" s="28" t="s">
        <v>118</v>
      </c>
      <c r="K8" s="27" t="s">
        <v>110</v>
      </c>
      <c r="L8" s="27" t="s">
        <v>111</v>
      </c>
      <c r="M8" s="25" t="str">
        <f aca="false">IF(C8="","",IFERROR(VLOOKUP(C8,Supuestos!$A$58:$B$65,2,FALSE()),"Revisar"))</f>
        <v>Obra y adecuaciones</v>
      </c>
      <c r="N8" s="28" t="s">
        <v>119</v>
      </c>
    </row>
    <row r="9" customFormat="false" ht="23.85" hidden="false" customHeight="false" outlineLevel="0" collapsed="false">
      <c r="A9" s="25" t="n">
        <v>4</v>
      </c>
      <c r="B9" s="26" t="n">
        <v>46167</v>
      </c>
      <c r="C9" s="27" t="s">
        <v>104</v>
      </c>
      <c r="D9" s="28" t="s">
        <v>120</v>
      </c>
      <c r="E9" s="27" t="s">
        <v>106</v>
      </c>
      <c r="F9" s="27" t="s">
        <v>13</v>
      </c>
      <c r="G9" s="28" t="s">
        <v>121</v>
      </c>
      <c r="H9" s="27" t="s">
        <v>122</v>
      </c>
      <c r="I9" s="29" t="n">
        <v>14000000</v>
      </c>
      <c r="J9" s="28" t="s">
        <v>123</v>
      </c>
      <c r="K9" s="27" t="s">
        <v>110</v>
      </c>
      <c r="L9" s="27" t="s">
        <v>111</v>
      </c>
      <c r="M9" s="25" t="str">
        <f aca="false">IF(C9="","",IFERROR(VLOOKUP(C9,Supuestos!$A$58:$B$65,2,FALSE()),"Revisar"))</f>
        <v>Obra y adecuaciones</v>
      </c>
      <c r="N9" s="28"/>
    </row>
    <row r="10" customFormat="false" ht="23.85" hidden="false" customHeight="false" outlineLevel="0" collapsed="false">
      <c r="A10" s="25" t="n">
        <v>5</v>
      </c>
      <c r="B10" s="26" t="n">
        <v>46195</v>
      </c>
      <c r="C10" s="27" t="s">
        <v>104</v>
      </c>
      <c r="D10" s="28" t="s">
        <v>124</v>
      </c>
      <c r="E10" s="27" t="s">
        <v>106</v>
      </c>
      <c r="F10" s="27" t="s">
        <v>13</v>
      </c>
      <c r="G10" s="28" t="s">
        <v>121</v>
      </c>
      <c r="H10" s="27" t="s">
        <v>122</v>
      </c>
      <c r="I10" s="29" t="n">
        <v>15000000</v>
      </c>
      <c r="J10" s="28" t="s">
        <v>125</v>
      </c>
      <c r="K10" s="27" t="s">
        <v>110</v>
      </c>
      <c r="L10" s="27" t="s">
        <v>111</v>
      </c>
      <c r="M10" s="25" t="str">
        <f aca="false">IF(C10="","",IFERROR(VLOOKUP(C10,Supuestos!$A$58:$B$65,2,FALSE()),"Revisar"))</f>
        <v>Obra y adecuaciones</v>
      </c>
      <c r="N10" s="28"/>
    </row>
    <row r="11" customFormat="false" ht="23.85" hidden="false" customHeight="false" outlineLevel="0" collapsed="false">
      <c r="A11" s="25" t="n">
        <v>6</v>
      </c>
      <c r="B11" s="26" t="n">
        <v>46195</v>
      </c>
      <c r="C11" s="27" t="s">
        <v>126</v>
      </c>
      <c r="D11" s="28" t="s">
        <v>127</v>
      </c>
      <c r="E11" s="27" t="s">
        <v>128</v>
      </c>
      <c r="F11" s="27" t="s">
        <v>13</v>
      </c>
      <c r="G11" s="28" t="s">
        <v>121</v>
      </c>
      <c r="H11" s="27" t="s">
        <v>122</v>
      </c>
      <c r="I11" s="29" t="n">
        <v>2500000</v>
      </c>
      <c r="J11" s="28" t="s">
        <v>125</v>
      </c>
      <c r="K11" s="27" t="s">
        <v>110</v>
      </c>
      <c r="L11" s="27" t="s">
        <v>111</v>
      </c>
      <c r="M11" s="25" t="str">
        <f aca="false">IF(C11="","",IFERROR(VLOOKUP(C11,Supuestos!$A$58:$B$65,2,FALSE()),"Revisar"))</f>
        <v>Obra y adecuaciones</v>
      </c>
      <c r="N11" s="28"/>
    </row>
    <row r="12" customFormat="false" ht="23.85" hidden="false" customHeight="false" outlineLevel="0" collapsed="false">
      <c r="A12" s="25" t="n">
        <v>7</v>
      </c>
      <c r="B12" s="26" t="n">
        <v>46197</v>
      </c>
      <c r="C12" s="27" t="s">
        <v>104</v>
      </c>
      <c r="D12" s="28" t="s">
        <v>129</v>
      </c>
      <c r="E12" s="27" t="s">
        <v>106</v>
      </c>
      <c r="F12" s="27" t="s">
        <v>13</v>
      </c>
      <c r="G12" s="28" t="s">
        <v>121</v>
      </c>
      <c r="H12" s="27" t="s">
        <v>122</v>
      </c>
      <c r="I12" s="29" t="n">
        <v>10500000</v>
      </c>
      <c r="J12" s="28" t="s">
        <v>130</v>
      </c>
      <c r="K12" s="27" t="s">
        <v>110</v>
      </c>
      <c r="L12" s="27" t="s">
        <v>111</v>
      </c>
      <c r="M12" s="25" t="str">
        <f aca="false">IF(C12="","",IFERROR(VLOOKUP(C12,Supuestos!$A$58:$B$65,2,FALSE()),"Revisar"))</f>
        <v>Obra y adecuaciones</v>
      </c>
      <c r="N12" s="28"/>
    </row>
    <row r="13" customFormat="false" ht="15" hidden="false" customHeight="false" outlineLevel="0" collapsed="false">
      <c r="A13" s="25" t="n">
        <v>8</v>
      </c>
      <c r="B13" s="26" t="n">
        <v>46218</v>
      </c>
      <c r="C13" s="27" t="s">
        <v>104</v>
      </c>
      <c r="D13" s="28" t="s">
        <v>131</v>
      </c>
      <c r="E13" s="27" t="s">
        <v>106</v>
      </c>
      <c r="F13" s="27" t="s">
        <v>14</v>
      </c>
      <c r="G13" s="28" t="s">
        <v>132</v>
      </c>
      <c r="H13" s="27" t="s">
        <v>108</v>
      </c>
      <c r="I13" s="29" t="n">
        <v>10000000</v>
      </c>
      <c r="J13" s="28" t="s">
        <v>133</v>
      </c>
      <c r="K13" s="27" t="s">
        <v>110</v>
      </c>
      <c r="L13" s="27" t="s">
        <v>111</v>
      </c>
      <c r="M13" s="25" t="str">
        <f aca="false">IF(C13="","",IFERROR(VLOOKUP(C13,Supuestos!$A$58:$B$65,2,FALSE()),"Revisar"))</f>
        <v>Obra y adecuaciones</v>
      </c>
      <c r="N13" s="28"/>
    </row>
    <row r="14" customFormat="false" ht="15" hidden="false" customHeight="false" outlineLevel="0" collapsed="false">
      <c r="A14" s="25" t="n">
        <v>9</v>
      </c>
      <c r="B14" s="26" t="n">
        <v>46218</v>
      </c>
      <c r="C14" s="27" t="s">
        <v>104</v>
      </c>
      <c r="D14" s="28" t="s">
        <v>131</v>
      </c>
      <c r="E14" s="27" t="s">
        <v>106</v>
      </c>
      <c r="F14" s="27" t="s">
        <v>14</v>
      </c>
      <c r="G14" s="28" t="s">
        <v>132</v>
      </c>
      <c r="H14" s="27" t="s">
        <v>108</v>
      </c>
      <c r="I14" s="29" t="n">
        <v>8000000</v>
      </c>
      <c r="J14" s="28" t="s">
        <v>134</v>
      </c>
      <c r="K14" s="27" t="s">
        <v>110</v>
      </c>
      <c r="L14" s="27" t="s">
        <v>111</v>
      </c>
      <c r="M14" s="25" t="str">
        <f aca="false">IF(C14="","",IFERROR(VLOOKUP(C14,Supuestos!$A$58:$B$65,2,FALSE()),"Revisar"))</f>
        <v>Obra y adecuaciones</v>
      </c>
      <c r="N14" s="28"/>
    </row>
    <row r="15" customFormat="false" ht="23.85" hidden="false" customHeight="false" outlineLevel="0" collapsed="false">
      <c r="A15" s="25" t="n">
        <v>10</v>
      </c>
      <c r="B15" s="26" t="n">
        <v>46228</v>
      </c>
      <c r="C15" s="27" t="s">
        <v>126</v>
      </c>
      <c r="D15" s="28" t="s">
        <v>135</v>
      </c>
      <c r="E15" s="27" t="s">
        <v>128</v>
      </c>
      <c r="F15" s="27" t="s">
        <v>13</v>
      </c>
      <c r="G15" s="28" t="s">
        <v>136</v>
      </c>
      <c r="H15" s="27" t="s">
        <v>108</v>
      </c>
      <c r="I15" s="29" t="n">
        <v>1250000</v>
      </c>
      <c r="J15" s="28" t="s">
        <v>137</v>
      </c>
      <c r="K15" s="27" t="s">
        <v>110</v>
      </c>
      <c r="L15" s="27" t="s">
        <v>111</v>
      </c>
      <c r="M15" s="25" t="str">
        <f aca="false">IF(C15="","",IFERROR(VLOOKUP(C15,Supuestos!$A$58:$B$65,2,FALSE()),"Revisar"))</f>
        <v>Obra y adecuaciones</v>
      </c>
      <c r="N15" s="28"/>
    </row>
    <row r="16" customFormat="false" ht="15" hidden="false" customHeight="false" outlineLevel="0" collapsed="false">
      <c r="A16" s="25" t="n">
        <v>11</v>
      </c>
      <c r="B16" s="26" t="n">
        <v>46247</v>
      </c>
      <c r="C16" s="27" t="s">
        <v>104</v>
      </c>
      <c r="D16" s="28" t="s">
        <v>131</v>
      </c>
      <c r="E16" s="27" t="s">
        <v>106</v>
      </c>
      <c r="F16" s="27" t="s">
        <v>14</v>
      </c>
      <c r="G16" s="28" t="s">
        <v>132</v>
      </c>
      <c r="H16" s="27" t="s">
        <v>108</v>
      </c>
      <c r="I16" s="29" t="n">
        <v>10500000</v>
      </c>
      <c r="J16" s="28" t="s">
        <v>138</v>
      </c>
      <c r="K16" s="27" t="s">
        <v>110</v>
      </c>
      <c r="L16" s="27" t="s">
        <v>111</v>
      </c>
      <c r="M16" s="25" t="str">
        <f aca="false">IF(C16="","",IFERROR(VLOOKUP(C16,Supuestos!$A$58:$B$65,2,FALSE()),"Revisar"))</f>
        <v>Obra y adecuaciones</v>
      </c>
      <c r="N16" s="28"/>
    </row>
    <row r="17" customFormat="false" ht="23.85" hidden="false" customHeight="false" outlineLevel="0" collapsed="false">
      <c r="A17" s="25" t="n">
        <v>12</v>
      </c>
      <c r="B17" s="26" t="n">
        <v>46218</v>
      </c>
      <c r="C17" s="27" t="s">
        <v>114</v>
      </c>
      <c r="D17" s="28" t="s">
        <v>139</v>
      </c>
      <c r="E17" s="27" t="s">
        <v>116</v>
      </c>
      <c r="F17" s="27" t="s">
        <v>14</v>
      </c>
      <c r="G17" s="28" t="s">
        <v>132</v>
      </c>
      <c r="H17" s="27" t="s">
        <v>117</v>
      </c>
      <c r="I17" s="29" t="n">
        <v>16188</v>
      </c>
      <c r="J17" s="28" t="s">
        <v>118</v>
      </c>
      <c r="K17" s="27" t="s">
        <v>110</v>
      </c>
      <c r="L17" s="27" t="s">
        <v>111</v>
      </c>
      <c r="M17" s="25" t="str">
        <f aca="false">IF(C17="","",IFERROR(VLOOKUP(C17,Supuestos!$A$58:$B$65,2,FALSE()),"Revisar"))</f>
        <v>Obra y adecuaciones</v>
      </c>
      <c r="N17" s="28" t="s">
        <v>140</v>
      </c>
    </row>
    <row r="18" customFormat="false" ht="23.85" hidden="false" customHeight="false" outlineLevel="0" collapsed="false">
      <c r="A18" s="25" t="n">
        <v>13</v>
      </c>
      <c r="B18" s="26" t="n">
        <v>46272</v>
      </c>
      <c r="C18" s="27" t="s">
        <v>104</v>
      </c>
      <c r="D18" s="28" t="s">
        <v>141</v>
      </c>
      <c r="E18" s="27" t="s">
        <v>106</v>
      </c>
      <c r="F18" s="27" t="s">
        <v>13</v>
      </c>
      <c r="G18" s="28" t="s">
        <v>142</v>
      </c>
      <c r="H18" s="27" t="s">
        <v>108</v>
      </c>
      <c r="I18" s="29" t="n">
        <v>15000000</v>
      </c>
      <c r="J18" s="28" t="s">
        <v>143</v>
      </c>
      <c r="K18" s="27" t="s">
        <v>110</v>
      </c>
      <c r="L18" s="27" t="s">
        <v>111</v>
      </c>
      <c r="M18" s="25" t="str">
        <f aca="false">IF(C18="","",IFERROR(VLOOKUP(C18,Supuestos!$A$58:$B$65,2,FALSE()),"Revisar"))</f>
        <v>Obra y adecuaciones</v>
      </c>
      <c r="N18" s="28" t="s">
        <v>144</v>
      </c>
    </row>
    <row r="19" customFormat="false" ht="23.85" hidden="false" customHeight="false" outlineLevel="0" collapsed="false">
      <c r="A19" s="25" t="n">
        <v>14</v>
      </c>
      <c r="B19" s="26" t="n">
        <v>46272</v>
      </c>
      <c r="C19" s="27" t="s">
        <v>104</v>
      </c>
      <c r="D19" s="28" t="s">
        <v>145</v>
      </c>
      <c r="E19" s="27" t="s">
        <v>106</v>
      </c>
      <c r="F19" s="27" t="s">
        <v>13</v>
      </c>
      <c r="G19" s="28" t="s">
        <v>121</v>
      </c>
      <c r="H19" s="27" t="s">
        <v>122</v>
      </c>
      <c r="I19" s="29" t="n">
        <v>5000000</v>
      </c>
      <c r="J19" s="28" t="s">
        <v>146</v>
      </c>
      <c r="K19" s="27" t="s">
        <v>110</v>
      </c>
      <c r="L19" s="27" t="s">
        <v>111</v>
      </c>
      <c r="M19" s="25" t="str">
        <f aca="false">IF(C19="","",IFERROR(VLOOKUP(C19,Supuestos!$A$58:$B$65,2,FALSE()),"Revisar"))</f>
        <v>Obra y adecuaciones</v>
      </c>
      <c r="N19" s="28"/>
    </row>
    <row r="20" customFormat="false" ht="23.85" hidden="false" customHeight="false" outlineLevel="0" collapsed="false">
      <c r="A20" s="25" t="n">
        <v>15</v>
      </c>
      <c r="B20" s="26" t="n">
        <v>46274</v>
      </c>
      <c r="C20" s="27" t="s">
        <v>147</v>
      </c>
      <c r="D20" s="28" t="s">
        <v>148</v>
      </c>
      <c r="E20" s="27" t="s">
        <v>149</v>
      </c>
      <c r="F20" s="27" t="s">
        <v>14</v>
      </c>
      <c r="G20" s="28" t="s">
        <v>150</v>
      </c>
      <c r="H20" s="27" t="s">
        <v>108</v>
      </c>
      <c r="I20" s="29" t="n">
        <v>2221135</v>
      </c>
      <c r="J20" s="28" t="s">
        <v>151</v>
      </c>
      <c r="K20" s="27" t="s">
        <v>110</v>
      </c>
      <c r="L20" s="27" t="s">
        <v>111</v>
      </c>
      <c r="M20" s="25" t="str">
        <f aca="false">IF(C20="","",IFERROR(VLOOKUP(C20,Supuestos!$A$58:$B$65,2,FALSE()),"Revisar"))</f>
        <v>Obra y adecuaciones</v>
      </c>
      <c r="N20" s="28"/>
    </row>
    <row r="21" customFormat="false" ht="23.85" hidden="false" customHeight="false" outlineLevel="0" collapsed="false">
      <c r="A21" s="25" t="n">
        <v>16</v>
      </c>
      <c r="B21" s="26" t="n">
        <v>46280</v>
      </c>
      <c r="C21" s="27" t="s">
        <v>104</v>
      </c>
      <c r="D21" s="28" t="s">
        <v>145</v>
      </c>
      <c r="E21" s="27" t="s">
        <v>106</v>
      </c>
      <c r="F21" s="27" t="s">
        <v>13</v>
      </c>
      <c r="G21" s="28" t="s">
        <v>121</v>
      </c>
      <c r="H21" s="27" t="s">
        <v>122</v>
      </c>
      <c r="I21" s="29" t="n">
        <v>5000000</v>
      </c>
      <c r="J21" s="28" t="s">
        <v>152</v>
      </c>
      <c r="K21" s="27" t="s">
        <v>110</v>
      </c>
      <c r="L21" s="27" t="s">
        <v>111</v>
      </c>
      <c r="M21" s="25" t="str">
        <f aca="false">IF(C21="","",IFERROR(VLOOKUP(C21,Supuestos!$A$58:$B$65,2,FALSE()),"Revisar"))</f>
        <v>Obra y adecuaciones</v>
      </c>
      <c r="N21" s="28"/>
    </row>
    <row r="22" customFormat="false" ht="35.05" hidden="false" customHeight="false" outlineLevel="0" collapsed="false">
      <c r="A22" s="25" t="n">
        <v>17</v>
      </c>
      <c r="B22" s="26" t="n">
        <v>46294</v>
      </c>
      <c r="C22" s="27" t="s">
        <v>104</v>
      </c>
      <c r="D22" s="28" t="s">
        <v>153</v>
      </c>
      <c r="E22" s="27" t="s">
        <v>106</v>
      </c>
      <c r="F22" s="27" t="s">
        <v>14</v>
      </c>
      <c r="G22" s="28" t="s">
        <v>154</v>
      </c>
      <c r="H22" s="27" t="s">
        <v>108</v>
      </c>
      <c r="I22" s="29" t="n">
        <v>1000000</v>
      </c>
      <c r="J22" s="28" t="s">
        <v>155</v>
      </c>
      <c r="K22" s="27" t="s">
        <v>110</v>
      </c>
      <c r="L22" s="27" t="s">
        <v>111</v>
      </c>
      <c r="M22" s="25" t="str">
        <f aca="false">IF(C22="","",IFERROR(VLOOKUP(C22,Supuestos!$A$58:$B$65,2,FALSE()),"Revisar"))</f>
        <v>Obra y adecuaciones</v>
      </c>
      <c r="N22" s="28"/>
    </row>
    <row r="23" customFormat="false" ht="35.05" hidden="false" customHeight="false" outlineLevel="0" collapsed="false">
      <c r="A23" s="25" t="n">
        <v>18</v>
      </c>
      <c r="B23" s="26" t="n">
        <v>46294</v>
      </c>
      <c r="C23" s="27" t="s">
        <v>147</v>
      </c>
      <c r="D23" s="28" t="s">
        <v>156</v>
      </c>
      <c r="E23" s="27" t="s">
        <v>149</v>
      </c>
      <c r="F23" s="27" t="s">
        <v>14</v>
      </c>
      <c r="G23" s="28" t="s">
        <v>154</v>
      </c>
      <c r="H23" s="27" t="s">
        <v>108</v>
      </c>
      <c r="I23" s="29" t="n">
        <v>1778650</v>
      </c>
      <c r="J23" s="28" t="s">
        <v>157</v>
      </c>
      <c r="K23" s="27" t="s">
        <v>110</v>
      </c>
      <c r="L23" s="27" t="s">
        <v>111</v>
      </c>
      <c r="M23" s="25" t="str">
        <f aca="false">IF(C23="","",IFERROR(VLOOKUP(C23,Supuestos!$A$58:$B$65,2,FALSE()),"Revisar"))</f>
        <v>Obra y adecuaciones</v>
      </c>
      <c r="N23" s="28"/>
    </row>
    <row r="24" customFormat="false" ht="23.85" hidden="false" customHeight="false" outlineLevel="0" collapsed="false">
      <c r="A24" s="25" t="n">
        <v>19</v>
      </c>
      <c r="B24" s="26" t="n">
        <v>46295</v>
      </c>
      <c r="C24" s="27" t="s">
        <v>147</v>
      </c>
      <c r="D24" s="28" t="s">
        <v>158</v>
      </c>
      <c r="E24" s="27" t="s">
        <v>149</v>
      </c>
      <c r="F24" s="27" t="s">
        <v>14</v>
      </c>
      <c r="G24" s="28" t="s">
        <v>150</v>
      </c>
      <c r="H24" s="27" t="s">
        <v>108</v>
      </c>
      <c r="I24" s="29" t="n">
        <v>1000000</v>
      </c>
      <c r="J24" s="28" t="s">
        <v>159</v>
      </c>
      <c r="K24" s="27" t="s">
        <v>110</v>
      </c>
      <c r="L24" s="27" t="s">
        <v>111</v>
      </c>
      <c r="M24" s="25" t="str">
        <f aca="false">IF(C24="","",IFERROR(VLOOKUP(C24,Supuestos!$A$58:$B$65,2,FALSE()),"Revisar"))</f>
        <v>Obra y adecuaciones</v>
      </c>
      <c r="N24" s="28" t="s">
        <v>160</v>
      </c>
    </row>
    <row r="25" customFormat="false" ht="23.85" hidden="false" customHeight="false" outlineLevel="0" collapsed="false">
      <c r="A25" s="25" t="n">
        <v>20</v>
      </c>
      <c r="B25" s="26"/>
      <c r="C25" s="27" t="s">
        <v>161</v>
      </c>
      <c r="D25" s="28" t="s">
        <v>162</v>
      </c>
      <c r="E25" s="27" t="s">
        <v>163</v>
      </c>
      <c r="F25" s="27" t="s">
        <v>14</v>
      </c>
      <c r="G25" s="28" t="s">
        <v>164</v>
      </c>
      <c r="H25" s="27" t="s">
        <v>108</v>
      </c>
      <c r="I25" s="29" t="n">
        <v>500215</v>
      </c>
      <c r="J25" s="28" t="s">
        <v>165</v>
      </c>
      <c r="K25" s="27" t="s">
        <v>110</v>
      </c>
      <c r="L25" s="27" t="s">
        <v>166</v>
      </c>
      <c r="M25" s="25" t="str">
        <f aca="false">IF(C25="","",IFERROR(VLOOKUP(C25,Supuestos!$A$58:$B$65,2,FALSE()),"Revisar"))</f>
        <v>Traslado (no es gasto)</v>
      </c>
      <c r="N25" s="28" t="s">
        <v>167</v>
      </c>
    </row>
    <row r="26" customFormat="false" ht="23.85" hidden="false" customHeight="false" outlineLevel="0" collapsed="false">
      <c r="A26" s="25" t="n">
        <v>21</v>
      </c>
      <c r="B26" s="26"/>
      <c r="C26" s="27" t="s">
        <v>168</v>
      </c>
      <c r="D26" s="28" t="s">
        <v>169</v>
      </c>
      <c r="E26" s="27" t="s">
        <v>170</v>
      </c>
      <c r="F26" s="27" t="s">
        <v>15</v>
      </c>
      <c r="G26" s="28" t="s">
        <v>171</v>
      </c>
      <c r="H26" s="27" t="s">
        <v>172</v>
      </c>
      <c r="I26" s="29" t="n">
        <v>310000</v>
      </c>
      <c r="J26" s="28" t="s">
        <v>173</v>
      </c>
      <c r="K26" s="27" t="s">
        <v>110</v>
      </c>
      <c r="L26" s="27" t="s">
        <v>111</v>
      </c>
      <c r="M26" s="25" t="str">
        <f aca="false">IF(C26="","",IFERROR(VLOOKUP(C26,Supuestos!$A$58:$B$65,2,FALSE()),"Revisar"))</f>
        <v>Obra y adecuaciones</v>
      </c>
      <c r="N26" s="28"/>
    </row>
    <row r="27" customFormat="false" ht="15" hidden="false" customHeight="false" outlineLevel="0" collapsed="false">
      <c r="A27" s="25" t="n">
        <v>22</v>
      </c>
      <c r="B27" s="26" t="n">
        <v>46296</v>
      </c>
      <c r="C27" s="27" t="s">
        <v>168</v>
      </c>
      <c r="D27" s="28" t="s">
        <v>174</v>
      </c>
      <c r="E27" s="27" t="s">
        <v>175</v>
      </c>
      <c r="F27" s="27" t="s">
        <v>13</v>
      </c>
      <c r="G27" s="28" t="s">
        <v>176</v>
      </c>
      <c r="H27" s="27" t="s">
        <v>177</v>
      </c>
      <c r="I27" s="29" t="n">
        <v>300000</v>
      </c>
      <c r="J27" s="28" t="s">
        <v>178</v>
      </c>
      <c r="K27" s="27" t="s">
        <v>179</v>
      </c>
      <c r="L27" s="27" t="s">
        <v>111</v>
      </c>
      <c r="M27" s="25" t="str">
        <f aca="false">IF(C27="","",IFERROR(VLOOKUP(C27,Supuestos!$A$58:$B$65,2,FALSE()),"Revisar"))</f>
        <v>Obra y adecuaciones</v>
      </c>
      <c r="N27" s="28" t="s">
        <v>180</v>
      </c>
    </row>
    <row r="28" customFormat="false" ht="23.85" hidden="false" customHeight="false" outlineLevel="0" collapsed="false">
      <c r="A28" s="25" t="n">
        <v>23</v>
      </c>
      <c r="B28" s="26"/>
      <c r="C28" s="27" t="s">
        <v>126</v>
      </c>
      <c r="D28" s="28" t="s">
        <v>181</v>
      </c>
      <c r="E28" s="27" t="s">
        <v>128</v>
      </c>
      <c r="F28" s="27" t="s">
        <v>13</v>
      </c>
      <c r="G28" s="28" t="s">
        <v>176</v>
      </c>
      <c r="H28" s="27" t="s">
        <v>177</v>
      </c>
      <c r="I28" s="29" t="n">
        <v>1250000</v>
      </c>
      <c r="J28" s="28" t="s">
        <v>178</v>
      </c>
      <c r="K28" s="27" t="s">
        <v>179</v>
      </c>
      <c r="L28" s="27" t="s">
        <v>111</v>
      </c>
      <c r="M28" s="25" t="str">
        <f aca="false">IF(C28="","",IFERROR(VLOOKUP(C28,Supuestos!$A$58:$B$65,2,FALSE()),"Revisar"))</f>
        <v>Obra y adecuaciones</v>
      </c>
      <c r="N28" s="28" t="s">
        <v>182</v>
      </c>
    </row>
    <row r="29" customFormat="false" ht="23.85" hidden="false" customHeight="false" outlineLevel="0" collapsed="false">
      <c r="A29" s="25" t="n">
        <v>24</v>
      </c>
      <c r="B29" s="26"/>
      <c r="C29" s="27" t="s">
        <v>183</v>
      </c>
      <c r="D29" s="28" t="s">
        <v>184</v>
      </c>
      <c r="E29" s="27" t="s">
        <v>185</v>
      </c>
      <c r="F29" s="27" t="s">
        <v>15</v>
      </c>
      <c r="G29" s="28" t="s">
        <v>186</v>
      </c>
      <c r="H29" s="27" t="s">
        <v>172</v>
      </c>
      <c r="I29" s="29" t="n">
        <f aca="false">Mobiliario!B42</f>
        <v>6551800</v>
      </c>
      <c r="J29" s="28" t="s">
        <v>187</v>
      </c>
      <c r="K29" s="27" t="s">
        <v>110</v>
      </c>
      <c r="L29" s="27" t="s">
        <v>111</v>
      </c>
      <c r="M29" s="25" t="str">
        <f aca="false">IF(C29="","",IFERROR(VLOOKUP(C29,Supuestos!$A$58:$B$65,2,FALSE()),"Revisar"))</f>
        <v>Mobiliario</v>
      </c>
      <c r="N29" s="28" t="s">
        <v>188</v>
      </c>
    </row>
    <row r="30" customFormat="false" ht="15" hidden="false" customHeight="false" outlineLevel="0" collapsed="false">
      <c r="A30" s="25" t="str">
        <f aca="false">IF(C30="","",ROW()-5)</f>
        <v/>
      </c>
      <c r="B30" s="26"/>
      <c r="C30" s="27"/>
      <c r="D30" s="27"/>
      <c r="E30" s="27"/>
      <c r="F30" s="27"/>
      <c r="G30" s="27"/>
      <c r="H30" s="27"/>
      <c r="I30" s="29"/>
      <c r="J30" s="27"/>
      <c r="K30" s="27"/>
      <c r="L30" s="27"/>
      <c r="M30" s="25" t="str">
        <f aca="false">IF(C30="","",IFERROR(VLOOKUP(C30,Supuestos!$A$58:$B$65,2,FALSE()),"Revisar"))</f>
        <v/>
      </c>
      <c r="N30" s="27"/>
    </row>
    <row r="31" customFormat="false" ht="15" hidden="false" customHeight="false" outlineLevel="0" collapsed="false">
      <c r="A31" s="25" t="str">
        <f aca="false">IF(C31="","",ROW()-5)</f>
        <v/>
      </c>
      <c r="B31" s="26"/>
      <c r="C31" s="27"/>
      <c r="D31" s="27"/>
      <c r="E31" s="27"/>
      <c r="F31" s="27"/>
      <c r="G31" s="27"/>
      <c r="H31" s="27"/>
      <c r="I31" s="29"/>
      <c r="J31" s="27"/>
      <c r="K31" s="27"/>
      <c r="L31" s="27"/>
      <c r="M31" s="25" t="str">
        <f aca="false">IF(C31="","",IFERROR(VLOOKUP(C31,Supuestos!$A$58:$B$65,2,FALSE()),"Revisar"))</f>
        <v/>
      </c>
      <c r="N31" s="27"/>
    </row>
    <row r="32" customFormat="false" ht="15" hidden="false" customHeight="false" outlineLevel="0" collapsed="false">
      <c r="A32" s="25" t="str">
        <f aca="false">IF(C32="","",ROW()-5)</f>
        <v/>
      </c>
      <c r="B32" s="26"/>
      <c r="C32" s="27"/>
      <c r="D32" s="27"/>
      <c r="E32" s="27"/>
      <c r="F32" s="27"/>
      <c r="G32" s="27"/>
      <c r="H32" s="27"/>
      <c r="I32" s="29"/>
      <c r="J32" s="27"/>
      <c r="K32" s="27"/>
      <c r="L32" s="27"/>
      <c r="M32" s="25" t="str">
        <f aca="false">IF(C32="","",IFERROR(VLOOKUP(C32,Supuestos!$A$58:$B$65,2,FALSE()),"Revisar"))</f>
        <v/>
      </c>
      <c r="N32" s="27"/>
    </row>
    <row r="33" customFormat="false" ht="15" hidden="false" customHeight="false" outlineLevel="0" collapsed="false">
      <c r="A33" s="25" t="str">
        <f aca="false">IF(C33="","",ROW()-5)</f>
        <v/>
      </c>
      <c r="B33" s="26"/>
      <c r="C33" s="27"/>
      <c r="D33" s="27"/>
      <c r="E33" s="27"/>
      <c r="F33" s="27"/>
      <c r="G33" s="27"/>
      <c r="H33" s="27"/>
      <c r="I33" s="29"/>
      <c r="J33" s="27"/>
      <c r="K33" s="27"/>
      <c r="L33" s="27"/>
      <c r="M33" s="25" t="str">
        <f aca="false">IF(C33="","",IFERROR(VLOOKUP(C33,Supuestos!$A$58:$B$65,2,FALSE()),"Revisar"))</f>
        <v/>
      </c>
      <c r="N33" s="27"/>
    </row>
    <row r="34" customFormat="false" ht="15" hidden="false" customHeight="false" outlineLevel="0" collapsed="false">
      <c r="A34" s="25" t="str">
        <f aca="false">IF(C34="","",ROW()-5)</f>
        <v/>
      </c>
      <c r="B34" s="26"/>
      <c r="C34" s="27"/>
      <c r="D34" s="27"/>
      <c r="E34" s="27"/>
      <c r="F34" s="27"/>
      <c r="G34" s="27"/>
      <c r="H34" s="27"/>
      <c r="I34" s="29"/>
      <c r="J34" s="27"/>
      <c r="K34" s="27"/>
      <c r="L34" s="27"/>
      <c r="M34" s="25" t="str">
        <f aca="false">IF(C34="","",IFERROR(VLOOKUP(C34,Supuestos!$A$58:$B$65,2,FALSE()),"Revisar"))</f>
        <v/>
      </c>
      <c r="N34" s="27"/>
    </row>
    <row r="35" customFormat="false" ht="15" hidden="false" customHeight="false" outlineLevel="0" collapsed="false">
      <c r="A35" s="25" t="str">
        <f aca="false">IF(C35="","",ROW()-5)</f>
        <v/>
      </c>
      <c r="B35" s="26"/>
      <c r="C35" s="27"/>
      <c r="D35" s="27"/>
      <c r="E35" s="27"/>
      <c r="F35" s="27"/>
      <c r="G35" s="27"/>
      <c r="H35" s="27"/>
      <c r="I35" s="29"/>
      <c r="J35" s="27"/>
      <c r="K35" s="27"/>
      <c r="L35" s="27"/>
      <c r="M35" s="25" t="str">
        <f aca="false">IF(C35="","",IFERROR(VLOOKUP(C35,Supuestos!$A$58:$B$65,2,FALSE()),"Revisar"))</f>
        <v/>
      </c>
      <c r="N35" s="27"/>
    </row>
    <row r="36" customFormat="false" ht="15" hidden="false" customHeight="false" outlineLevel="0" collapsed="false">
      <c r="A36" s="25" t="str">
        <f aca="false">IF(C36="","",ROW()-5)</f>
        <v/>
      </c>
      <c r="B36" s="26"/>
      <c r="C36" s="27"/>
      <c r="D36" s="27"/>
      <c r="E36" s="27"/>
      <c r="F36" s="27"/>
      <c r="G36" s="27"/>
      <c r="H36" s="27"/>
      <c r="I36" s="29"/>
      <c r="J36" s="27"/>
      <c r="K36" s="27"/>
      <c r="L36" s="27"/>
      <c r="M36" s="25" t="str">
        <f aca="false">IF(C36="","",IFERROR(VLOOKUP(C36,Supuestos!$A$58:$B$65,2,FALSE()),"Revisar"))</f>
        <v/>
      </c>
      <c r="N36" s="27"/>
    </row>
    <row r="37" customFormat="false" ht="15" hidden="false" customHeight="false" outlineLevel="0" collapsed="false">
      <c r="A37" s="25" t="str">
        <f aca="false">IF(C37="","",ROW()-5)</f>
        <v/>
      </c>
      <c r="B37" s="26"/>
      <c r="C37" s="27"/>
      <c r="D37" s="27"/>
      <c r="E37" s="27"/>
      <c r="F37" s="27"/>
      <c r="G37" s="27"/>
      <c r="H37" s="27"/>
      <c r="I37" s="29"/>
      <c r="J37" s="27"/>
      <c r="K37" s="27"/>
      <c r="L37" s="27"/>
      <c r="M37" s="25" t="str">
        <f aca="false">IF(C37="","",IFERROR(VLOOKUP(C37,Supuestos!$A$58:$B$65,2,FALSE()),"Revisar"))</f>
        <v/>
      </c>
      <c r="N37" s="27"/>
    </row>
    <row r="38" customFormat="false" ht="15" hidden="false" customHeight="false" outlineLevel="0" collapsed="false">
      <c r="A38" s="25" t="str">
        <f aca="false">IF(C38="","",ROW()-5)</f>
        <v/>
      </c>
      <c r="B38" s="26"/>
      <c r="C38" s="27"/>
      <c r="D38" s="27"/>
      <c r="E38" s="27"/>
      <c r="F38" s="27"/>
      <c r="G38" s="27"/>
      <c r="H38" s="27"/>
      <c r="I38" s="29"/>
      <c r="J38" s="27"/>
      <c r="K38" s="27"/>
      <c r="L38" s="27"/>
      <c r="M38" s="25" t="str">
        <f aca="false">IF(C38="","",IFERROR(VLOOKUP(C38,Supuestos!$A$58:$B$65,2,FALSE()),"Revisar"))</f>
        <v/>
      </c>
      <c r="N38" s="27"/>
    </row>
    <row r="39" customFormat="false" ht="15" hidden="false" customHeight="false" outlineLevel="0" collapsed="false">
      <c r="A39" s="25" t="str">
        <f aca="false">IF(C39="","",ROW()-5)</f>
        <v/>
      </c>
      <c r="B39" s="26"/>
      <c r="C39" s="27"/>
      <c r="D39" s="27"/>
      <c r="E39" s="27"/>
      <c r="F39" s="27"/>
      <c r="G39" s="27"/>
      <c r="H39" s="27"/>
      <c r="I39" s="29"/>
      <c r="J39" s="27"/>
      <c r="K39" s="27"/>
      <c r="L39" s="27"/>
      <c r="M39" s="25" t="str">
        <f aca="false">IF(C39="","",IFERROR(VLOOKUP(C39,Supuestos!$A$58:$B$65,2,FALSE()),"Revisar"))</f>
        <v/>
      </c>
      <c r="N39" s="27"/>
    </row>
    <row r="40" customFormat="false" ht="15" hidden="false" customHeight="false" outlineLevel="0" collapsed="false">
      <c r="A40" s="25" t="str">
        <f aca="false">IF(C40="","",ROW()-5)</f>
        <v/>
      </c>
      <c r="B40" s="26"/>
      <c r="C40" s="27"/>
      <c r="D40" s="27"/>
      <c r="E40" s="27"/>
      <c r="F40" s="27"/>
      <c r="G40" s="27"/>
      <c r="H40" s="27"/>
      <c r="I40" s="29"/>
      <c r="J40" s="27"/>
      <c r="K40" s="27"/>
      <c r="L40" s="27"/>
      <c r="M40" s="25" t="str">
        <f aca="false">IF(C40="","",IFERROR(VLOOKUP(C40,Supuestos!$A$58:$B$65,2,FALSE()),"Revisar"))</f>
        <v/>
      </c>
      <c r="N40" s="27"/>
    </row>
    <row r="41" customFormat="false" ht="15" hidden="false" customHeight="false" outlineLevel="0" collapsed="false">
      <c r="A41" s="25" t="str">
        <f aca="false">IF(C41="","",ROW()-5)</f>
        <v/>
      </c>
      <c r="B41" s="26"/>
      <c r="C41" s="27"/>
      <c r="D41" s="27"/>
      <c r="E41" s="27"/>
      <c r="F41" s="27"/>
      <c r="G41" s="27"/>
      <c r="H41" s="27"/>
      <c r="I41" s="29"/>
      <c r="J41" s="27"/>
      <c r="K41" s="27"/>
      <c r="L41" s="27"/>
      <c r="M41" s="25" t="str">
        <f aca="false">IF(C41="","",IFERROR(VLOOKUP(C41,Supuestos!$A$58:$B$65,2,FALSE()),"Revisar"))</f>
        <v/>
      </c>
      <c r="N41" s="27"/>
    </row>
    <row r="42" customFormat="false" ht="15" hidden="false" customHeight="false" outlineLevel="0" collapsed="false">
      <c r="A42" s="25" t="str">
        <f aca="false">IF(C42="","",ROW()-5)</f>
        <v/>
      </c>
      <c r="B42" s="26"/>
      <c r="C42" s="27"/>
      <c r="D42" s="27"/>
      <c r="E42" s="27"/>
      <c r="F42" s="27"/>
      <c r="G42" s="27"/>
      <c r="H42" s="27"/>
      <c r="I42" s="29"/>
      <c r="J42" s="27"/>
      <c r="K42" s="27"/>
      <c r="L42" s="27"/>
      <c r="M42" s="25" t="str">
        <f aca="false">IF(C42="","",IFERROR(VLOOKUP(C42,Supuestos!$A$58:$B$65,2,FALSE()),"Revisar"))</f>
        <v/>
      </c>
      <c r="N42" s="27"/>
    </row>
    <row r="43" customFormat="false" ht="15" hidden="false" customHeight="false" outlineLevel="0" collapsed="false">
      <c r="A43" s="25" t="str">
        <f aca="false">IF(C43="","",ROW()-5)</f>
        <v/>
      </c>
      <c r="B43" s="26"/>
      <c r="C43" s="27"/>
      <c r="D43" s="27"/>
      <c r="E43" s="27"/>
      <c r="F43" s="27"/>
      <c r="G43" s="27"/>
      <c r="H43" s="27"/>
      <c r="I43" s="29"/>
      <c r="J43" s="27"/>
      <c r="K43" s="27"/>
      <c r="L43" s="27"/>
      <c r="M43" s="25" t="str">
        <f aca="false">IF(C43="","",IFERROR(VLOOKUP(C43,Supuestos!$A$58:$B$65,2,FALSE()),"Revisar"))</f>
        <v/>
      </c>
      <c r="N43" s="27"/>
    </row>
    <row r="44" customFormat="false" ht="15" hidden="false" customHeight="false" outlineLevel="0" collapsed="false">
      <c r="A44" s="25" t="str">
        <f aca="false">IF(C44="","",ROW()-5)</f>
        <v/>
      </c>
      <c r="B44" s="26"/>
      <c r="C44" s="27"/>
      <c r="D44" s="27"/>
      <c r="E44" s="27"/>
      <c r="F44" s="27"/>
      <c r="G44" s="27"/>
      <c r="H44" s="27"/>
      <c r="I44" s="29"/>
      <c r="J44" s="27"/>
      <c r="K44" s="27"/>
      <c r="L44" s="27"/>
      <c r="M44" s="25" t="str">
        <f aca="false">IF(C44="","",IFERROR(VLOOKUP(C44,Supuestos!$A$58:$B$65,2,FALSE()),"Revisar"))</f>
        <v/>
      </c>
      <c r="N44" s="27"/>
    </row>
    <row r="45" customFormat="false" ht="15" hidden="false" customHeight="false" outlineLevel="0" collapsed="false">
      <c r="A45" s="25" t="str">
        <f aca="false">IF(C45="","",ROW()-5)</f>
        <v/>
      </c>
      <c r="B45" s="26"/>
      <c r="C45" s="27"/>
      <c r="D45" s="27"/>
      <c r="E45" s="27"/>
      <c r="F45" s="27"/>
      <c r="G45" s="27"/>
      <c r="H45" s="27"/>
      <c r="I45" s="29"/>
      <c r="J45" s="27"/>
      <c r="K45" s="27"/>
      <c r="L45" s="27"/>
      <c r="M45" s="25" t="str">
        <f aca="false">IF(C45="","",IFERROR(VLOOKUP(C45,Supuestos!$A$58:$B$65,2,FALSE()),"Revisar"))</f>
        <v/>
      </c>
      <c r="N45" s="27"/>
    </row>
    <row r="46" customFormat="false" ht="15" hidden="false" customHeight="false" outlineLevel="0" collapsed="false">
      <c r="A46" s="25" t="str">
        <f aca="false">IF(C46="","",ROW()-5)</f>
        <v/>
      </c>
      <c r="B46" s="26"/>
      <c r="C46" s="27"/>
      <c r="D46" s="27"/>
      <c r="E46" s="27"/>
      <c r="F46" s="27"/>
      <c r="G46" s="27"/>
      <c r="H46" s="27"/>
      <c r="I46" s="29"/>
      <c r="J46" s="27"/>
      <c r="K46" s="27"/>
      <c r="L46" s="27"/>
      <c r="M46" s="25" t="str">
        <f aca="false">IF(C46="","",IFERROR(VLOOKUP(C46,Supuestos!$A$58:$B$65,2,FALSE()),"Revisar"))</f>
        <v/>
      </c>
      <c r="N46" s="27"/>
    </row>
    <row r="47" customFormat="false" ht="15" hidden="false" customHeight="false" outlineLevel="0" collapsed="false">
      <c r="A47" s="25" t="str">
        <f aca="false">IF(C47="","",ROW()-5)</f>
        <v/>
      </c>
      <c r="B47" s="26"/>
      <c r="C47" s="27"/>
      <c r="D47" s="27"/>
      <c r="E47" s="27"/>
      <c r="F47" s="27"/>
      <c r="G47" s="27"/>
      <c r="H47" s="27"/>
      <c r="I47" s="29"/>
      <c r="J47" s="27"/>
      <c r="K47" s="27"/>
      <c r="L47" s="27"/>
      <c r="M47" s="25" t="str">
        <f aca="false">IF(C47="","",IFERROR(VLOOKUP(C47,Supuestos!$A$58:$B$65,2,FALSE()),"Revisar"))</f>
        <v/>
      </c>
      <c r="N47" s="27"/>
    </row>
    <row r="48" customFormat="false" ht="15" hidden="false" customHeight="false" outlineLevel="0" collapsed="false">
      <c r="A48" s="25" t="str">
        <f aca="false">IF(C48="","",ROW()-5)</f>
        <v/>
      </c>
      <c r="B48" s="26"/>
      <c r="C48" s="27"/>
      <c r="D48" s="27"/>
      <c r="E48" s="27"/>
      <c r="F48" s="27"/>
      <c r="G48" s="27"/>
      <c r="H48" s="27"/>
      <c r="I48" s="29"/>
      <c r="J48" s="27"/>
      <c r="K48" s="27"/>
      <c r="L48" s="27"/>
      <c r="M48" s="25" t="str">
        <f aca="false">IF(C48="","",IFERROR(VLOOKUP(C48,Supuestos!$A$58:$B$65,2,FALSE()),"Revisar"))</f>
        <v/>
      </c>
      <c r="N48" s="27"/>
    </row>
    <row r="49" customFormat="false" ht="15" hidden="false" customHeight="false" outlineLevel="0" collapsed="false">
      <c r="A49" s="25" t="str">
        <f aca="false">IF(C49="","",ROW()-5)</f>
        <v/>
      </c>
      <c r="B49" s="26"/>
      <c r="C49" s="27"/>
      <c r="D49" s="27"/>
      <c r="E49" s="27"/>
      <c r="F49" s="27"/>
      <c r="G49" s="27"/>
      <c r="H49" s="27"/>
      <c r="I49" s="29"/>
      <c r="J49" s="27"/>
      <c r="K49" s="27"/>
      <c r="L49" s="27"/>
      <c r="M49" s="25" t="str">
        <f aca="false">IF(C49="","",IFERROR(VLOOKUP(C49,Supuestos!$A$58:$B$65,2,FALSE()),"Revisar"))</f>
        <v/>
      </c>
      <c r="N49" s="27"/>
    </row>
    <row r="50" customFormat="false" ht="15" hidden="false" customHeight="false" outlineLevel="0" collapsed="false">
      <c r="A50" s="25" t="str">
        <f aca="false">IF(C50="","",ROW()-5)</f>
        <v/>
      </c>
      <c r="B50" s="26"/>
      <c r="C50" s="27"/>
      <c r="D50" s="27"/>
      <c r="E50" s="27"/>
      <c r="F50" s="27"/>
      <c r="G50" s="27"/>
      <c r="H50" s="27"/>
      <c r="I50" s="29"/>
      <c r="J50" s="27"/>
      <c r="K50" s="27"/>
      <c r="L50" s="27"/>
      <c r="M50" s="25" t="str">
        <f aca="false">IF(C50="","",IFERROR(VLOOKUP(C50,Supuestos!$A$58:$B$65,2,FALSE()),"Revisar"))</f>
        <v/>
      </c>
      <c r="N50" s="27"/>
    </row>
    <row r="51" customFormat="false" ht="15" hidden="false" customHeight="false" outlineLevel="0" collapsed="false">
      <c r="A51" s="25" t="str">
        <f aca="false">IF(C51="","",ROW()-5)</f>
        <v/>
      </c>
      <c r="B51" s="26"/>
      <c r="C51" s="27"/>
      <c r="D51" s="27"/>
      <c r="E51" s="27"/>
      <c r="F51" s="27"/>
      <c r="G51" s="27"/>
      <c r="H51" s="27"/>
      <c r="I51" s="29"/>
      <c r="J51" s="27"/>
      <c r="K51" s="27"/>
      <c r="L51" s="27"/>
      <c r="M51" s="25" t="str">
        <f aca="false">IF(C51="","",IFERROR(VLOOKUP(C51,Supuestos!$A$58:$B$65,2,FALSE()),"Revisar"))</f>
        <v/>
      </c>
      <c r="N51" s="27"/>
    </row>
    <row r="52" customFormat="false" ht="15" hidden="false" customHeight="false" outlineLevel="0" collapsed="false">
      <c r="A52" s="25" t="str">
        <f aca="false">IF(C52="","",ROW()-5)</f>
        <v/>
      </c>
      <c r="B52" s="26"/>
      <c r="C52" s="27"/>
      <c r="D52" s="27"/>
      <c r="E52" s="27"/>
      <c r="F52" s="27"/>
      <c r="G52" s="27"/>
      <c r="H52" s="27"/>
      <c r="I52" s="29"/>
      <c r="J52" s="27"/>
      <c r="K52" s="27"/>
      <c r="L52" s="27"/>
      <c r="M52" s="25" t="str">
        <f aca="false">IF(C52="","",IFERROR(VLOOKUP(C52,Supuestos!$A$58:$B$65,2,FALSE()),"Revisar"))</f>
        <v/>
      </c>
      <c r="N52" s="27"/>
    </row>
    <row r="53" customFormat="false" ht="15" hidden="false" customHeight="false" outlineLevel="0" collapsed="false">
      <c r="A53" s="25" t="str">
        <f aca="false">IF(C53="","",ROW()-5)</f>
        <v/>
      </c>
      <c r="B53" s="26"/>
      <c r="C53" s="27"/>
      <c r="D53" s="27"/>
      <c r="E53" s="27"/>
      <c r="F53" s="27"/>
      <c r="G53" s="27"/>
      <c r="H53" s="27"/>
      <c r="I53" s="29"/>
      <c r="J53" s="27"/>
      <c r="K53" s="27"/>
      <c r="L53" s="27"/>
      <c r="M53" s="25" t="str">
        <f aca="false">IF(C53="","",IFERROR(VLOOKUP(C53,Supuestos!$A$58:$B$65,2,FALSE()),"Revisar"))</f>
        <v/>
      </c>
      <c r="N53" s="27"/>
    </row>
    <row r="54" customFormat="false" ht="15" hidden="false" customHeight="false" outlineLevel="0" collapsed="false">
      <c r="A54" s="25" t="str">
        <f aca="false">IF(C54="","",ROW()-5)</f>
        <v/>
      </c>
      <c r="B54" s="26"/>
      <c r="C54" s="27"/>
      <c r="D54" s="27"/>
      <c r="E54" s="27"/>
      <c r="F54" s="27"/>
      <c r="G54" s="27"/>
      <c r="H54" s="27"/>
      <c r="I54" s="29"/>
      <c r="J54" s="27"/>
      <c r="K54" s="27"/>
      <c r="L54" s="27"/>
      <c r="M54" s="25" t="str">
        <f aca="false">IF(C54="","",IFERROR(VLOOKUP(C54,Supuestos!$A$58:$B$65,2,FALSE()),"Revisar"))</f>
        <v/>
      </c>
      <c r="N54" s="27"/>
    </row>
    <row r="55" customFormat="false" ht="15" hidden="false" customHeight="false" outlineLevel="0" collapsed="false">
      <c r="A55" s="25" t="str">
        <f aca="false">IF(C55="","",ROW()-5)</f>
        <v/>
      </c>
      <c r="B55" s="26"/>
      <c r="C55" s="27"/>
      <c r="D55" s="27"/>
      <c r="E55" s="27"/>
      <c r="F55" s="27"/>
      <c r="G55" s="27"/>
      <c r="H55" s="27"/>
      <c r="I55" s="29"/>
      <c r="J55" s="27"/>
      <c r="K55" s="27"/>
      <c r="L55" s="27"/>
      <c r="M55" s="25" t="str">
        <f aca="false">IF(C55="","",IFERROR(VLOOKUP(C55,Supuestos!$A$58:$B$65,2,FALSE()),"Revisar"))</f>
        <v/>
      </c>
      <c r="N55" s="27"/>
    </row>
    <row r="56" customFormat="false" ht="15" hidden="false" customHeight="false" outlineLevel="0" collapsed="false">
      <c r="A56" s="25" t="str">
        <f aca="false">IF(C56="","",ROW()-5)</f>
        <v/>
      </c>
      <c r="B56" s="26"/>
      <c r="C56" s="27"/>
      <c r="D56" s="27"/>
      <c r="E56" s="27"/>
      <c r="F56" s="27"/>
      <c r="G56" s="27"/>
      <c r="H56" s="27"/>
      <c r="I56" s="29"/>
      <c r="J56" s="27"/>
      <c r="K56" s="27"/>
      <c r="L56" s="27"/>
      <c r="M56" s="25" t="str">
        <f aca="false">IF(C56="","",IFERROR(VLOOKUP(C56,Supuestos!$A$58:$B$65,2,FALSE()),"Revisar"))</f>
        <v/>
      </c>
      <c r="N56" s="27"/>
    </row>
    <row r="57" customFormat="false" ht="15" hidden="false" customHeight="false" outlineLevel="0" collapsed="false">
      <c r="A57" s="25" t="str">
        <f aca="false">IF(C57="","",ROW()-5)</f>
        <v/>
      </c>
      <c r="B57" s="26"/>
      <c r="C57" s="27"/>
      <c r="D57" s="27"/>
      <c r="E57" s="27"/>
      <c r="F57" s="27"/>
      <c r="G57" s="27"/>
      <c r="H57" s="27"/>
      <c r="I57" s="29"/>
      <c r="J57" s="27"/>
      <c r="K57" s="27"/>
      <c r="L57" s="27"/>
      <c r="M57" s="25" t="str">
        <f aca="false">IF(C57="","",IFERROR(VLOOKUP(C57,Supuestos!$A$58:$B$65,2,FALSE()),"Revisar"))</f>
        <v/>
      </c>
      <c r="N57" s="27"/>
    </row>
    <row r="58" customFormat="false" ht="15" hidden="false" customHeight="false" outlineLevel="0" collapsed="false">
      <c r="A58" s="25" t="str">
        <f aca="false">IF(C58="","",ROW()-5)</f>
        <v/>
      </c>
      <c r="B58" s="26"/>
      <c r="C58" s="27"/>
      <c r="D58" s="27"/>
      <c r="E58" s="27"/>
      <c r="F58" s="27"/>
      <c r="G58" s="27"/>
      <c r="H58" s="27"/>
      <c r="I58" s="29"/>
      <c r="J58" s="27"/>
      <c r="K58" s="27"/>
      <c r="L58" s="27"/>
      <c r="M58" s="25" t="str">
        <f aca="false">IF(C58="","",IFERROR(VLOOKUP(C58,Supuestos!$A$58:$B$65,2,FALSE()),"Revisar"))</f>
        <v/>
      </c>
      <c r="N58" s="27"/>
    </row>
    <row r="59" customFormat="false" ht="15" hidden="false" customHeight="false" outlineLevel="0" collapsed="false">
      <c r="A59" s="25" t="str">
        <f aca="false">IF(C59="","",ROW()-5)</f>
        <v/>
      </c>
      <c r="B59" s="26"/>
      <c r="C59" s="27"/>
      <c r="D59" s="27"/>
      <c r="E59" s="27"/>
      <c r="F59" s="27"/>
      <c r="G59" s="27"/>
      <c r="H59" s="27"/>
      <c r="I59" s="29"/>
      <c r="J59" s="27"/>
      <c r="K59" s="27"/>
      <c r="L59" s="27"/>
      <c r="M59" s="25" t="str">
        <f aca="false">IF(C59="","",IFERROR(VLOOKUP(C59,Supuestos!$A$58:$B$65,2,FALSE()),"Revisar"))</f>
        <v/>
      </c>
      <c r="N59" s="27"/>
    </row>
    <row r="60" customFormat="false" ht="15" hidden="false" customHeight="false" outlineLevel="0" collapsed="false">
      <c r="A60" s="25" t="str">
        <f aca="false">IF(C60="","",ROW()-5)</f>
        <v/>
      </c>
      <c r="B60" s="26"/>
      <c r="C60" s="27"/>
      <c r="D60" s="27"/>
      <c r="E60" s="27"/>
      <c r="F60" s="27"/>
      <c r="G60" s="27"/>
      <c r="H60" s="27"/>
      <c r="I60" s="29"/>
      <c r="J60" s="27"/>
      <c r="K60" s="27"/>
      <c r="L60" s="27"/>
      <c r="M60" s="25" t="str">
        <f aca="false">IF(C60="","",IFERROR(VLOOKUP(C60,Supuestos!$A$58:$B$65,2,FALSE()),"Revisar"))</f>
        <v/>
      </c>
      <c r="N60" s="27"/>
    </row>
    <row r="61" customFormat="false" ht="15" hidden="false" customHeight="false" outlineLevel="0" collapsed="false">
      <c r="A61" s="25" t="str">
        <f aca="false">IF(C61="","",ROW()-5)</f>
        <v/>
      </c>
      <c r="B61" s="26"/>
      <c r="C61" s="27"/>
      <c r="D61" s="27"/>
      <c r="E61" s="27"/>
      <c r="F61" s="27"/>
      <c r="G61" s="27"/>
      <c r="H61" s="27"/>
      <c r="I61" s="29"/>
      <c r="J61" s="27"/>
      <c r="K61" s="27"/>
      <c r="L61" s="27"/>
      <c r="M61" s="25" t="str">
        <f aca="false">IF(C61="","",IFERROR(VLOOKUP(C61,Supuestos!$A$58:$B$65,2,FALSE()),"Revisar"))</f>
        <v/>
      </c>
      <c r="N61" s="27"/>
    </row>
    <row r="62" customFormat="false" ht="15" hidden="false" customHeight="false" outlineLevel="0" collapsed="false">
      <c r="A62" s="25" t="str">
        <f aca="false">IF(C62="","",ROW()-5)</f>
        <v/>
      </c>
      <c r="B62" s="26"/>
      <c r="C62" s="27"/>
      <c r="D62" s="27"/>
      <c r="E62" s="27"/>
      <c r="F62" s="27"/>
      <c r="G62" s="27"/>
      <c r="H62" s="27"/>
      <c r="I62" s="29"/>
      <c r="J62" s="27"/>
      <c r="K62" s="27"/>
      <c r="L62" s="27"/>
      <c r="M62" s="25" t="str">
        <f aca="false">IF(C62="","",IFERROR(VLOOKUP(C62,Supuestos!$A$58:$B$65,2,FALSE()),"Revisar"))</f>
        <v/>
      </c>
      <c r="N62" s="27"/>
    </row>
    <row r="63" customFormat="false" ht="15" hidden="false" customHeight="false" outlineLevel="0" collapsed="false">
      <c r="A63" s="25" t="str">
        <f aca="false">IF(C63="","",ROW()-5)</f>
        <v/>
      </c>
      <c r="B63" s="26"/>
      <c r="C63" s="27"/>
      <c r="D63" s="27"/>
      <c r="E63" s="27"/>
      <c r="F63" s="27"/>
      <c r="G63" s="27"/>
      <c r="H63" s="27"/>
      <c r="I63" s="29"/>
      <c r="J63" s="27"/>
      <c r="K63" s="27"/>
      <c r="L63" s="27"/>
      <c r="M63" s="25" t="str">
        <f aca="false">IF(C63="","",IFERROR(VLOOKUP(C63,Supuestos!$A$58:$B$65,2,FALSE()),"Revisar"))</f>
        <v/>
      </c>
      <c r="N63" s="27"/>
    </row>
    <row r="64" customFormat="false" ht="15" hidden="false" customHeight="false" outlineLevel="0" collapsed="false">
      <c r="A64" s="25" t="str">
        <f aca="false">IF(C64="","",ROW()-5)</f>
        <v/>
      </c>
      <c r="B64" s="26"/>
      <c r="C64" s="27"/>
      <c r="D64" s="27"/>
      <c r="E64" s="27"/>
      <c r="F64" s="27"/>
      <c r="G64" s="27"/>
      <c r="H64" s="27"/>
      <c r="I64" s="29"/>
      <c r="J64" s="27"/>
      <c r="K64" s="27"/>
      <c r="L64" s="27"/>
      <c r="M64" s="25" t="str">
        <f aca="false">IF(C64="","",IFERROR(VLOOKUP(C64,Supuestos!$A$58:$B$65,2,FALSE()),"Revisar"))</f>
        <v/>
      </c>
      <c r="N64" s="27"/>
    </row>
    <row r="65" customFormat="false" ht="15" hidden="false" customHeight="false" outlineLevel="0" collapsed="false">
      <c r="A65" s="25" t="str">
        <f aca="false">IF(C65="","",ROW()-5)</f>
        <v/>
      </c>
      <c r="B65" s="26"/>
      <c r="C65" s="27"/>
      <c r="D65" s="27"/>
      <c r="E65" s="27"/>
      <c r="F65" s="27"/>
      <c r="G65" s="27"/>
      <c r="H65" s="27"/>
      <c r="I65" s="29"/>
      <c r="J65" s="27"/>
      <c r="K65" s="27"/>
      <c r="L65" s="27"/>
      <c r="M65" s="25" t="str">
        <f aca="false">IF(C65="","",IFERROR(VLOOKUP(C65,Supuestos!$A$58:$B$65,2,FALSE()),"Revisar"))</f>
        <v/>
      </c>
      <c r="N65" s="27"/>
    </row>
    <row r="66" customFormat="false" ht="15" hidden="false" customHeight="false" outlineLevel="0" collapsed="false">
      <c r="A66" s="25" t="str">
        <f aca="false">IF(C66="","",ROW()-5)</f>
        <v/>
      </c>
      <c r="B66" s="26"/>
      <c r="C66" s="27"/>
      <c r="D66" s="27"/>
      <c r="E66" s="27"/>
      <c r="F66" s="27"/>
      <c r="G66" s="27"/>
      <c r="H66" s="27"/>
      <c r="I66" s="29"/>
      <c r="J66" s="27"/>
      <c r="K66" s="27"/>
      <c r="L66" s="27"/>
      <c r="M66" s="25" t="str">
        <f aca="false">IF(C66="","",IFERROR(VLOOKUP(C66,Supuestos!$A$58:$B$65,2,FALSE()),"Revisar"))</f>
        <v/>
      </c>
      <c r="N66" s="27"/>
    </row>
    <row r="67" customFormat="false" ht="15" hidden="false" customHeight="false" outlineLevel="0" collapsed="false">
      <c r="A67" s="25" t="str">
        <f aca="false">IF(C67="","",ROW()-5)</f>
        <v/>
      </c>
      <c r="B67" s="26"/>
      <c r="C67" s="27"/>
      <c r="D67" s="27"/>
      <c r="E67" s="27"/>
      <c r="F67" s="27"/>
      <c r="G67" s="27"/>
      <c r="H67" s="27"/>
      <c r="I67" s="29"/>
      <c r="J67" s="27"/>
      <c r="K67" s="27"/>
      <c r="L67" s="27"/>
      <c r="M67" s="25" t="str">
        <f aca="false">IF(C67="","",IFERROR(VLOOKUP(C67,Supuestos!$A$58:$B$65,2,FALSE()),"Revisar"))</f>
        <v/>
      </c>
      <c r="N67" s="27"/>
    </row>
    <row r="68" customFormat="false" ht="15" hidden="false" customHeight="false" outlineLevel="0" collapsed="false">
      <c r="A68" s="25" t="str">
        <f aca="false">IF(C68="","",ROW()-5)</f>
        <v/>
      </c>
      <c r="B68" s="26"/>
      <c r="C68" s="27"/>
      <c r="D68" s="27"/>
      <c r="E68" s="27"/>
      <c r="F68" s="27"/>
      <c r="G68" s="27"/>
      <c r="H68" s="27"/>
      <c r="I68" s="29"/>
      <c r="J68" s="27"/>
      <c r="K68" s="27"/>
      <c r="L68" s="27"/>
      <c r="M68" s="25" t="str">
        <f aca="false">IF(C68="","",IFERROR(VLOOKUP(C68,Supuestos!$A$58:$B$65,2,FALSE()),"Revisar"))</f>
        <v/>
      </c>
      <c r="N68" s="27"/>
    </row>
    <row r="69" customFormat="false" ht="15" hidden="false" customHeight="false" outlineLevel="0" collapsed="false">
      <c r="A69" s="25" t="str">
        <f aca="false">IF(C69="","",ROW()-5)</f>
        <v/>
      </c>
      <c r="B69" s="26"/>
      <c r="C69" s="27"/>
      <c r="D69" s="27"/>
      <c r="E69" s="27"/>
      <c r="F69" s="27"/>
      <c r="G69" s="27"/>
      <c r="H69" s="27"/>
      <c r="I69" s="29"/>
      <c r="J69" s="27"/>
      <c r="K69" s="27"/>
      <c r="L69" s="27"/>
      <c r="M69" s="25" t="str">
        <f aca="false">IF(C69="","",IFERROR(VLOOKUP(C69,Supuestos!$A$58:$B$65,2,FALSE()),"Revisar"))</f>
        <v/>
      </c>
      <c r="N69" s="27"/>
    </row>
    <row r="70" customFormat="false" ht="15" hidden="false" customHeight="false" outlineLevel="0" collapsed="false">
      <c r="A70" s="25" t="str">
        <f aca="false">IF(C70="","",ROW()-5)</f>
        <v/>
      </c>
      <c r="B70" s="26"/>
      <c r="C70" s="27"/>
      <c r="D70" s="27"/>
      <c r="E70" s="27"/>
      <c r="F70" s="27"/>
      <c r="G70" s="27"/>
      <c r="H70" s="27"/>
      <c r="I70" s="29"/>
      <c r="J70" s="27"/>
      <c r="K70" s="27"/>
      <c r="L70" s="27"/>
      <c r="M70" s="25" t="str">
        <f aca="false">IF(C70="","",IFERROR(VLOOKUP(C70,Supuestos!$A$58:$B$65,2,FALSE()),"Revisar"))</f>
        <v/>
      </c>
      <c r="N70" s="27"/>
    </row>
    <row r="71" customFormat="false" ht="15" hidden="false" customHeight="false" outlineLevel="0" collapsed="false">
      <c r="A71" s="25" t="str">
        <f aca="false">IF(C71="","",ROW()-5)</f>
        <v/>
      </c>
      <c r="B71" s="26"/>
      <c r="C71" s="27"/>
      <c r="D71" s="27"/>
      <c r="E71" s="27"/>
      <c r="F71" s="27"/>
      <c r="G71" s="27"/>
      <c r="H71" s="27"/>
      <c r="I71" s="29"/>
      <c r="J71" s="27"/>
      <c r="K71" s="27"/>
      <c r="L71" s="27"/>
      <c r="M71" s="25" t="str">
        <f aca="false">IF(C71="","",IFERROR(VLOOKUP(C71,Supuestos!$A$58:$B$65,2,FALSE()),"Revisar"))</f>
        <v/>
      </c>
      <c r="N71" s="27"/>
    </row>
    <row r="72" customFormat="false" ht="15" hidden="false" customHeight="false" outlineLevel="0" collapsed="false">
      <c r="A72" s="25" t="str">
        <f aca="false">IF(C72="","",ROW()-5)</f>
        <v/>
      </c>
      <c r="B72" s="26"/>
      <c r="C72" s="27"/>
      <c r="D72" s="27"/>
      <c r="E72" s="27"/>
      <c r="F72" s="27"/>
      <c r="G72" s="27"/>
      <c r="H72" s="27"/>
      <c r="I72" s="29"/>
      <c r="J72" s="27"/>
      <c r="K72" s="27"/>
      <c r="L72" s="27"/>
      <c r="M72" s="25" t="str">
        <f aca="false">IF(C72="","",IFERROR(VLOOKUP(C72,Supuestos!$A$58:$B$65,2,FALSE()),"Revisar"))</f>
        <v/>
      </c>
      <c r="N72" s="27"/>
    </row>
    <row r="73" customFormat="false" ht="15" hidden="false" customHeight="false" outlineLevel="0" collapsed="false">
      <c r="A73" s="25" t="str">
        <f aca="false">IF(C73="","",ROW()-5)</f>
        <v/>
      </c>
      <c r="B73" s="26"/>
      <c r="C73" s="27"/>
      <c r="D73" s="27"/>
      <c r="E73" s="27"/>
      <c r="F73" s="27"/>
      <c r="G73" s="27"/>
      <c r="H73" s="27"/>
      <c r="I73" s="29"/>
      <c r="J73" s="27"/>
      <c r="K73" s="27"/>
      <c r="L73" s="27"/>
      <c r="M73" s="25" t="str">
        <f aca="false">IF(C73="","",IFERROR(VLOOKUP(C73,Supuestos!$A$58:$B$65,2,FALSE()),"Revisar"))</f>
        <v/>
      </c>
      <c r="N73" s="27"/>
    </row>
    <row r="74" customFormat="false" ht="15" hidden="false" customHeight="false" outlineLevel="0" collapsed="false">
      <c r="A74" s="25" t="str">
        <f aca="false">IF(C74="","",ROW()-5)</f>
        <v/>
      </c>
      <c r="B74" s="26"/>
      <c r="C74" s="27"/>
      <c r="D74" s="27"/>
      <c r="E74" s="27"/>
      <c r="F74" s="27"/>
      <c r="G74" s="27"/>
      <c r="H74" s="27"/>
      <c r="I74" s="29"/>
      <c r="J74" s="27"/>
      <c r="K74" s="27"/>
      <c r="L74" s="27"/>
      <c r="M74" s="25" t="str">
        <f aca="false">IF(C74="","",IFERROR(VLOOKUP(C74,Supuestos!$A$58:$B$65,2,FALSE()),"Revisar"))</f>
        <v/>
      </c>
      <c r="N74" s="27"/>
    </row>
    <row r="75" customFormat="false" ht="15" hidden="false" customHeight="false" outlineLevel="0" collapsed="false">
      <c r="A75" s="25" t="str">
        <f aca="false">IF(C75="","",ROW()-5)</f>
        <v/>
      </c>
      <c r="B75" s="26"/>
      <c r="C75" s="27"/>
      <c r="D75" s="27"/>
      <c r="E75" s="27"/>
      <c r="F75" s="27"/>
      <c r="G75" s="27"/>
      <c r="H75" s="27"/>
      <c r="I75" s="29"/>
      <c r="J75" s="27"/>
      <c r="K75" s="27"/>
      <c r="L75" s="27"/>
      <c r="M75" s="25" t="str">
        <f aca="false">IF(C75="","",IFERROR(VLOOKUP(C75,Supuestos!$A$58:$B$65,2,FALSE()),"Revisar"))</f>
        <v/>
      </c>
      <c r="N75" s="27"/>
    </row>
    <row r="76" customFormat="false" ht="15" hidden="false" customHeight="false" outlineLevel="0" collapsed="false">
      <c r="A76" s="25" t="str">
        <f aca="false">IF(C76="","",ROW()-5)</f>
        <v/>
      </c>
      <c r="B76" s="26"/>
      <c r="C76" s="27"/>
      <c r="D76" s="27"/>
      <c r="E76" s="27"/>
      <c r="F76" s="27"/>
      <c r="G76" s="27"/>
      <c r="H76" s="27"/>
      <c r="I76" s="29"/>
      <c r="J76" s="27"/>
      <c r="K76" s="27"/>
      <c r="L76" s="27"/>
      <c r="M76" s="25" t="str">
        <f aca="false">IF(C76="","",IFERROR(VLOOKUP(C76,Supuestos!$A$58:$B$65,2,FALSE()),"Revisar"))</f>
        <v/>
      </c>
      <c r="N76" s="27"/>
    </row>
    <row r="77" customFormat="false" ht="15" hidden="false" customHeight="false" outlineLevel="0" collapsed="false">
      <c r="A77" s="25" t="str">
        <f aca="false">IF(C77="","",ROW()-5)</f>
        <v/>
      </c>
      <c r="B77" s="26"/>
      <c r="C77" s="27"/>
      <c r="D77" s="27"/>
      <c r="E77" s="27"/>
      <c r="F77" s="27"/>
      <c r="G77" s="27"/>
      <c r="H77" s="27"/>
      <c r="I77" s="29"/>
      <c r="J77" s="27"/>
      <c r="K77" s="27"/>
      <c r="L77" s="27"/>
      <c r="M77" s="25" t="str">
        <f aca="false">IF(C77="","",IFERROR(VLOOKUP(C77,Supuestos!$A$58:$B$65,2,FALSE()),"Revisar"))</f>
        <v/>
      </c>
      <c r="N77" s="27"/>
    </row>
    <row r="78" customFormat="false" ht="15" hidden="false" customHeight="false" outlineLevel="0" collapsed="false">
      <c r="A78" s="25" t="str">
        <f aca="false">IF(C78="","",ROW()-5)</f>
        <v/>
      </c>
      <c r="B78" s="26"/>
      <c r="C78" s="27"/>
      <c r="D78" s="27"/>
      <c r="E78" s="27"/>
      <c r="F78" s="27"/>
      <c r="G78" s="27"/>
      <c r="H78" s="27"/>
      <c r="I78" s="29"/>
      <c r="J78" s="27"/>
      <c r="K78" s="27"/>
      <c r="L78" s="27"/>
      <c r="M78" s="25" t="str">
        <f aca="false">IF(C78="","",IFERROR(VLOOKUP(C78,Supuestos!$A$58:$B$65,2,FALSE()),"Revisar"))</f>
        <v/>
      </c>
      <c r="N78" s="27"/>
    </row>
    <row r="79" customFormat="false" ht="15" hidden="false" customHeight="false" outlineLevel="0" collapsed="false">
      <c r="A79" s="25" t="str">
        <f aca="false">IF(C79="","",ROW()-5)</f>
        <v/>
      </c>
      <c r="B79" s="26"/>
      <c r="C79" s="27"/>
      <c r="D79" s="27"/>
      <c r="E79" s="27"/>
      <c r="F79" s="27"/>
      <c r="G79" s="27"/>
      <c r="H79" s="27"/>
      <c r="I79" s="29"/>
      <c r="J79" s="27"/>
      <c r="K79" s="27"/>
      <c r="L79" s="27"/>
      <c r="M79" s="25" t="str">
        <f aca="false">IF(C79="","",IFERROR(VLOOKUP(C79,Supuestos!$A$58:$B$65,2,FALSE()),"Revisar"))</f>
        <v/>
      </c>
      <c r="N79" s="27"/>
    </row>
    <row r="80" customFormat="false" ht="15" hidden="false" customHeight="false" outlineLevel="0" collapsed="false">
      <c r="A80" s="25" t="str">
        <f aca="false">IF(C80="","",ROW()-5)</f>
        <v/>
      </c>
      <c r="B80" s="26"/>
      <c r="C80" s="27"/>
      <c r="D80" s="27"/>
      <c r="E80" s="27"/>
      <c r="F80" s="27"/>
      <c r="G80" s="27"/>
      <c r="H80" s="27"/>
      <c r="I80" s="29"/>
      <c r="J80" s="27"/>
      <c r="K80" s="27"/>
      <c r="L80" s="27"/>
      <c r="M80" s="25" t="str">
        <f aca="false">IF(C80="","",IFERROR(VLOOKUP(C80,Supuestos!$A$58:$B$65,2,FALSE()),"Revisar"))</f>
        <v/>
      </c>
      <c r="N80" s="27"/>
    </row>
    <row r="81" customFormat="false" ht="15" hidden="false" customHeight="false" outlineLevel="0" collapsed="false">
      <c r="A81" s="25" t="str">
        <f aca="false">IF(C81="","",ROW()-5)</f>
        <v/>
      </c>
      <c r="B81" s="26"/>
      <c r="C81" s="27"/>
      <c r="D81" s="27"/>
      <c r="E81" s="27"/>
      <c r="F81" s="27"/>
      <c r="G81" s="27"/>
      <c r="H81" s="27"/>
      <c r="I81" s="29"/>
      <c r="J81" s="27"/>
      <c r="K81" s="27"/>
      <c r="L81" s="27"/>
      <c r="M81" s="25" t="str">
        <f aca="false">IF(C81="","",IFERROR(VLOOKUP(C81,Supuestos!$A$58:$B$65,2,FALSE()),"Revisar"))</f>
        <v/>
      </c>
      <c r="N81" s="27"/>
    </row>
    <row r="82" customFormat="false" ht="15" hidden="false" customHeight="false" outlineLevel="0" collapsed="false">
      <c r="A82" s="25" t="str">
        <f aca="false">IF(C82="","",ROW()-5)</f>
        <v/>
      </c>
      <c r="B82" s="26"/>
      <c r="C82" s="27"/>
      <c r="D82" s="27"/>
      <c r="E82" s="27"/>
      <c r="F82" s="27"/>
      <c r="G82" s="27"/>
      <c r="H82" s="27"/>
      <c r="I82" s="29"/>
      <c r="J82" s="27"/>
      <c r="K82" s="27"/>
      <c r="L82" s="27"/>
      <c r="M82" s="25" t="str">
        <f aca="false">IF(C82="","",IFERROR(VLOOKUP(C82,Supuestos!$A$58:$B$65,2,FALSE()),"Revisar"))</f>
        <v/>
      </c>
      <c r="N82" s="27"/>
    </row>
    <row r="83" customFormat="false" ht="15" hidden="false" customHeight="false" outlineLevel="0" collapsed="false">
      <c r="A83" s="25" t="str">
        <f aca="false">IF(C83="","",ROW()-5)</f>
        <v/>
      </c>
      <c r="B83" s="26"/>
      <c r="C83" s="27"/>
      <c r="D83" s="27"/>
      <c r="E83" s="27"/>
      <c r="F83" s="27"/>
      <c r="G83" s="27"/>
      <c r="H83" s="27"/>
      <c r="I83" s="29"/>
      <c r="J83" s="27"/>
      <c r="K83" s="27"/>
      <c r="L83" s="27"/>
      <c r="M83" s="25" t="str">
        <f aca="false">IF(C83="","",IFERROR(VLOOKUP(C83,Supuestos!$A$58:$B$65,2,FALSE()),"Revisar"))</f>
        <v/>
      </c>
      <c r="N83" s="27"/>
    </row>
    <row r="84" customFormat="false" ht="15" hidden="false" customHeight="false" outlineLevel="0" collapsed="false">
      <c r="A84" s="25" t="str">
        <f aca="false">IF(C84="","",ROW()-5)</f>
        <v/>
      </c>
      <c r="B84" s="26"/>
      <c r="C84" s="27"/>
      <c r="D84" s="27"/>
      <c r="E84" s="27"/>
      <c r="F84" s="27"/>
      <c r="G84" s="27"/>
      <c r="H84" s="27"/>
      <c r="I84" s="29"/>
      <c r="J84" s="27"/>
      <c r="K84" s="27"/>
      <c r="L84" s="27"/>
      <c r="M84" s="25" t="str">
        <f aca="false">IF(C84="","",IFERROR(VLOOKUP(C84,Supuestos!$A$58:$B$65,2,FALSE()),"Revisar"))</f>
        <v/>
      </c>
      <c r="N84" s="27"/>
    </row>
    <row r="85" customFormat="false" ht="15" hidden="false" customHeight="false" outlineLevel="0" collapsed="false">
      <c r="A85" s="25" t="str">
        <f aca="false">IF(C85="","",ROW()-5)</f>
        <v/>
      </c>
      <c r="B85" s="26"/>
      <c r="C85" s="27"/>
      <c r="D85" s="27"/>
      <c r="E85" s="27"/>
      <c r="F85" s="27"/>
      <c r="G85" s="27"/>
      <c r="H85" s="27"/>
      <c r="I85" s="29"/>
      <c r="J85" s="27"/>
      <c r="K85" s="27"/>
      <c r="L85" s="27"/>
      <c r="M85" s="25" t="str">
        <f aca="false">IF(C85="","",IFERROR(VLOOKUP(C85,Supuestos!$A$58:$B$65,2,FALSE()),"Revisar"))</f>
        <v/>
      </c>
      <c r="N85" s="27"/>
    </row>
    <row r="86" customFormat="false" ht="15" hidden="false" customHeight="false" outlineLevel="0" collapsed="false">
      <c r="A86" s="25" t="str">
        <f aca="false">IF(C86="","",ROW()-5)</f>
        <v/>
      </c>
      <c r="B86" s="26"/>
      <c r="C86" s="27"/>
      <c r="D86" s="27"/>
      <c r="E86" s="27"/>
      <c r="F86" s="27"/>
      <c r="G86" s="27"/>
      <c r="H86" s="27"/>
      <c r="I86" s="29"/>
      <c r="J86" s="27"/>
      <c r="K86" s="27"/>
      <c r="L86" s="27"/>
      <c r="M86" s="25" t="str">
        <f aca="false">IF(C86="","",IFERROR(VLOOKUP(C86,Supuestos!$A$58:$B$65,2,FALSE()),"Revisar"))</f>
        <v/>
      </c>
      <c r="N86" s="27"/>
    </row>
    <row r="87" customFormat="false" ht="15" hidden="false" customHeight="false" outlineLevel="0" collapsed="false">
      <c r="A87" s="25" t="str">
        <f aca="false">IF(C87="","",ROW()-5)</f>
        <v/>
      </c>
      <c r="B87" s="26"/>
      <c r="C87" s="27"/>
      <c r="D87" s="27"/>
      <c r="E87" s="27"/>
      <c r="F87" s="27"/>
      <c r="G87" s="27"/>
      <c r="H87" s="27"/>
      <c r="I87" s="29"/>
      <c r="J87" s="27"/>
      <c r="K87" s="27"/>
      <c r="L87" s="27"/>
      <c r="M87" s="25" t="str">
        <f aca="false">IF(C87="","",IFERROR(VLOOKUP(C87,Supuestos!$A$58:$B$65,2,FALSE()),"Revisar"))</f>
        <v/>
      </c>
      <c r="N87" s="27"/>
    </row>
    <row r="88" customFormat="false" ht="15" hidden="false" customHeight="false" outlineLevel="0" collapsed="false">
      <c r="A88" s="25" t="str">
        <f aca="false">IF(C88="","",ROW()-5)</f>
        <v/>
      </c>
      <c r="B88" s="26"/>
      <c r="C88" s="27"/>
      <c r="D88" s="27"/>
      <c r="E88" s="27"/>
      <c r="F88" s="27"/>
      <c r="G88" s="27"/>
      <c r="H88" s="27"/>
      <c r="I88" s="29"/>
      <c r="J88" s="27"/>
      <c r="K88" s="27"/>
      <c r="L88" s="27"/>
      <c r="M88" s="25" t="str">
        <f aca="false">IF(C88="","",IFERROR(VLOOKUP(C88,Supuestos!$A$58:$B$65,2,FALSE()),"Revisar"))</f>
        <v/>
      </c>
      <c r="N88" s="27"/>
    </row>
    <row r="89" customFormat="false" ht="15" hidden="false" customHeight="false" outlineLevel="0" collapsed="false">
      <c r="A89" s="25" t="str">
        <f aca="false">IF(C89="","",ROW()-5)</f>
        <v/>
      </c>
      <c r="B89" s="26"/>
      <c r="C89" s="27"/>
      <c r="D89" s="27"/>
      <c r="E89" s="27"/>
      <c r="F89" s="27"/>
      <c r="G89" s="27"/>
      <c r="H89" s="27"/>
      <c r="I89" s="29"/>
      <c r="J89" s="27"/>
      <c r="K89" s="27"/>
      <c r="L89" s="27"/>
      <c r="M89" s="25" t="str">
        <f aca="false">IF(C89="","",IFERROR(VLOOKUP(C89,Supuestos!$A$58:$B$65,2,FALSE()),"Revisar"))</f>
        <v/>
      </c>
      <c r="N89" s="27"/>
    </row>
    <row r="90" customFormat="false" ht="15" hidden="false" customHeight="false" outlineLevel="0" collapsed="false">
      <c r="A90" s="25" t="str">
        <f aca="false">IF(C90="","",ROW()-5)</f>
        <v/>
      </c>
      <c r="B90" s="26"/>
      <c r="C90" s="27"/>
      <c r="D90" s="27"/>
      <c r="E90" s="27"/>
      <c r="F90" s="27"/>
      <c r="G90" s="27"/>
      <c r="H90" s="27"/>
      <c r="I90" s="29"/>
      <c r="J90" s="27"/>
      <c r="K90" s="27"/>
      <c r="L90" s="27"/>
      <c r="M90" s="25" t="str">
        <f aca="false">IF(C90="","",IFERROR(VLOOKUP(C90,Supuestos!$A$58:$B$65,2,FALSE()),"Revisar"))</f>
        <v/>
      </c>
      <c r="N90" s="27"/>
    </row>
    <row r="91" customFormat="false" ht="15" hidden="false" customHeight="false" outlineLevel="0" collapsed="false">
      <c r="A91" s="25" t="str">
        <f aca="false">IF(C91="","",ROW()-5)</f>
        <v/>
      </c>
      <c r="B91" s="26"/>
      <c r="C91" s="27"/>
      <c r="D91" s="27"/>
      <c r="E91" s="27"/>
      <c r="F91" s="27"/>
      <c r="G91" s="27"/>
      <c r="H91" s="27"/>
      <c r="I91" s="29"/>
      <c r="J91" s="27"/>
      <c r="K91" s="27"/>
      <c r="L91" s="27"/>
      <c r="M91" s="25" t="str">
        <f aca="false">IF(C91="","",IFERROR(VLOOKUP(C91,Supuestos!$A$58:$B$65,2,FALSE()),"Revisar"))</f>
        <v/>
      </c>
      <c r="N91" s="27"/>
    </row>
    <row r="92" customFormat="false" ht="15" hidden="false" customHeight="false" outlineLevel="0" collapsed="false">
      <c r="A92" s="25" t="str">
        <f aca="false">IF(C92="","",ROW()-5)</f>
        <v/>
      </c>
      <c r="B92" s="26"/>
      <c r="C92" s="27"/>
      <c r="D92" s="27"/>
      <c r="E92" s="27"/>
      <c r="F92" s="27"/>
      <c r="G92" s="27"/>
      <c r="H92" s="27"/>
      <c r="I92" s="29"/>
      <c r="J92" s="27"/>
      <c r="K92" s="27"/>
      <c r="L92" s="27"/>
      <c r="M92" s="25" t="str">
        <f aca="false">IF(C92="","",IFERROR(VLOOKUP(C92,Supuestos!$A$58:$B$65,2,FALSE()),"Revisar"))</f>
        <v/>
      </c>
      <c r="N92" s="27"/>
    </row>
    <row r="93" customFormat="false" ht="15" hidden="false" customHeight="false" outlineLevel="0" collapsed="false">
      <c r="A93" s="25" t="str">
        <f aca="false">IF(C93="","",ROW()-5)</f>
        <v/>
      </c>
      <c r="B93" s="26"/>
      <c r="C93" s="27"/>
      <c r="D93" s="27"/>
      <c r="E93" s="27"/>
      <c r="F93" s="27"/>
      <c r="G93" s="27"/>
      <c r="H93" s="27"/>
      <c r="I93" s="29"/>
      <c r="J93" s="27"/>
      <c r="K93" s="27"/>
      <c r="L93" s="27"/>
      <c r="M93" s="25" t="str">
        <f aca="false">IF(C93="","",IFERROR(VLOOKUP(C93,Supuestos!$A$58:$B$65,2,FALSE()),"Revisar"))</f>
        <v/>
      </c>
      <c r="N93" s="27"/>
    </row>
    <row r="94" customFormat="false" ht="15" hidden="false" customHeight="false" outlineLevel="0" collapsed="false">
      <c r="A94" s="25" t="str">
        <f aca="false">IF(C94="","",ROW()-5)</f>
        <v/>
      </c>
      <c r="B94" s="26"/>
      <c r="C94" s="27"/>
      <c r="D94" s="27"/>
      <c r="E94" s="27"/>
      <c r="F94" s="27"/>
      <c r="G94" s="27"/>
      <c r="H94" s="27"/>
      <c r="I94" s="29"/>
      <c r="J94" s="27"/>
      <c r="K94" s="27"/>
      <c r="L94" s="27"/>
      <c r="M94" s="25" t="str">
        <f aca="false">IF(C94="","",IFERROR(VLOOKUP(C94,Supuestos!$A$58:$B$65,2,FALSE()),"Revisar"))</f>
        <v/>
      </c>
      <c r="N94" s="27"/>
    </row>
    <row r="95" customFormat="false" ht="15" hidden="false" customHeight="false" outlineLevel="0" collapsed="false">
      <c r="A95" s="25" t="str">
        <f aca="false">IF(C95="","",ROW()-5)</f>
        <v/>
      </c>
      <c r="B95" s="26"/>
      <c r="C95" s="27"/>
      <c r="D95" s="27"/>
      <c r="E95" s="27"/>
      <c r="F95" s="27"/>
      <c r="G95" s="27"/>
      <c r="H95" s="27"/>
      <c r="I95" s="29"/>
      <c r="J95" s="27"/>
      <c r="K95" s="27"/>
      <c r="L95" s="27"/>
      <c r="M95" s="25" t="str">
        <f aca="false">IF(C95="","",IFERROR(VLOOKUP(C95,Supuestos!$A$58:$B$65,2,FALSE()),"Revisar"))</f>
        <v/>
      </c>
      <c r="N95" s="27"/>
    </row>
    <row r="96" customFormat="false" ht="15" hidden="false" customHeight="false" outlineLevel="0" collapsed="false">
      <c r="A96" s="25" t="str">
        <f aca="false">IF(C96="","",ROW()-5)</f>
        <v/>
      </c>
      <c r="B96" s="26"/>
      <c r="C96" s="27"/>
      <c r="D96" s="27"/>
      <c r="E96" s="27"/>
      <c r="F96" s="27"/>
      <c r="G96" s="27"/>
      <c r="H96" s="27"/>
      <c r="I96" s="29"/>
      <c r="J96" s="27"/>
      <c r="K96" s="27"/>
      <c r="L96" s="27"/>
      <c r="M96" s="25" t="str">
        <f aca="false">IF(C96="","",IFERROR(VLOOKUP(C96,Supuestos!$A$58:$B$65,2,FALSE()),"Revisar"))</f>
        <v/>
      </c>
      <c r="N96" s="27"/>
    </row>
    <row r="97" customFormat="false" ht="15" hidden="false" customHeight="false" outlineLevel="0" collapsed="false">
      <c r="A97" s="25" t="str">
        <f aca="false">IF(C97="","",ROW()-5)</f>
        <v/>
      </c>
      <c r="B97" s="26"/>
      <c r="C97" s="27"/>
      <c r="D97" s="27"/>
      <c r="E97" s="27"/>
      <c r="F97" s="27"/>
      <c r="G97" s="27"/>
      <c r="H97" s="27"/>
      <c r="I97" s="29"/>
      <c r="J97" s="27"/>
      <c r="K97" s="27"/>
      <c r="L97" s="27"/>
      <c r="M97" s="25" t="str">
        <f aca="false">IF(C97="","",IFERROR(VLOOKUP(C97,Supuestos!$A$58:$B$65,2,FALSE()),"Revisar"))</f>
        <v/>
      </c>
      <c r="N97" s="27"/>
    </row>
    <row r="98" customFormat="false" ht="15" hidden="false" customHeight="false" outlineLevel="0" collapsed="false">
      <c r="A98" s="25" t="str">
        <f aca="false">IF(C98="","",ROW()-5)</f>
        <v/>
      </c>
      <c r="B98" s="26"/>
      <c r="C98" s="27"/>
      <c r="D98" s="27"/>
      <c r="E98" s="27"/>
      <c r="F98" s="27"/>
      <c r="G98" s="27"/>
      <c r="H98" s="27"/>
      <c r="I98" s="29"/>
      <c r="J98" s="27"/>
      <c r="K98" s="27"/>
      <c r="L98" s="27"/>
      <c r="M98" s="25" t="str">
        <f aca="false">IF(C98="","",IFERROR(VLOOKUP(C98,Supuestos!$A$58:$B$65,2,FALSE()),"Revisar"))</f>
        <v/>
      </c>
      <c r="N98" s="27"/>
    </row>
    <row r="99" customFormat="false" ht="15" hidden="false" customHeight="false" outlineLevel="0" collapsed="false">
      <c r="A99" s="25" t="str">
        <f aca="false">IF(C99="","",ROW()-5)</f>
        <v/>
      </c>
      <c r="B99" s="26"/>
      <c r="C99" s="27"/>
      <c r="D99" s="27"/>
      <c r="E99" s="27"/>
      <c r="F99" s="27"/>
      <c r="G99" s="27"/>
      <c r="H99" s="27"/>
      <c r="I99" s="29"/>
      <c r="J99" s="27"/>
      <c r="K99" s="27"/>
      <c r="L99" s="27"/>
      <c r="M99" s="25" t="str">
        <f aca="false">IF(C99="","",IFERROR(VLOOKUP(C99,Supuestos!$A$58:$B$65,2,FALSE()),"Revisar"))</f>
        <v/>
      </c>
      <c r="N99" s="27"/>
    </row>
    <row r="100" customFormat="false" ht="15" hidden="false" customHeight="false" outlineLevel="0" collapsed="false">
      <c r="A100" s="25" t="str">
        <f aca="false">IF(C100="","",ROW()-5)</f>
        <v/>
      </c>
      <c r="B100" s="26"/>
      <c r="C100" s="27"/>
      <c r="D100" s="27"/>
      <c r="E100" s="27"/>
      <c r="F100" s="27"/>
      <c r="G100" s="27"/>
      <c r="H100" s="27"/>
      <c r="I100" s="29"/>
      <c r="J100" s="27"/>
      <c r="K100" s="27"/>
      <c r="L100" s="27"/>
      <c r="M100" s="25" t="str">
        <f aca="false">IF(C100="","",IFERROR(VLOOKUP(C100,Supuestos!$A$58:$B$65,2,FALSE()),"Revisar"))</f>
        <v/>
      </c>
      <c r="N100" s="27"/>
    </row>
    <row r="101" customFormat="false" ht="15" hidden="false" customHeight="false" outlineLevel="0" collapsed="false">
      <c r="A101" s="25" t="str">
        <f aca="false">IF(C101="","",ROW()-5)</f>
        <v/>
      </c>
      <c r="B101" s="26"/>
      <c r="C101" s="27"/>
      <c r="D101" s="27"/>
      <c r="E101" s="27"/>
      <c r="F101" s="27"/>
      <c r="G101" s="27"/>
      <c r="H101" s="27"/>
      <c r="I101" s="29"/>
      <c r="J101" s="27"/>
      <c r="K101" s="27"/>
      <c r="L101" s="27"/>
      <c r="M101" s="25" t="str">
        <f aca="false">IF(C101="","",IFERROR(VLOOKUP(C101,Supuestos!$A$58:$B$65,2,FALSE()),"Revisar"))</f>
        <v/>
      </c>
      <c r="N101" s="27"/>
    </row>
    <row r="102" customFormat="false" ht="15" hidden="false" customHeight="false" outlineLevel="0" collapsed="false">
      <c r="A102" s="25" t="str">
        <f aca="false">IF(C102="","",ROW()-5)</f>
        <v/>
      </c>
      <c r="B102" s="26"/>
      <c r="C102" s="27"/>
      <c r="D102" s="27"/>
      <c r="E102" s="27"/>
      <c r="F102" s="27"/>
      <c r="G102" s="27"/>
      <c r="H102" s="27"/>
      <c r="I102" s="29"/>
      <c r="J102" s="27"/>
      <c r="K102" s="27"/>
      <c r="L102" s="27"/>
      <c r="M102" s="25" t="str">
        <f aca="false">IF(C102="","",IFERROR(VLOOKUP(C102,Supuestos!$A$58:$B$65,2,FALSE()),"Revisar"))</f>
        <v/>
      </c>
      <c r="N102" s="27"/>
    </row>
    <row r="103" customFormat="false" ht="15" hidden="false" customHeight="false" outlineLevel="0" collapsed="false">
      <c r="A103" s="25" t="str">
        <f aca="false">IF(C103="","",ROW()-5)</f>
        <v/>
      </c>
      <c r="B103" s="26"/>
      <c r="C103" s="27"/>
      <c r="D103" s="27"/>
      <c r="E103" s="27"/>
      <c r="F103" s="27"/>
      <c r="G103" s="27"/>
      <c r="H103" s="27"/>
      <c r="I103" s="29"/>
      <c r="J103" s="27"/>
      <c r="K103" s="27"/>
      <c r="L103" s="27"/>
      <c r="M103" s="25" t="str">
        <f aca="false">IF(C103="","",IFERROR(VLOOKUP(C103,Supuestos!$A$58:$B$65,2,FALSE()),"Revisar"))</f>
        <v/>
      </c>
      <c r="N103" s="27"/>
    </row>
    <row r="104" customFormat="false" ht="15" hidden="false" customHeight="false" outlineLevel="0" collapsed="false">
      <c r="A104" s="25" t="str">
        <f aca="false">IF(C104="","",ROW()-5)</f>
        <v/>
      </c>
      <c r="B104" s="26"/>
      <c r="C104" s="27"/>
      <c r="D104" s="27"/>
      <c r="E104" s="27"/>
      <c r="F104" s="27"/>
      <c r="G104" s="27"/>
      <c r="H104" s="27"/>
      <c r="I104" s="29"/>
      <c r="J104" s="27"/>
      <c r="K104" s="27"/>
      <c r="L104" s="27"/>
      <c r="M104" s="25" t="str">
        <f aca="false">IF(C104="","",IFERROR(VLOOKUP(C104,Supuestos!$A$58:$B$65,2,FALSE()),"Revisar"))</f>
        <v/>
      </c>
      <c r="N104" s="27"/>
    </row>
    <row r="105" customFormat="false" ht="15" hidden="false" customHeight="false" outlineLevel="0" collapsed="false">
      <c r="A105" s="25" t="str">
        <f aca="false">IF(C105="","",ROW()-5)</f>
        <v/>
      </c>
      <c r="B105" s="26"/>
      <c r="C105" s="27"/>
      <c r="D105" s="27"/>
      <c r="E105" s="27"/>
      <c r="F105" s="27"/>
      <c r="G105" s="27"/>
      <c r="H105" s="27"/>
      <c r="I105" s="29"/>
      <c r="J105" s="27"/>
      <c r="K105" s="27"/>
      <c r="L105" s="27"/>
      <c r="M105" s="25" t="str">
        <f aca="false">IF(C105="","",IFERROR(VLOOKUP(C105,Supuestos!$A$58:$B$65,2,FALSE()),"Revisar"))</f>
        <v/>
      </c>
      <c r="N105" s="27"/>
    </row>
    <row r="106" customFormat="false" ht="15" hidden="false" customHeight="false" outlineLevel="0" collapsed="false">
      <c r="A106" s="25" t="str">
        <f aca="false">IF(C106="","",ROW()-5)</f>
        <v/>
      </c>
      <c r="B106" s="26"/>
      <c r="C106" s="27"/>
      <c r="D106" s="27"/>
      <c r="E106" s="27"/>
      <c r="F106" s="27"/>
      <c r="G106" s="27"/>
      <c r="H106" s="27"/>
      <c r="I106" s="29"/>
      <c r="J106" s="27"/>
      <c r="K106" s="27"/>
      <c r="L106" s="27"/>
      <c r="M106" s="25" t="str">
        <f aca="false">IF(C106="","",IFERROR(VLOOKUP(C106,Supuestos!$A$58:$B$65,2,FALSE()),"Revisar"))</f>
        <v/>
      </c>
      <c r="N106" s="27"/>
    </row>
    <row r="107" customFormat="false" ht="15" hidden="false" customHeight="false" outlineLevel="0" collapsed="false">
      <c r="A107" s="25" t="str">
        <f aca="false">IF(C107="","",ROW()-5)</f>
        <v/>
      </c>
      <c r="B107" s="26"/>
      <c r="C107" s="27"/>
      <c r="D107" s="27"/>
      <c r="E107" s="27"/>
      <c r="F107" s="27"/>
      <c r="G107" s="27"/>
      <c r="H107" s="27"/>
      <c r="I107" s="29"/>
      <c r="J107" s="27"/>
      <c r="K107" s="27"/>
      <c r="L107" s="27"/>
      <c r="M107" s="25" t="str">
        <f aca="false">IF(C107="","",IFERROR(VLOOKUP(C107,Supuestos!$A$58:$B$65,2,FALSE()),"Revisar"))</f>
        <v/>
      </c>
      <c r="N107" s="27"/>
    </row>
    <row r="108" customFormat="false" ht="15" hidden="false" customHeight="false" outlineLevel="0" collapsed="false">
      <c r="A108" s="25" t="str">
        <f aca="false">IF(C108="","",ROW()-5)</f>
        <v/>
      </c>
      <c r="B108" s="26"/>
      <c r="C108" s="27"/>
      <c r="D108" s="27"/>
      <c r="E108" s="27"/>
      <c r="F108" s="27"/>
      <c r="G108" s="27"/>
      <c r="H108" s="27"/>
      <c r="I108" s="29"/>
      <c r="J108" s="27"/>
      <c r="K108" s="27"/>
      <c r="L108" s="27"/>
      <c r="M108" s="25" t="str">
        <f aca="false">IF(C108="","",IFERROR(VLOOKUP(C108,Supuestos!$A$58:$B$65,2,FALSE()),"Revisar"))</f>
        <v/>
      </c>
      <c r="N108" s="27"/>
    </row>
    <row r="109" customFormat="false" ht="15" hidden="false" customHeight="false" outlineLevel="0" collapsed="false">
      <c r="A109" s="25" t="str">
        <f aca="false">IF(C109="","",ROW()-5)</f>
        <v/>
      </c>
      <c r="B109" s="26"/>
      <c r="C109" s="27"/>
      <c r="D109" s="27"/>
      <c r="E109" s="27"/>
      <c r="F109" s="27"/>
      <c r="G109" s="27"/>
      <c r="H109" s="27"/>
      <c r="I109" s="29"/>
      <c r="J109" s="27"/>
      <c r="K109" s="27"/>
      <c r="L109" s="27"/>
      <c r="M109" s="25" t="str">
        <f aca="false">IF(C109="","",IFERROR(VLOOKUP(C109,Supuestos!$A$58:$B$65,2,FALSE()),"Revisar"))</f>
        <v/>
      </c>
      <c r="N109" s="27"/>
    </row>
    <row r="110" customFormat="false" ht="15" hidden="false" customHeight="false" outlineLevel="0" collapsed="false">
      <c r="A110" s="25" t="str">
        <f aca="false">IF(C110="","",ROW()-5)</f>
        <v/>
      </c>
      <c r="B110" s="26"/>
      <c r="C110" s="27"/>
      <c r="D110" s="27"/>
      <c r="E110" s="27"/>
      <c r="F110" s="27"/>
      <c r="G110" s="27"/>
      <c r="H110" s="27"/>
      <c r="I110" s="29"/>
      <c r="J110" s="27"/>
      <c r="K110" s="27"/>
      <c r="L110" s="27"/>
      <c r="M110" s="25" t="str">
        <f aca="false">IF(C110="","",IFERROR(VLOOKUP(C110,Supuestos!$A$58:$B$65,2,FALSE()),"Revisar"))</f>
        <v/>
      </c>
      <c r="N110" s="27"/>
    </row>
    <row r="111" customFormat="false" ht="15" hidden="false" customHeight="false" outlineLevel="0" collapsed="false">
      <c r="A111" s="25" t="str">
        <f aca="false">IF(C111="","",ROW()-5)</f>
        <v/>
      </c>
      <c r="B111" s="26"/>
      <c r="C111" s="27"/>
      <c r="D111" s="27"/>
      <c r="E111" s="27"/>
      <c r="F111" s="27"/>
      <c r="G111" s="27"/>
      <c r="H111" s="27"/>
      <c r="I111" s="29"/>
      <c r="J111" s="27"/>
      <c r="K111" s="27"/>
      <c r="L111" s="27"/>
      <c r="M111" s="25" t="str">
        <f aca="false">IF(C111="","",IFERROR(VLOOKUP(C111,Supuestos!$A$58:$B$65,2,FALSE()),"Revisar"))</f>
        <v/>
      </c>
      <c r="N111" s="27"/>
    </row>
    <row r="112" customFormat="false" ht="15" hidden="false" customHeight="false" outlineLevel="0" collapsed="false">
      <c r="A112" s="25" t="str">
        <f aca="false">IF(C112="","",ROW()-5)</f>
        <v/>
      </c>
      <c r="B112" s="26"/>
      <c r="C112" s="27"/>
      <c r="D112" s="27"/>
      <c r="E112" s="27"/>
      <c r="F112" s="27"/>
      <c r="G112" s="27"/>
      <c r="H112" s="27"/>
      <c r="I112" s="29"/>
      <c r="J112" s="27"/>
      <c r="K112" s="27"/>
      <c r="L112" s="27"/>
      <c r="M112" s="25" t="str">
        <f aca="false">IF(C112="","",IFERROR(VLOOKUP(C112,Supuestos!$A$58:$B$65,2,FALSE()),"Revisar"))</f>
        <v/>
      </c>
      <c r="N112" s="27"/>
    </row>
    <row r="113" customFormat="false" ht="15" hidden="false" customHeight="false" outlineLevel="0" collapsed="false">
      <c r="A113" s="25" t="str">
        <f aca="false">IF(C113="","",ROW()-5)</f>
        <v/>
      </c>
      <c r="B113" s="26"/>
      <c r="C113" s="27"/>
      <c r="D113" s="27"/>
      <c r="E113" s="27"/>
      <c r="F113" s="27"/>
      <c r="G113" s="27"/>
      <c r="H113" s="27"/>
      <c r="I113" s="29"/>
      <c r="J113" s="27"/>
      <c r="K113" s="27"/>
      <c r="L113" s="27"/>
      <c r="M113" s="25" t="str">
        <f aca="false">IF(C113="","",IFERROR(VLOOKUP(C113,Supuestos!$A$58:$B$65,2,FALSE()),"Revisar"))</f>
        <v/>
      </c>
      <c r="N113" s="27"/>
    </row>
    <row r="114" customFormat="false" ht="15" hidden="false" customHeight="false" outlineLevel="0" collapsed="false">
      <c r="A114" s="25" t="str">
        <f aca="false">IF(C114="","",ROW()-5)</f>
        <v/>
      </c>
      <c r="B114" s="26"/>
      <c r="C114" s="27"/>
      <c r="D114" s="27"/>
      <c r="E114" s="27"/>
      <c r="F114" s="27"/>
      <c r="G114" s="27"/>
      <c r="H114" s="27"/>
      <c r="I114" s="29"/>
      <c r="J114" s="27"/>
      <c r="K114" s="27"/>
      <c r="L114" s="27"/>
      <c r="M114" s="25" t="str">
        <f aca="false">IF(C114="","",IFERROR(VLOOKUP(C114,Supuestos!$A$58:$B$65,2,FALSE()),"Revisar"))</f>
        <v/>
      </c>
      <c r="N114" s="27"/>
    </row>
    <row r="115" customFormat="false" ht="15" hidden="false" customHeight="false" outlineLevel="0" collapsed="false">
      <c r="A115" s="25" t="str">
        <f aca="false">IF(C115="","",ROW()-5)</f>
        <v/>
      </c>
      <c r="B115" s="26"/>
      <c r="C115" s="27"/>
      <c r="D115" s="27"/>
      <c r="E115" s="27"/>
      <c r="F115" s="27"/>
      <c r="G115" s="27"/>
      <c r="H115" s="27"/>
      <c r="I115" s="29"/>
      <c r="J115" s="27"/>
      <c r="K115" s="27"/>
      <c r="L115" s="27"/>
      <c r="M115" s="25" t="str">
        <f aca="false">IF(C115="","",IFERROR(VLOOKUP(C115,Supuestos!$A$58:$B$65,2,FALSE()),"Revisar"))</f>
        <v/>
      </c>
      <c r="N115" s="27"/>
    </row>
    <row r="116" customFormat="false" ht="15" hidden="false" customHeight="false" outlineLevel="0" collapsed="false">
      <c r="A116" s="25" t="str">
        <f aca="false">IF(C116="","",ROW()-5)</f>
        <v/>
      </c>
      <c r="B116" s="26"/>
      <c r="C116" s="27"/>
      <c r="D116" s="27"/>
      <c r="E116" s="27"/>
      <c r="F116" s="27"/>
      <c r="G116" s="27"/>
      <c r="H116" s="27"/>
      <c r="I116" s="29"/>
      <c r="J116" s="27"/>
      <c r="K116" s="27"/>
      <c r="L116" s="27"/>
      <c r="M116" s="25" t="str">
        <f aca="false">IF(C116="","",IFERROR(VLOOKUP(C116,Supuestos!$A$58:$B$65,2,FALSE()),"Revisar"))</f>
        <v/>
      </c>
      <c r="N116" s="27"/>
    </row>
    <row r="117" customFormat="false" ht="15" hidden="false" customHeight="false" outlineLevel="0" collapsed="false">
      <c r="A117" s="25" t="str">
        <f aca="false">IF(C117="","",ROW()-5)</f>
        <v/>
      </c>
      <c r="B117" s="26"/>
      <c r="C117" s="27"/>
      <c r="D117" s="27"/>
      <c r="E117" s="27"/>
      <c r="F117" s="27"/>
      <c r="G117" s="27"/>
      <c r="H117" s="27"/>
      <c r="I117" s="29"/>
      <c r="J117" s="27"/>
      <c r="K117" s="27"/>
      <c r="L117" s="27"/>
      <c r="M117" s="25" t="str">
        <f aca="false">IF(C117="","",IFERROR(VLOOKUP(C117,Supuestos!$A$58:$B$65,2,FALSE()),"Revisar"))</f>
        <v/>
      </c>
      <c r="N117" s="27"/>
    </row>
    <row r="118" customFormat="false" ht="15" hidden="false" customHeight="false" outlineLevel="0" collapsed="false">
      <c r="A118" s="25" t="str">
        <f aca="false">IF(C118="","",ROW()-5)</f>
        <v/>
      </c>
      <c r="B118" s="26"/>
      <c r="C118" s="27"/>
      <c r="D118" s="27"/>
      <c r="E118" s="27"/>
      <c r="F118" s="27"/>
      <c r="G118" s="27"/>
      <c r="H118" s="27"/>
      <c r="I118" s="29"/>
      <c r="J118" s="27"/>
      <c r="K118" s="27"/>
      <c r="L118" s="27"/>
      <c r="M118" s="25" t="str">
        <f aca="false">IF(C118="","",IFERROR(VLOOKUP(C118,Supuestos!$A$58:$B$65,2,FALSE()),"Revisar"))</f>
        <v/>
      </c>
      <c r="N118" s="27"/>
    </row>
    <row r="119" customFormat="false" ht="15" hidden="false" customHeight="false" outlineLevel="0" collapsed="false">
      <c r="A119" s="25" t="str">
        <f aca="false">IF(C119="","",ROW()-5)</f>
        <v/>
      </c>
      <c r="B119" s="26"/>
      <c r="C119" s="27"/>
      <c r="D119" s="27"/>
      <c r="E119" s="27"/>
      <c r="F119" s="27"/>
      <c r="G119" s="27"/>
      <c r="H119" s="27"/>
      <c r="I119" s="29"/>
      <c r="J119" s="27"/>
      <c r="K119" s="27"/>
      <c r="L119" s="27"/>
      <c r="M119" s="25" t="str">
        <f aca="false">IF(C119="","",IFERROR(VLOOKUP(C119,Supuestos!$A$58:$B$65,2,FALSE()),"Revisar"))</f>
        <v/>
      </c>
      <c r="N119" s="27"/>
    </row>
    <row r="120" customFormat="false" ht="15" hidden="false" customHeight="false" outlineLevel="0" collapsed="false">
      <c r="A120" s="25" t="str">
        <f aca="false">IF(C120="","",ROW()-5)</f>
        <v/>
      </c>
      <c r="B120" s="26"/>
      <c r="C120" s="27"/>
      <c r="D120" s="27"/>
      <c r="E120" s="27"/>
      <c r="F120" s="27"/>
      <c r="G120" s="27"/>
      <c r="H120" s="27"/>
      <c r="I120" s="29"/>
      <c r="J120" s="27"/>
      <c r="K120" s="27"/>
      <c r="L120" s="27"/>
      <c r="M120" s="25" t="str">
        <f aca="false">IF(C120="","",IFERROR(VLOOKUP(C120,Supuestos!$A$58:$B$65,2,FALSE()),"Revisar"))</f>
        <v/>
      </c>
      <c r="N120" s="27"/>
    </row>
    <row r="121" customFormat="false" ht="15" hidden="false" customHeight="false" outlineLevel="0" collapsed="false">
      <c r="A121" s="25" t="str">
        <f aca="false">IF(C121="","",ROW()-5)</f>
        <v/>
      </c>
      <c r="B121" s="26"/>
      <c r="C121" s="27"/>
      <c r="D121" s="27"/>
      <c r="E121" s="27"/>
      <c r="F121" s="27"/>
      <c r="G121" s="27"/>
      <c r="H121" s="27"/>
      <c r="I121" s="29"/>
      <c r="J121" s="27"/>
      <c r="K121" s="27"/>
      <c r="L121" s="27"/>
      <c r="M121" s="25" t="str">
        <f aca="false">IF(C121="","",IFERROR(VLOOKUP(C121,Supuestos!$A$58:$B$65,2,FALSE()),"Revisar"))</f>
        <v/>
      </c>
      <c r="N121" s="27"/>
    </row>
    <row r="122" customFormat="false" ht="15" hidden="false" customHeight="false" outlineLevel="0" collapsed="false">
      <c r="A122" s="25" t="str">
        <f aca="false">IF(C122="","",ROW()-5)</f>
        <v/>
      </c>
      <c r="B122" s="26"/>
      <c r="C122" s="27"/>
      <c r="D122" s="27"/>
      <c r="E122" s="27"/>
      <c r="F122" s="27"/>
      <c r="G122" s="27"/>
      <c r="H122" s="27"/>
      <c r="I122" s="29"/>
      <c r="J122" s="27"/>
      <c r="K122" s="27"/>
      <c r="L122" s="27"/>
      <c r="M122" s="25" t="str">
        <f aca="false">IF(C122="","",IFERROR(VLOOKUP(C122,Supuestos!$A$58:$B$65,2,FALSE()),"Revisar"))</f>
        <v/>
      </c>
      <c r="N122" s="27"/>
    </row>
    <row r="123" customFormat="false" ht="15" hidden="false" customHeight="false" outlineLevel="0" collapsed="false">
      <c r="A123" s="25" t="str">
        <f aca="false">IF(C123="","",ROW()-5)</f>
        <v/>
      </c>
      <c r="B123" s="26"/>
      <c r="C123" s="27"/>
      <c r="D123" s="27"/>
      <c r="E123" s="27"/>
      <c r="F123" s="27"/>
      <c r="G123" s="27"/>
      <c r="H123" s="27"/>
      <c r="I123" s="29"/>
      <c r="J123" s="27"/>
      <c r="K123" s="27"/>
      <c r="L123" s="27"/>
      <c r="M123" s="25" t="str">
        <f aca="false">IF(C123="","",IFERROR(VLOOKUP(C123,Supuestos!$A$58:$B$65,2,FALSE()),"Revisar"))</f>
        <v/>
      </c>
      <c r="N123" s="27"/>
    </row>
    <row r="124" customFormat="false" ht="15" hidden="false" customHeight="false" outlineLevel="0" collapsed="false">
      <c r="A124" s="25" t="str">
        <f aca="false">IF(C124="","",ROW()-5)</f>
        <v/>
      </c>
      <c r="B124" s="26"/>
      <c r="C124" s="27"/>
      <c r="D124" s="27"/>
      <c r="E124" s="27"/>
      <c r="F124" s="27"/>
      <c r="G124" s="27"/>
      <c r="H124" s="27"/>
      <c r="I124" s="29"/>
      <c r="J124" s="27"/>
      <c r="K124" s="27"/>
      <c r="L124" s="27"/>
      <c r="M124" s="25" t="str">
        <f aca="false">IF(C124="","",IFERROR(VLOOKUP(C124,Supuestos!$A$58:$B$65,2,FALSE()),"Revisar"))</f>
        <v/>
      </c>
      <c r="N124" s="27"/>
    </row>
    <row r="125" customFormat="false" ht="15" hidden="false" customHeight="false" outlineLevel="0" collapsed="false">
      <c r="A125" s="25" t="str">
        <f aca="false">IF(C125="","",ROW()-5)</f>
        <v/>
      </c>
      <c r="B125" s="26"/>
      <c r="C125" s="27"/>
      <c r="D125" s="27"/>
      <c r="E125" s="27"/>
      <c r="F125" s="27"/>
      <c r="G125" s="27"/>
      <c r="H125" s="27"/>
      <c r="I125" s="29"/>
      <c r="J125" s="27"/>
      <c r="K125" s="27"/>
      <c r="L125" s="27"/>
      <c r="M125" s="25" t="str">
        <f aca="false">IF(C125="","",IFERROR(VLOOKUP(C125,Supuestos!$A$58:$B$65,2,FALSE()),"Revisar"))</f>
        <v/>
      </c>
      <c r="N125" s="27"/>
    </row>
    <row r="126" customFormat="false" ht="15" hidden="false" customHeight="false" outlineLevel="0" collapsed="false">
      <c r="A126" s="25" t="str">
        <f aca="false">IF(C126="","",ROW()-5)</f>
        <v/>
      </c>
      <c r="B126" s="26"/>
      <c r="C126" s="27"/>
      <c r="D126" s="27"/>
      <c r="E126" s="27"/>
      <c r="F126" s="27"/>
      <c r="G126" s="27"/>
      <c r="H126" s="27"/>
      <c r="I126" s="29"/>
      <c r="J126" s="27"/>
      <c r="K126" s="27"/>
      <c r="L126" s="27"/>
      <c r="M126" s="25" t="str">
        <f aca="false">IF(C126="","",IFERROR(VLOOKUP(C126,Supuestos!$A$58:$B$65,2,FALSE()),"Revisar"))</f>
        <v/>
      </c>
      <c r="N126" s="27"/>
    </row>
    <row r="127" customFormat="false" ht="15" hidden="false" customHeight="false" outlineLevel="0" collapsed="false">
      <c r="A127" s="25" t="str">
        <f aca="false">IF(C127="","",ROW()-5)</f>
        <v/>
      </c>
      <c r="B127" s="26"/>
      <c r="C127" s="27"/>
      <c r="D127" s="27"/>
      <c r="E127" s="27"/>
      <c r="F127" s="27"/>
      <c r="G127" s="27"/>
      <c r="H127" s="27"/>
      <c r="I127" s="29"/>
      <c r="J127" s="27"/>
      <c r="K127" s="27"/>
      <c r="L127" s="27"/>
      <c r="M127" s="25" t="str">
        <f aca="false">IF(C127="","",IFERROR(VLOOKUP(C127,Supuestos!$A$58:$B$65,2,FALSE()),"Revisar"))</f>
        <v/>
      </c>
      <c r="N127" s="27"/>
    </row>
    <row r="128" customFormat="false" ht="15" hidden="false" customHeight="false" outlineLevel="0" collapsed="false">
      <c r="A128" s="25" t="str">
        <f aca="false">IF(C128="","",ROW()-5)</f>
        <v/>
      </c>
      <c r="B128" s="26"/>
      <c r="C128" s="27"/>
      <c r="D128" s="27"/>
      <c r="E128" s="27"/>
      <c r="F128" s="27"/>
      <c r="G128" s="27"/>
      <c r="H128" s="27"/>
      <c r="I128" s="29"/>
      <c r="J128" s="27"/>
      <c r="K128" s="27"/>
      <c r="L128" s="27"/>
      <c r="M128" s="25" t="str">
        <f aca="false">IF(C128="","",IFERROR(VLOOKUP(C128,Supuestos!$A$58:$B$65,2,FALSE()),"Revisar"))</f>
        <v/>
      </c>
      <c r="N128" s="27"/>
    </row>
    <row r="129" customFormat="false" ht="15" hidden="false" customHeight="false" outlineLevel="0" collapsed="false">
      <c r="A129" s="25" t="str">
        <f aca="false">IF(C129="","",ROW()-5)</f>
        <v/>
      </c>
      <c r="B129" s="26"/>
      <c r="C129" s="27"/>
      <c r="D129" s="27"/>
      <c r="E129" s="27"/>
      <c r="F129" s="27"/>
      <c r="G129" s="27"/>
      <c r="H129" s="27"/>
      <c r="I129" s="29"/>
      <c r="J129" s="27"/>
      <c r="K129" s="27"/>
      <c r="L129" s="27"/>
      <c r="M129" s="25" t="str">
        <f aca="false">IF(C129="","",IFERROR(VLOOKUP(C129,Supuestos!$A$58:$B$65,2,FALSE()),"Revisar"))</f>
        <v/>
      </c>
      <c r="N129" s="27"/>
    </row>
    <row r="130" customFormat="false" ht="15" hidden="false" customHeight="false" outlineLevel="0" collapsed="false">
      <c r="A130" s="25" t="str">
        <f aca="false">IF(C130="","",ROW()-5)</f>
        <v/>
      </c>
      <c r="B130" s="26"/>
      <c r="C130" s="27"/>
      <c r="D130" s="27"/>
      <c r="E130" s="27"/>
      <c r="F130" s="27"/>
      <c r="G130" s="27"/>
      <c r="H130" s="27"/>
      <c r="I130" s="29"/>
      <c r="J130" s="27"/>
      <c r="K130" s="27"/>
      <c r="L130" s="27"/>
      <c r="M130" s="25" t="str">
        <f aca="false">IF(C130="","",IFERROR(VLOOKUP(C130,Supuestos!$A$58:$B$65,2,FALSE()),"Revisar"))</f>
        <v/>
      </c>
      <c r="N130" s="27"/>
    </row>
    <row r="131" customFormat="false" ht="15" hidden="false" customHeight="false" outlineLevel="0" collapsed="false">
      <c r="A131" s="25" t="str">
        <f aca="false">IF(C131="","",ROW()-5)</f>
        <v/>
      </c>
      <c r="B131" s="26"/>
      <c r="C131" s="27"/>
      <c r="D131" s="27"/>
      <c r="E131" s="27"/>
      <c r="F131" s="27"/>
      <c r="G131" s="27"/>
      <c r="H131" s="27"/>
      <c r="I131" s="29"/>
      <c r="J131" s="27"/>
      <c r="K131" s="27"/>
      <c r="L131" s="27"/>
      <c r="M131" s="25" t="str">
        <f aca="false">IF(C131="","",IFERROR(VLOOKUP(C131,Supuestos!$A$58:$B$65,2,FALSE()),"Revisar"))</f>
        <v/>
      </c>
      <c r="N131" s="27"/>
    </row>
    <row r="132" customFormat="false" ht="15" hidden="false" customHeight="false" outlineLevel="0" collapsed="false">
      <c r="A132" s="25" t="str">
        <f aca="false">IF(C132="","",ROW()-5)</f>
        <v/>
      </c>
      <c r="B132" s="26"/>
      <c r="C132" s="27"/>
      <c r="D132" s="27"/>
      <c r="E132" s="27"/>
      <c r="F132" s="27"/>
      <c r="G132" s="27"/>
      <c r="H132" s="27"/>
      <c r="I132" s="29"/>
      <c r="J132" s="27"/>
      <c r="K132" s="27"/>
      <c r="L132" s="27"/>
      <c r="M132" s="25" t="str">
        <f aca="false">IF(C132="","",IFERROR(VLOOKUP(C132,Supuestos!$A$58:$B$65,2,FALSE()),"Revisar"))</f>
        <v/>
      </c>
      <c r="N132" s="27"/>
    </row>
    <row r="133" customFormat="false" ht="15" hidden="false" customHeight="false" outlineLevel="0" collapsed="false">
      <c r="A133" s="25" t="str">
        <f aca="false">IF(C133="","",ROW()-5)</f>
        <v/>
      </c>
      <c r="B133" s="26"/>
      <c r="C133" s="27"/>
      <c r="D133" s="27"/>
      <c r="E133" s="27"/>
      <c r="F133" s="27"/>
      <c r="G133" s="27"/>
      <c r="H133" s="27"/>
      <c r="I133" s="29"/>
      <c r="J133" s="27"/>
      <c r="K133" s="27"/>
      <c r="L133" s="27"/>
      <c r="M133" s="25" t="str">
        <f aca="false">IF(C133="","",IFERROR(VLOOKUP(C133,Supuestos!$A$58:$B$65,2,FALSE()),"Revisar"))</f>
        <v/>
      </c>
      <c r="N133" s="27"/>
    </row>
    <row r="134" customFormat="false" ht="15" hidden="false" customHeight="false" outlineLevel="0" collapsed="false">
      <c r="A134" s="25" t="str">
        <f aca="false">IF(C134="","",ROW()-5)</f>
        <v/>
      </c>
      <c r="B134" s="26"/>
      <c r="C134" s="27"/>
      <c r="D134" s="27"/>
      <c r="E134" s="27"/>
      <c r="F134" s="27"/>
      <c r="G134" s="27"/>
      <c r="H134" s="27"/>
      <c r="I134" s="29"/>
      <c r="J134" s="27"/>
      <c r="K134" s="27"/>
      <c r="L134" s="27"/>
      <c r="M134" s="25" t="str">
        <f aca="false">IF(C134="","",IFERROR(VLOOKUP(C134,Supuestos!$A$58:$B$65,2,FALSE()),"Revisar"))</f>
        <v/>
      </c>
      <c r="N134" s="27"/>
    </row>
    <row r="135" customFormat="false" ht="15" hidden="false" customHeight="false" outlineLevel="0" collapsed="false">
      <c r="A135" s="25" t="str">
        <f aca="false">IF(C135="","",ROW()-5)</f>
        <v/>
      </c>
      <c r="B135" s="26"/>
      <c r="C135" s="27"/>
      <c r="D135" s="27"/>
      <c r="E135" s="27"/>
      <c r="F135" s="27"/>
      <c r="G135" s="27"/>
      <c r="H135" s="27"/>
      <c r="I135" s="29"/>
      <c r="J135" s="27"/>
      <c r="K135" s="27"/>
      <c r="L135" s="27"/>
      <c r="M135" s="25" t="str">
        <f aca="false">IF(C135="","",IFERROR(VLOOKUP(C135,Supuestos!$A$58:$B$65,2,FALSE()),"Revisar"))</f>
        <v/>
      </c>
      <c r="N135" s="27"/>
    </row>
    <row r="136" customFormat="false" ht="15" hidden="false" customHeight="false" outlineLevel="0" collapsed="false">
      <c r="A136" s="25" t="str">
        <f aca="false">IF(C136="","",ROW()-5)</f>
        <v/>
      </c>
      <c r="B136" s="26"/>
      <c r="C136" s="27"/>
      <c r="D136" s="27"/>
      <c r="E136" s="27"/>
      <c r="F136" s="27"/>
      <c r="G136" s="27"/>
      <c r="H136" s="27"/>
      <c r="I136" s="29"/>
      <c r="J136" s="27"/>
      <c r="K136" s="27"/>
      <c r="L136" s="27"/>
      <c r="M136" s="25" t="str">
        <f aca="false">IF(C136="","",IFERROR(VLOOKUP(C136,Supuestos!$A$58:$B$65,2,FALSE()),"Revisar"))</f>
        <v/>
      </c>
      <c r="N136" s="27"/>
    </row>
    <row r="137" customFormat="false" ht="15" hidden="false" customHeight="false" outlineLevel="0" collapsed="false">
      <c r="A137" s="25" t="str">
        <f aca="false">IF(C137="","",ROW()-5)</f>
        <v/>
      </c>
      <c r="B137" s="26"/>
      <c r="C137" s="27"/>
      <c r="D137" s="27"/>
      <c r="E137" s="27"/>
      <c r="F137" s="27"/>
      <c r="G137" s="27"/>
      <c r="H137" s="27"/>
      <c r="I137" s="29"/>
      <c r="J137" s="27"/>
      <c r="K137" s="27"/>
      <c r="L137" s="27"/>
      <c r="M137" s="25" t="str">
        <f aca="false">IF(C137="","",IFERROR(VLOOKUP(C137,Supuestos!$A$58:$B$65,2,FALSE()),"Revisar"))</f>
        <v/>
      </c>
      <c r="N137" s="27"/>
    </row>
    <row r="138" customFormat="false" ht="15" hidden="false" customHeight="false" outlineLevel="0" collapsed="false">
      <c r="A138" s="25" t="str">
        <f aca="false">IF(C138="","",ROW()-5)</f>
        <v/>
      </c>
      <c r="B138" s="26"/>
      <c r="C138" s="27"/>
      <c r="D138" s="27"/>
      <c r="E138" s="27"/>
      <c r="F138" s="27"/>
      <c r="G138" s="27"/>
      <c r="H138" s="27"/>
      <c r="I138" s="29"/>
      <c r="J138" s="27"/>
      <c r="K138" s="27"/>
      <c r="L138" s="27"/>
      <c r="M138" s="25" t="str">
        <f aca="false">IF(C138="","",IFERROR(VLOOKUP(C138,Supuestos!$A$58:$B$65,2,FALSE()),"Revisar"))</f>
        <v/>
      </c>
      <c r="N138" s="27"/>
    </row>
    <row r="139" customFormat="false" ht="15" hidden="false" customHeight="false" outlineLevel="0" collapsed="false">
      <c r="A139" s="25" t="str">
        <f aca="false">IF(C139="","",ROW()-5)</f>
        <v/>
      </c>
      <c r="B139" s="26"/>
      <c r="C139" s="27"/>
      <c r="D139" s="27"/>
      <c r="E139" s="27"/>
      <c r="F139" s="27"/>
      <c r="G139" s="27"/>
      <c r="H139" s="27"/>
      <c r="I139" s="29"/>
      <c r="J139" s="27"/>
      <c r="K139" s="27"/>
      <c r="L139" s="27"/>
      <c r="M139" s="25" t="str">
        <f aca="false">IF(C139="","",IFERROR(VLOOKUP(C139,Supuestos!$A$58:$B$65,2,FALSE()),"Revisar"))</f>
        <v/>
      </c>
      <c r="N139" s="27"/>
    </row>
    <row r="140" customFormat="false" ht="15" hidden="false" customHeight="false" outlineLevel="0" collapsed="false">
      <c r="A140" s="25" t="str">
        <f aca="false">IF(C140="","",ROW()-5)</f>
        <v/>
      </c>
      <c r="B140" s="26"/>
      <c r="C140" s="27"/>
      <c r="D140" s="27"/>
      <c r="E140" s="27"/>
      <c r="F140" s="27"/>
      <c r="G140" s="27"/>
      <c r="H140" s="27"/>
      <c r="I140" s="29"/>
      <c r="J140" s="27"/>
      <c r="K140" s="27"/>
      <c r="L140" s="27"/>
      <c r="M140" s="25" t="str">
        <f aca="false">IF(C140="","",IFERROR(VLOOKUP(C140,Supuestos!$A$58:$B$65,2,FALSE()),"Revisar"))</f>
        <v/>
      </c>
      <c r="N140" s="27"/>
    </row>
    <row r="141" customFormat="false" ht="15" hidden="false" customHeight="false" outlineLevel="0" collapsed="false">
      <c r="A141" s="25" t="str">
        <f aca="false">IF(C141="","",ROW()-5)</f>
        <v/>
      </c>
      <c r="B141" s="26"/>
      <c r="C141" s="27"/>
      <c r="D141" s="27"/>
      <c r="E141" s="27"/>
      <c r="F141" s="27"/>
      <c r="G141" s="27"/>
      <c r="H141" s="27"/>
      <c r="I141" s="29"/>
      <c r="J141" s="27"/>
      <c r="K141" s="27"/>
      <c r="L141" s="27"/>
      <c r="M141" s="25" t="str">
        <f aca="false">IF(C141="","",IFERROR(VLOOKUP(C141,Supuestos!$A$58:$B$65,2,FALSE()),"Revisar"))</f>
        <v/>
      </c>
      <c r="N141" s="27"/>
    </row>
    <row r="142" customFormat="false" ht="15" hidden="false" customHeight="false" outlineLevel="0" collapsed="false">
      <c r="A142" s="25" t="str">
        <f aca="false">IF(C142="","",ROW()-5)</f>
        <v/>
      </c>
      <c r="B142" s="26"/>
      <c r="C142" s="27"/>
      <c r="D142" s="27"/>
      <c r="E142" s="27"/>
      <c r="F142" s="27"/>
      <c r="G142" s="27"/>
      <c r="H142" s="27"/>
      <c r="I142" s="29"/>
      <c r="J142" s="27"/>
      <c r="K142" s="27"/>
      <c r="L142" s="27"/>
      <c r="M142" s="25" t="str">
        <f aca="false">IF(C142="","",IFERROR(VLOOKUP(C142,Supuestos!$A$58:$B$65,2,FALSE()),"Revisar"))</f>
        <v/>
      </c>
      <c r="N142" s="27"/>
    </row>
    <row r="143" customFormat="false" ht="15" hidden="false" customHeight="false" outlineLevel="0" collapsed="false">
      <c r="A143" s="25" t="str">
        <f aca="false">IF(C143="","",ROW()-5)</f>
        <v/>
      </c>
      <c r="B143" s="26"/>
      <c r="C143" s="27"/>
      <c r="D143" s="27"/>
      <c r="E143" s="27"/>
      <c r="F143" s="27"/>
      <c r="G143" s="27"/>
      <c r="H143" s="27"/>
      <c r="I143" s="29"/>
      <c r="J143" s="27"/>
      <c r="K143" s="27"/>
      <c r="L143" s="27"/>
      <c r="M143" s="25" t="str">
        <f aca="false">IF(C143="","",IFERROR(VLOOKUP(C143,Supuestos!$A$58:$B$65,2,FALSE()),"Revisar"))</f>
        <v/>
      </c>
      <c r="N143" s="27"/>
    </row>
    <row r="144" customFormat="false" ht="15" hidden="false" customHeight="false" outlineLevel="0" collapsed="false">
      <c r="A144" s="25" t="str">
        <f aca="false">IF(C144="","",ROW()-5)</f>
        <v/>
      </c>
      <c r="B144" s="26"/>
      <c r="C144" s="27"/>
      <c r="D144" s="27"/>
      <c r="E144" s="27"/>
      <c r="F144" s="27"/>
      <c r="G144" s="27"/>
      <c r="H144" s="27"/>
      <c r="I144" s="29"/>
      <c r="J144" s="27"/>
      <c r="K144" s="27"/>
      <c r="L144" s="27"/>
      <c r="M144" s="25" t="str">
        <f aca="false">IF(C144="","",IFERROR(VLOOKUP(C144,Supuestos!$A$58:$B$65,2,FALSE()),"Revisar"))</f>
        <v/>
      </c>
      <c r="N144" s="27"/>
    </row>
    <row r="145" customFormat="false" ht="15" hidden="false" customHeight="false" outlineLevel="0" collapsed="false">
      <c r="A145" s="25" t="str">
        <f aca="false">IF(C145="","",ROW()-5)</f>
        <v/>
      </c>
      <c r="B145" s="26"/>
      <c r="C145" s="27"/>
      <c r="D145" s="27"/>
      <c r="E145" s="27"/>
      <c r="F145" s="27"/>
      <c r="G145" s="27"/>
      <c r="H145" s="27"/>
      <c r="I145" s="29"/>
      <c r="J145" s="27"/>
      <c r="K145" s="27"/>
      <c r="L145" s="27"/>
      <c r="M145" s="25" t="str">
        <f aca="false">IF(C145="","",IFERROR(VLOOKUP(C145,Supuestos!$A$58:$B$65,2,FALSE()),"Revisar"))</f>
        <v/>
      </c>
      <c r="N145" s="27"/>
    </row>
    <row r="146" customFormat="false" ht="15" hidden="false" customHeight="false" outlineLevel="0" collapsed="false">
      <c r="A146" s="25" t="str">
        <f aca="false">IF(C146="","",ROW()-5)</f>
        <v/>
      </c>
      <c r="B146" s="26"/>
      <c r="C146" s="27"/>
      <c r="D146" s="27"/>
      <c r="E146" s="27"/>
      <c r="F146" s="27"/>
      <c r="G146" s="27"/>
      <c r="H146" s="27"/>
      <c r="I146" s="29"/>
      <c r="J146" s="27"/>
      <c r="K146" s="27"/>
      <c r="L146" s="27"/>
      <c r="M146" s="25" t="str">
        <f aca="false">IF(C146="","",IFERROR(VLOOKUP(C146,Supuestos!$A$58:$B$65,2,FALSE()),"Revisar"))</f>
        <v/>
      </c>
      <c r="N146" s="27"/>
    </row>
    <row r="147" customFormat="false" ht="15" hidden="false" customHeight="false" outlineLevel="0" collapsed="false">
      <c r="A147" s="25" t="str">
        <f aca="false">IF(C147="","",ROW()-5)</f>
        <v/>
      </c>
      <c r="B147" s="26"/>
      <c r="C147" s="27"/>
      <c r="D147" s="27"/>
      <c r="E147" s="27"/>
      <c r="F147" s="27"/>
      <c r="G147" s="27"/>
      <c r="H147" s="27"/>
      <c r="I147" s="29"/>
      <c r="J147" s="27"/>
      <c r="K147" s="27"/>
      <c r="L147" s="27"/>
      <c r="M147" s="25" t="str">
        <f aca="false">IF(C147="","",IFERROR(VLOOKUP(C147,Supuestos!$A$58:$B$65,2,FALSE()),"Revisar"))</f>
        <v/>
      </c>
      <c r="N147" s="27"/>
    </row>
    <row r="148" customFormat="false" ht="15" hidden="false" customHeight="false" outlineLevel="0" collapsed="false">
      <c r="A148" s="25" t="str">
        <f aca="false">IF(C148="","",ROW()-5)</f>
        <v/>
      </c>
      <c r="B148" s="26"/>
      <c r="C148" s="27"/>
      <c r="D148" s="27"/>
      <c r="E148" s="27"/>
      <c r="F148" s="27"/>
      <c r="G148" s="27"/>
      <c r="H148" s="27"/>
      <c r="I148" s="29"/>
      <c r="J148" s="27"/>
      <c r="K148" s="27"/>
      <c r="L148" s="27"/>
      <c r="M148" s="25" t="str">
        <f aca="false">IF(C148="","",IFERROR(VLOOKUP(C148,Supuestos!$A$58:$B$65,2,FALSE()),"Revisar"))</f>
        <v/>
      </c>
      <c r="N148" s="27"/>
    </row>
    <row r="149" customFormat="false" ht="15" hidden="false" customHeight="false" outlineLevel="0" collapsed="false">
      <c r="A149" s="25" t="str">
        <f aca="false">IF(C149="","",ROW()-5)</f>
        <v/>
      </c>
      <c r="B149" s="26"/>
      <c r="C149" s="27"/>
      <c r="D149" s="27"/>
      <c r="E149" s="27"/>
      <c r="F149" s="27"/>
      <c r="G149" s="27"/>
      <c r="H149" s="27"/>
      <c r="I149" s="29"/>
      <c r="J149" s="27"/>
      <c r="K149" s="27"/>
      <c r="L149" s="27"/>
      <c r="M149" s="25" t="str">
        <f aca="false">IF(C149="","",IFERROR(VLOOKUP(C149,Supuestos!$A$58:$B$65,2,FALSE()),"Revisar"))</f>
        <v/>
      </c>
      <c r="N149" s="27"/>
    </row>
    <row r="150" customFormat="false" ht="15" hidden="false" customHeight="false" outlineLevel="0" collapsed="false">
      <c r="A150" s="25" t="str">
        <f aca="false">IF(C150="","",ROW()-5)</f>
        <v/>
      </c>
      <c r="B150" s="26"/>
      <c r="C150" s="27"/>
      <c r="D150" s="27"/>
      <c r="E150" s="27"/>
      <c r="F150" s="27"/>
      <c r="G150" s="27"/>
      <c r="H150" s="27"/>
      <c r="I150" s="29"/>
      <c r="J150" s="27"/>
      <c r="K150" s="27"/>
      <c r="L150" s="27"/>
      <c r="M150" s="25" t="str">
        <f aca="false">IF(C150="","",IFERROR(VLOOKUP(C150,Supuestos!$A$58:$B$65,2,FALSE()),"Revisar"))</f>
        <v/>
      </c>
      <c r="N150" s="27"/>
    </row>
    <row r="151" customFormat="false" ht="15" hidden="false" customHeight="false" outlineLevel="0" collapsed="false">
      <c r="A151" s="25" t="str">
        <f aca="false">IF(C151="","",ROW()-5)</f>
        <v/>
      </c>
      <c r="B151" s="26"/>
      <c r="C151" s="27"/>
      <c r="D151" s="27"/>
      <c r="E151" s="27"/>
      <c r="F151" s="27"/>
      <c r="G151" s="27"/>
      <c r="H151" s="27"/>
      <c r="I151" s="29"/>
      <c r="J151" s="27"/>
      <c r="K151" s="27"/>
      <c r="L151" s="27"/>
      <c r="M151" s="25" t="str">
        <f aca="false">IF(C151="","",IFERROR(VLOOKUP(C151,Supuestos!$A$58:$B$65,2,FALSE()),"Revisar"))</f>
        <v/>
      </c>
      <c r="N151" s="27"/>
    </row>
    <row r="152" customFormat="false" ht="15" hidden="false" customHeight="false" outlineLevel="0" collapsed="false">
      <c r="A152" s="25" t="str">
        <f aca="false">IF(C152="","",ROW()-5)</f>
        <v/>
      </c>
      <c r="B152" s="26"/>
      <c r="C152" s="27"/>
      <c r="D152" s="27"/>
      <c r="E152" s="27"/>
      <c r="F152" s="27"/>
      <c r="G152" s="27"/>
      <c r="H152" s="27"/>
      <c r="I152" s="29"/>
      <c r="J152" s="27"/>
      <c r="K152" s="27"/>
      <c r="L152" s="27"/>
      <c r="M152" s="25" t="str">
        <f aca="false">IF(C152="","",IFERROR(VLOOKUP(C152,Supuestos!$A$58:$B$65,2,FALSE()),"Revisar"))</f>
        <v/>
      </c>
      <c r="N152" s="27"/>
    </row>
    <row r="153" customFormat="false" ht="15" hidden="false" customHeight="false" outlineLevel="0" collapsed="false">
      <c r="A153" s="25" t="str">
        <f aca="false">IF(C153="","",ROW()-5)</f>
        <v/>
      </c>
      <c r="B153" s="26"/>
      <c r="C153" s="27"/>
      <c r="D153" s="27"/>
      <c r="E153" s="27"/>
      <c r="F153" s="27"/>
      <c r="G153" s="27"/>
      <c r="H153" s="27"/>
      <c r="I153" s="29"/>
      <c r="J153" s="27"/>
      <c r="K153" s="27"/>
      <c r="L153" s="27"/>
      <c r="M153" s="25" t="str">
        <f aca="false">IF(C153="","",IFERROR(VLOOKUP(C153,Supuestos!$A$58:$B$65,2,FALSE()),"Revisar"))</f>
        <v/>
      </c>
      <c r="N153" s="27"/>
    </row>
    <row r="154" customFormat="false" ht="15" hidden="false" customHeight="false" outlineLevel="0" collapsed="false">
      <c r="A154" s="25" t="str">
        <f aca="false">IF(C154="","",ROW()-5)</f>
        <v/>
      </c>
      <c r="B154" s="26"/>
      <c r="C154" s="27"/>
      <c r="D154" s="27"/>
      <c r="E154" s="27"/>
      <c r="F154" s="27"/>
      <c r="G154" s="27"/>
      <c r="H154" s="27"/>
      <c r="I154" s="29"/>
      <c r="J154" s="27"/>
      <c r="K154" s="27"/>
      <c r="L154" s="27"/>
      <c r="M154" s="25" t="str">
        <f aca="false">IF(C154="","",IFERROR(VLOOKUP(C154,Supuestos!$A$58:$B$65,2,FALSE()),"Revisar"))</f>
        <v/>
      </c>
      <c r="N154" s="27"/>
    </row>
    <row r="155" customFormat="false" ht="15" hidden="false" customHeight="false" outlineLevel="0" collapsed="false">
      <c r="A155" s="25" t="str">
        <f aca="false">IF(C155="","",ROW()-5)</f>
        <v/>
      </c>
      <c r="B155" s="26"/>
      <c r="C155" s="27"/>
      <c r="D155" s="27"/>
      <c r="E155" s="27"/>
      <c r="F155" s="27"/>
      <c r="G155" s="27"/>
      <c r="H155" s="27"/>
      <c r="I155" s="29"/>
      <c r="J155" s="27"/>
      <c r="K155" s="27"/>
      <c r="L155" s="27"/>
      <c r="M155" s="25" t="str">
        <f aca="false">IF(C155="","",IFERROR(VLOOKUP(C155,Supuestos!$A$58:$B$65,2,FALSE()),"Revisar"))</f>
        <v/>
      </c>
      <c r="N155" s="27"/>
    </row>
    <row r="156" customFormat="false" ht="15" hidden="false" customHeight="false" outlineLevel="0" collapsed="false">
      <c r="A156" s="25" t="str">
        <f aca="false">IF(C156="","",ROW()-5)</f>
        <v/>
      </c>
      <c r="B156" s="26"/>
      <c r="C156" s="27"/>
      <c r="D156" s="27"/>
      <c r="E156" s="27"/>
      <c r="F156" s="27"/>
      <c r="G156" s="27"/>
      <c r="H156" s="27"/>
      <c r="I156" s="29"/>
      <c r="J156" s="27"/>
      <c r="K156" s="27"/>
      <c r="L156" s="27"/>
      <c r="M156" s="25" t="str">
        <f aca="false">IF(C156="","",IFERROR(VLOOKUP(C156,Supuestos!$A$58:$B$65,2,FALSE()),"Revisar"))</f>
        <v/>
      </c>
      <c r="N156" s="27"/>
    </row>
    <row r="157" customFormat="false" ht="15" hidden="false" customHeight="false" outlineLevel="0" collapsed="false">
      <c r="A157" s="25" t="str">
        <f aca="false">IF(C157="","",ROW()-5)</f>
        <v/>
      </c>
      <c r="B157" s="26"/>
      <c r="C157" s="27"/>
      <c r="D157" s="27"/>
      <c r="E157" s="27"/>
      <c r="F157" s="27"/>
      <c r="G157" s="27"/>
      <c r="H157" s="27"/>
      <c r="I157" s="29"/>
      <c r="J157" s="27"/>
      <c r="K157" s="27"/>
      <c r="L157" s="27"/>
      <c r="M157" s="25" t="str">
        <f aca="false">IF(C157="","",IFERROR(VLOOKUP(C157,Supuestos!$A$58:$B$65,2,FALSE()),"Revisar"))</f>
        <v/>
      </c>
      <c r="N157" s="27"/>
    </row>
    <row r="158" customFormat="false" ht="15" hidden="false" customHeight="false" outlineLevel="0" collapsed="false">
      <c r="A158" s="25" t="str">
        <f aca="false">IF(C158="","",ROW()-5)</f>
        <v/>
      </c>
      <c r="B158" s="26"/>
      <c r="C158" s="27"/>
      <c r="D158" s="27"/>
      <c r="E158" s="27"/>
      <c r="F158" s="27"/>
      <c r="G158" s="27"/>
      <c r="H158" s="27"/>
      <c r="I158" s="29"/>
      <c r="J158" s="27"/>
      <c r="K158" s="27"/>
      <c r="L158" s="27"/>
      <c r="M158" s="25" t="str">
        <f aca="false">IF(C158="","",IFERROR(VLOOKUP(C158,Supuestos!$A$58:$B$65,2,FALSE()),"Revisar"))</f>
        <v/>
      </c>
      <c r="N158" s="27"/>
    </row>
    <row r="159" customFormat="false" ht="15" hidden="false" customHeight="false" outlineLevel="0" collapsed="false">
      <c r="A159" s="25" t="str">
        <f aca="false">IF(C159="","",ROW()-5)</f>
        <v/>
      </c>
      <c r="B159" s="26"/>
      <c r="C159" s="27"/>
      <c r="D159" s="27"/>
      <c r="E159" s="27"/>
      <c r="F159" s="27"/>
      <c r="G159" s="27"/>
      <c r="H159" s="27"/>
      <c r="I159" s="29"/>
      <c r="J159" s="27"/>
      <c r="K159" s="27"/>
      <c r="L159" s="27"/>
      <c r="M159" s="25" t="str">
        <f aca="false">IF(C159="","",IFERROR(VLOOKUP(C159,Supuestos!$A$58:$B$65,2,FALSE()),"Revisar"))</f>
        <v/>
      </c>
      <c r="N159" s="27"/>
    </row>
    <row r="160" customFormat="false" ht="15" hidden="false" customHeight="false" outlineLevel="0" collapsed="false">
      <c r="A160" s="25" t="str">
        <f aca="false">IF(C160="","",ROW()-5)</f>
        <v/>
      </c>
      <c r="B160" s="26"/>
      <c r="C160" s="27"/>
      <c r="D160" s="27"/>
      <c r="E160" s="27"/>
      <c r="F160" s="27"/>
      <c r="G160" s="27"/>
      <c r="H160" s="27"/>
      <c r="I160" s="29"/>
      <c r="J160" s="27"/>
      <c r="K160" s="27"/>
      <c r="L160" s="27"/>
      <c r="M160" s="25" t="str">
        <f aca="false">IF(C160="","",IFERROR(VLOOKUP(C160,Supuestos!$A$58:$B$65,2,FALSE()),"Revisar"))</f>
        <v/>
      </c>
      <c r="N160" s="27"/>
    </row>
    <row r="161" customFormat="false" ht="15" hidden="false" customHeight="false" outlineLevel="0" collapsed="false">
      <c r="A161" s="25" t="str">
        <f aca="false">IF(C161="","",ROW()-5)</f>
        <v/>
      </c>
      <c r="B161" s="26"/>
      <c r="C161" s="27"/>
      <c r="D161" s="27"/>
      <c r="E161" s="27"/>
      <c r="F161" s="27"/>
      <c r="G161" s="27"/>
      <c r="H161" s="27"/>
      <c r="I161" s="29"/>
      <c r="J161" s="27"/>
      <c r="K161" s="27"/>
      <c r="L161" s="27"/>
      <c r="M161" s="25" t="str">
        <f aca="false">IF(C161="","",IFERROR(VLOOKUP(C161,Supuestos!$A$58:$B$65,2,FALSE()),"Revisar"))</f>
        <v/>
      </c>
      <c r="N161" s="27"/>
    </row>
    <row r="162" customFormat="false" ht="15" hidden="false" customHeight="false" outlineLevel="0" collapsed="false">
      <c r="A162" s="25" t="str">
        <f aca="false">IF(C162="","",ROW()-5)</f>
        <v/>
      </c>
      <c r="B162" s="26"/>
      <c r="C162" s="27"/>
      <c r="D162" s="27"/>
      <c r="E162" s="27"/>
      <c r="F162" s="27"/>
      <c r="G162" s="27"/>
      <c r="H162" s="27"/>
      <c r="I162" s="29"/>
      <c r="J162" s="27"/>
      <c r="K162" s="27"/>
      <c r="L162" s="27"/>
      <c r="M162" s="25" t="str">
        <f aca="false">IF(C162="","",IFERROR(VLOOKUP(C162,Supuestos!$A$58:$B$65,2,FALSE()),"Revisar"))</f>
        <v/>
      </c>
      <c r="N162" s="27"/>
    </row>
    <row r="163" customFormat="false" ht="15" hidden="false" customHeight="false" outlineLevel="0" collapsed="false">
      <c r="A163" s="25" t="str">
        <f aca="false">IF(C163="","",ROW()-5)</f>
        <v/>
      </c>
      <c r="B163" s="26"/>
      <c r="C163" s="27"/>
      <c r="D163" s="27"/>
      <c r="E163" s="27"/>
      <c r="F163" s="27"/>
      <c r="G163" s="27"/>
      <c r="H163" s="27"/>
      <c r="I163" s="29"/>
      <c r="J163" s="27"/>
      <c r="K163" s="27"/>
      <c r="L163" s="27"/>
      <c r="M163" s="25" t="str">
        <f aca="false">IF(C163="","",IFERROR(VLOOKUP(C163,Supuestos!$A$58:$B$65,2,FALSE()),"Revisar"))</f>
        <v/>
      </c>
      <c r="N163" s="27"/>
    </row>
    <row r="164" customFormat="false" ht="15" hidden="false" customHeight="false" outlineLevel="0" collapsed="false">
      <c r="A164" s="25" t="str">
        <f aca="false">IF(C164="","",ROW()-5)</f>
        <v/>
      </c>
      <c r="B164" s="26"/>
      <c r="C164" s="27"/>
      <c r="D164" s="27"/>
      <c r="E164" s="27"/>
      <c r="F164" s="27"/>
      <c r="G164" s="27"/>
      <c r="H164" s="27"/>
      <c r="I164" s="29"/>
      <c r="J164" s="27"/>
      <c r="K164" s="27"/>
      <c r="L164" s="27"/>
      <c r="M164" s="25" t="str">
        <f aca="false">IF(C164="","",IFERROR(VLOOKUP(C164,Supuestos!$A$58:$B$65,2,FALSE()),"Revisar"))</f>
        <v/>
      </c>
      <c r="N164" s="27"/>
    </row>
    <row r="165" customFormat="false" ht="15" hidden="false" customHeight="false" outlineLevel="0" collapsed="false">
      <c r="A165" s="25" t="str">
        <f aca="false">IF(C165="","",ROW()-5)</f>
        <v/>
      </c>
      <c r="B165" s="26"/>
      <c r="C165" s="27"/>
      <c r="D165" s="27"/>
      <c r="E165" s="27"/>
      <c r="F165" s="27"/>
      <c r="G165" s="27"/>
      <c r="H165" s="27"/>
      <c r="I165" s="29"/>
      <c r="J165" s="27"/>
      <c r="K165" s="27"/>
      <c r="L165" s="27"/>
      <c r="M165" s="25" t="str">
        <f aca="false">IF(C165="","",IFERROR(VLOOKUP(C165,Supuestos!$A$58:$B$65,2,FALSE()),"Revisar"))</f>
        <v/>
      </c>
      <c r="N165" s="27"/>
    </row>
    <row r="166" customFormat="false" ht="15" hidden="false" customHeight="false" outlineLevel="0" collapsed="false">
      <c r="A166" s="25" t="str">
        <f aca="false">IF(C166="","",ROW()-5)</f>
        <v/>
      </c>
      <c r="B166" s="26"/>
      <c r="C166" s="27"/>
      <c r="D166" s="27"/>
      <c r="E166" s="27"/>
      <c r="F166" s="27"/>
      <c r="G166" s="27"/>
      <c r="H166" s="27"/>
      <c r="I166" s="29"/>
      <c r="J166" s="27"/>
      <c r="K166" s="27"/>
      <c r="L166" s="27"/>
      <c r="M166" s="25" t="str">
        <f aca="false">IF(C166="","",IFERROR(VLOOKUP(C166,Supuestos!$A$58:$B$65,2,FALSE()),"Revisar"))</f>
        <v/>
      </c>
      <c r="N166" s="27"/>
    </row>
    <row r="167" customFormat="false" ht="15" hidden="false" customHeight="false" outlineLevel="0" collapsed="false">
      <c r="A167" s="25" t="str">
        <f aca="false">IF(C167="","",ROW()-5)</f>
        <v/>
      </c>
      <c r="B167" s="26"/>
      <c r="C167" s="27"/>
      <c r="D167" s="27"/>
      <c r="E167" s="27"/>
      <c r="F167" s="27"/>
      <c r="G167" s="27"/>
      <c r="H167" s="27"/>
      <c r="I167" s="29"/>
      <c r="J167" s="27"/>
      <c r="K167" s="27"/>
      <c r="L167" s="27"/>
      <c r="M167" s="25" t="str">
        <f aca="false">IF(C167="","",IFERROR(VLOOKUP(C167,Supuestos!$A$58:$B$65,2,FALSE()),"Revisar"))</f>
        <v/>
      </c>
      <c r="N167" s="27"/>
    </row>
    <row r="168" customFormat="false" ht="15" hidden="false" customHeight="false" outlineLevel="0" collapsed="false">
      <c r="A168" s="25" t="str">
        <f aca="false">IF(C168="","",ROW()-5)</f>
        <v/>
      </c>
      <c r="B168" s="26"/>
      <c r="C168" s="27"/>
      <c r="D168" s="27"/>
      <c r="E168" s="27"/>
      <c r="F168" s="27"/>
      <c r="G168" s="27"/>
      <c r="H168" s="27"/>
      <c r="I168" s="29"/>
      <c r="J168" s="27"/>
      <c r="K168" s="27"/>
      <c r="L168" s="27"/>
      <c r="M168" s="25" t="str">
        <f aca="false">IF(C168="","",IFERROR(VLOOKUP(C168,Supuestos!$A$58:$B$65,2,FALSE()),"Revisar"))</f>
        <v/>
      </c>
      <c r="N168" s="27"/>
    </row>
    <row r="169" customFormat="false" ht="15" hidden="false" customHeight="false" outlineLevel="0" collapsed="false">
      <c r="A169" s="25" t="str">
        <f aca="false">IF(C169="","",ROW()-5)</f>
        <v/>
      </c>
      <c r="B169" s="26"/>
      <c r="C169" s="27"/>
      <c r="D169" s="27"/>
      <c r="E169" s="27"/>
      <c r="F169" s="27"/>
      <c r="G169" s="27"/>
      <c r="H169" s="27"/>
      <c r="I169" s="29"/>
      <c r="J169" s="27"/>
      <c r="K169" s="27"/>
      <c r="L169" s="27"/>
      <c r="M169" s="25" t="str">
        <f aca="false">IF(C169="","",IFERROR(VLOOKUP(C169,Supuestos!$A$58:$B$65,2,FALSE()),"Revisar"))</f>
        <v/>
      </c>
      <c r="N169" s="27"/>
    </row>
    <row r="170" customFormat="false" ht="15" hidden="false" customHeight="false" outlineLevel="0" collapsed="false">
      <c r="A170" s="25" t="str">
        <f aca="false">IF(C170="","",ROW()-5)</f>
        <v/>
      </c>
      <c r="B170" s="26"/>
      <c r="C170" s="27"/>
      <c r="D170" s="27"/>
      <c r="E170" s="27"/>
      <c r="F170" s="27"/>
      <c r="G170" s="27"/>
      <c r="H170" s="27"/>
      <c r="I170" s="29"/>
      <c r="J170" s="27"/>
      <c r="K170" s="27"/>
      <c r="L170" s="27"/>
      <c r="M170" s="25" t="str">
        <f aca="false">IF(C170="","",IFERROR(VLOOKUP(C170,Supuestos!$A$58:$B$65,2,FALSE()),"Revisar"))</f>
        <v/>
      </c>
      <c r="N170" s="27"/>
    </row>
    <row r="171" customFormat="false" ht="15" hidden="false" customHeight="false" outlineLevel="0" collapsed="false">
      <c r="A171" s="25" t="str">
        <f aca="false">IF(C171="","",ROW()-5)</f>
        <v/>
      </c>
      <c r="B171" s="26"/>
      <c r="C171" s="27"/>
      <c r="D171" s="27"/>
      <c r="E171" s="27"/>
      <c r="F171" s="27"/>
      <c r="G171" s="27"/>
      <c r="H171" s="27"/>
      <c r="I171" s="29"/>
      <c r="J171" s="27"/>
      <c r="K171" s="27"/>
      <c r="L171" s="27"/>
      <c r="M171" s="25" t="str">
        <f aca="false">IF(C171="","",IFERROR(VLOOKUP(C171,Supuestos!$A$58:$B$65,2,FALSE()),"Revisar"))</f>
        <v/>
      </c>
      <c r="N171" s="27"/>
    </row>
    <row r="172" customFormat="false" ht="15" hidden="false" customHeight="false" outlineLevel="0" collapsed="false">
      <c r="A172" s="25" t="str">
        <f aca="false">IF(C172="","",ROW()-5)</f>
        <v/>
      </c>
      <c r="B172" s="26"/>
      <c r="C172" s="27"/>
      <c r="D172" s="27"/>
      <c r="E172" s="27"/>
      <c r="F172" s="27"/>
      <c r="G172" s="27"/>
      <c r="H172" s="27"/>
      <c r="I172" s="29"/>
      <c r="J172" s="27"/>
      <c r="K172" s="27"/>
      <c r="L172" s="27"/>
      <c r="M172" s="25" t="str">
        <f aca="false">IF(C172="","",IFERROR(VLOOKUP(C172,Supuestos!$A$58:$B$65,2,FALSE()),"Revisar"))</f>
        <v/>
      </c>
      <c r="N172" s="27"/>
    </row>
    <row r="173" customFormat="false" ht="15" hidden="false" customHeight="false" outlineLevel="0" collapsed="false">
      <c r="A173" s="25" t="str">
        <f aca="false">IF(C173="","",ROW()-5)</f>
        <v/>
      </c>
      <c r="B173" s="26"/>
      <c r="C173" s="27"/>
      <c r="D173" s="27"/>
      <c r="E173" s="27"/>
      <c r="F173" s="27"/>
      <c r="G173" s="27"/>
      <c r="H173" s="27"/>
      <c r="I173" s="29"/>
      <c r="J173" s="27"/>
      <c r="K173" s="27"/>
      <c r="L173" s="27"/>
      <c r="M173" s="25" t="str">
        <f aca="false">IF(C173="","",IFERROR(VLOOKUP(C173,Supuestos!$A$58:$B$65,2,FALSE()),"Revisar"))</f>
        <v/>
      </c>
      <c r="N173" s="27"/>
    </row>
    <row r="174" customFormat="false" ht="15" hidden="false" customHeight="false" outlineLevel="0" collapsed="false">
      <c r="A174" s="25" t="str">
        <f aca="false">IF(C174="","",ROW()-5)</f>
        <v/>
      </c>
      <c r="B174" s="26"/>
      <c r="C174" s="27"/>
      <c r="D174" s="27"/>
      <c r="E174" s="27"/>
      <c r="F174" s="27"/>
      <c r="G174" s="27"/>
      <c r="H174" s="27"/>
      <c r="I174" s="29"/>
      <c r="J174" s="27"/>
      <c r="K174" s="27"/>
      <c r="L174" s="27"/>
      <c r="M174" s="25" t="str">
        <f aca="false">IF(C174="","",IFERROR(VLOOKUP(C174,Supuestos!$A$58:$B$65,2,FALSE()),"Revisar"))</f>
        <v/>
      </c>
      <c r="N174" s="27"/>
    </row>
    <row r="175" customFormat="false" ht="15" hidden="false" customHeight="false" outlineLevel="0" collapsed="false">
      <c r="A175" s="25" t="str">
        <f aca="false">IF(C175="","",ROW()-5)</f>
        <v/>
      </c>
      <c r="B175" s="26"/>
      <c r="C175" s="27"/>
      <c r="D175" s="27"/>
      <c r="E175" s="27"/>
      <c r="F175" s="27"/>
      <c r="G175" s="27"/>
      <c r="H175" s="27"/>
      <c r="I175" s="29"/>
      <c r="J175" s="27"/>
      <c r="K175" s="27"/>
      <c r="L175" s="27"/>
      <c r="M175" s="25" t="str">
        <f aca="false">IF(C175="","",IFERROR(VLOOKUP(C175,Supuestos!$A$58:$B$65,2,FALSE()),"Revisar"))</f>
        <v/>
      </c>
      <c r="N175" s="27"/>
    </row>
    <row r="176" customFormat="false" ht="15" hidden="false" customHeight="false" outlineLevel="0" collapsed="false">
      <c r="A176" s="25" t="str">
        <f aca="false">IF(C176="","",ROW()-5)</f>
        <v/>
      </c>
      <c r="B176" s="26"/>
      <c r="C176" s="27"/>
      <c r="D176" s="27"/>
      <c r="E176" s="27"/>
      <c r="F176" s="27"/>
      <c r="G176" s="27"/>
      <c r="H176" s="27"/>
      <c r="I176" s="29"/>
      <c r="J176" s="27"/>
      <c r="K176" s="27"/>
      <c r="L176" s="27"/>
      <c r="M176" s="25" t="str">
        <f aca="false">IF(C176="","",IFERROR(VLOOKUP(C176,Supuestos!$A$58:$B$65,2,FALSE()),"Revisar"))</f>
        <v/>
      </c>
      <c r="N176" s="27"/>
    </row>
    <row r="177" customFormat="false" ht="15" hidden="false" customHeight="false" outlineLevel="0" collapsed="false">
      <c r="A177" s="25" t="str">
        <f aca="false">IF(C177="","",ROW()-5)</f>
        <v/>
      </c>
      <c r="B177" s="26"/>
      <c r="C177" s="27"/>
      <c r="D177" s="27"/>
      <c r="E177" s="27"/>
      <c r="F177" s="27"/>
      <c r="G177" s="27"/>
      <c r="H177" s="27"/>
      <c r="I177" s="29"/>
      <c r="J177" s="27"/>
      <c r="K177" s="27"/>
      <c r="L177" s="27"/>
      <c r="M177" s="25" t="str">
        <f aca="false">IF(C177="","",IFERROR(VLOOKUP(C177,Supuestos!$A$58:$B$65,2,FALSE()),"Revisar"))</f>
        <v/>
      </c>
      <c r="N177" s="27"/>
    </row>
    <row r="178" customFormat="false" ht="15" hidden="false" customHeight="false" outlineLevel="0" collapsed="false">
      <c r="A178" s="25" t="str">
        <f aca="false">IF(C178="","",ROW()-5)</f>
        <v/>
      </c>
      <c r="B178" s="26"/>
      <c r="C178" s="27"/>
      <c r="D178" s="27"/>
      <c r="E178" s="27"/>
      <c r="F178" s="27"/>
      <c r="G178" s="27"/>
      <c r="H178" s="27"/>
      <c r="I178" s="29"/>
      <c r="J178" s="27"/>
      <c r="K178" s="27"/>
      <c r="L178" s="27"/>
      <c r="M178" s="25" t="str">
        <f aca="false">IF(C178="","",IFERROR(VLOOKUP(C178,Supuestos!$A$58:$B$65,2,FALSE()),"Revisar"))</f>
        <v/>
      </c>
      <c r="N178" s="27"/>
    </row>
    <row r="179" customFormat="false" ht="15" hidden="false" customHeight="false" outlineLevel="0" collapsed="false">
      <c r="A179" s="25" t="str">
        <f aca="false">IF(C179="","",ROW()-5)</f>
        <v/>
      </c>
      <c r="B179" s="26"/>
      <c r="C179" s="27"/>
      <c r="D179" s="27"/>
      <c r="E179" s="27"/>
      <c r="F179" s="27"/>
      <c r="G179" s="27"/>
      <c r="H179" s="27"/>
      <c r="I179" s="29"/>
      <c r="J179" s="27"/>
      <c r="K179" s="27"/>
      <c r="L179" s="27"/>
      <c r="M179" s="25" t="str">
        <f aca="false">IF(C179="","",IFERROR(VLOOKUP(C179,Supuestos!$A$58:$B$65,2,FALSE()),"Revisar"))</f>
        <v/>
      </c>
      <c r="N179" s="27"/>
    </row>
    <row r="180" customFormat="false" ht="15" hidden="false" customHeight="false" outlineLevel="0" collapsed="false">
      <c r="A180" s="25" t="str">
        <f aca="false">IF(C180="","",ROW()-5)</f>
        <v/>
      </c>
      <c r="B180" s="26"/>
      <c r="C180" s="27"/>
      <c r="D180" s="27"/>
      <c r="E180" s="27"/>
      <c r="F180" s="27"/>
      <c r="G180" s="27"/>
      <c r="H180" s="27"/>
      <c r="I180" s="29"/>
      <c r="J180" s="27"/>
      <c r="K180" s="27"/>
      <c r="L180" s="27"/>
      <c r="M180" s="25" t="str">
        <f aca="false">IF(C180="","",IFERROR(VLOOKUP(C180,Supuestos!$A$58:$B$65,2,FALSE()),"Revisar"))</f>
        <v/>
      </c>
      <c r="N180" s="27"/>
    </row>
    <row r="181" customFormat="false" ht="15" hidden="false" customHeight="false" outlineLevel="0" collapsed="false">
      <c r="A181" s="25" t="str">
        <f aca="false">IF(C181="","",ROW()-5)</f>
        <v/>
      </c>
      <c r="B181" s="26"/>
      <c r="C181" s="27"/>
      <c r="D181" s="27"/>
      <c r="E181" s="27"/>
      <c r="F181" s="27"/>
      <c r="G181" s="27"/>
      <c r="H181" s="27"/>
      <c r="I181" s="29"/>
      <c r="J181" s="27"/>
      <c r="K181" s="27"/>
      <c r="L181" s="27"/>
      <c r="M181" s="25" t="str">
        <f aca="false">IF(C181="","",IFERROR(VLOOKUP(C181,Supuestos!$A$58:$B$65,2,FALSE()),"Revisar"))</f>
        <v/>
      </c>
      <c r="N181" s="27"/>
    </row>
    <row r="182" customFormat="false" ht="15" hidden="false" customHeight="false" outlineLevel="0" collapsed="false">
      <c r="A182" s="25" t="str">
        <f aca="false">IF(C182="","",ROW()-5)</f>
        <v/>
      </c>
      <c r="B182" s="26"/>
      <c r="C182" s="27"/>
      <c r="D182" s="27"/>
      <c r="E182" s="27"/>
      <c r="F182" s="27"/>
      <c r="G182" s="27"/>
      <c r="H182" s="27"/>
      <c r="I182" s="29"/>
      <c r="J182" s="27"/>
      <c r="K182" s="27"/>
      <c r="L182" s="27"/>
      <c r="M182" s="25" t="str">
        <f aca="false">IF(C182="","",IFERROR(VLOOKUP(C182,Supuestos!$A$58:$B$65,2,FALSE()),"Revisar"))</f>
        <v/>
      </c>
      <c r="N182" s="27"/>
    </row>
    <row r="183" customFormat="false" ht="15" hidden="false" customHeight="false" outlineLevel="0" collapsed="false">
      <c r="A183" s="25" t="str">
        <f aca="false">IF(C183="","",ROW()-5)</f>
        <v/>
      </c>
      <c r="B183" s="26"/>
      <c r="C183" s="27"/>
      <c r="D183" s="27"/>
      <c r="E183" s="27"/>
      <c r="F183" s="27"/>
      <c r="G183" s="27"/>
      <c r="H183" s="27"/>
      <c r="I183" s="29"/>
      <c r="J183" s="27"/>
      <c r="K183" s="27"/>
      <c r="L183" s="27"/>
      <c r="M183" s="25" t="str">
        <f aca="false">IF(C183="","",IFERROR(VLOOKUP(C183,Supuestos!$A$58:$B$65,2,FALSE()),"Revisar"))</f>
        <v/>
      </c>
      <c r="N183" s="27"/>
    </row>
    <row r="184" customFormat="false" ht="15" hidden="false" customHeight="false" outlineLevel="0" collapsed="false">
      <c r="A184" s="25" t="str">
        <f aca="false">IF(C184="","",ROW()-5)</f>
        <v/>
      </c>
      <c r="B184" s="26"/>
      <c r="C184" s="27"/>
      <c r="D184" s="27"/>
      <c r="E184" s="27"/>
      <c r="F184" s="27"/>
      <c r="G184" s="27"/>
      <c r="H184" s="27"/>
      <c r="I184" s="29"/>
      <c r="J184" s="27"/>
      <c r="K184" s="27"/>
      <c r="L184" s="27"/>
      <c r="M184" s="25" t="str">
        <f aca="false">IF(C184="","",IFERROR(VLOOKUP(C184,Supuestos!$A$58:$B$65,2,FALSE()),"Revisar"))</f>
        <v/>
      </c>
      <c r="N184" s="27"/>
    </row>
    <row r="185" customFormat="false" ht="15" hidden="false" customHeight="false" outlineLevel="0" collapsed="false">
      <c r="A185" s="25" t="str">
        <f aca="false">IF(C185="","",ROW()-5)</f>
        <v/>
      </c>
      <c r="B185" s="26"/>
      <c r="C185" s="27"/>
      <c r="D185" s="27"/>
      <c r="E185" s="27"/>
      <c r="F185" s="27"/>
      <c r="G185" s="27"/>
      <c r="H185" s="27"/>
      <c r="I185" s="29"/>
      <c r="J185" s="27"/>
      <c r="K185" s="27"/>
      <c r="L185" s="27"/>
      <c r="M185" s="25" t="str">
        <f aca="false">IF(C185="","",IFERROR(VLOOKUP(C185,Supuestos!$A$58:$B$65,2,FALSE()),"Revisar"))</f>
        <v/>
      </c>
      <c r="N185" s="27"/>
    </row>
    <row r="186" customFormat="false" ht="15" hidden="false" customHeight="false" outlineLevel="0" collapsed="false">
      <c r="A186" s="25" t="str">
        <f aca="false">IF(C186="","",ROW()-5)</f>
        <v/>
      </c>
      <c r="B186" s="26"/>
      <c r="C186" s="27"/>
      <c r="D186" s="27"/>
      <c r="E186" s="27"/>
      <c r="F186" s="27"/>
      <c r="G186" s="27"/>
      <c r="H186" s="27"/>
      <c r="I186" s="29"/>
      <c r="J186" s="27"/>
      <c r="K186" s="27"/>
      <c r="L186" s="27"/>
      <c r="M186" s="25" t="str">
        <f aca="false">IF(C186="","",IFERROR(VLOOKUP(C186,Supuestos!$A$58:$B$65,2,FALSE()),"Revisar"))</f>
        <v/>
      </c>
      <c r="N186" s="27"/>
    </row>
    <row r="187" customFormat="false" ht="15" hidden="false" customHeight="false" outlineLevel="0" collapsed="false">
      <c r="A187" s="25" t="str">
        <f aca="false">IF(C187="","",ROW()-5)</f>
        <v/>
      </c>
      <c r="B187" s="26"/>
      <c r="C187" s="27"/>
      <c r="D187" s="27"/>
      <c r="E187" s="27"/>
      <c r="F187" s="27"/>
      <c r="G187" s="27"/>
      <c r="H187" s="27"/>
      <c r="I187" s="29"/>
      <c r="J187" s="27"/>
      <c r="K187" s="27"/>
      <c r="L187" s="27"/>
      <c r="M187" s="25" t="str">
        <f aca="false">IF(C187="","",IFERROR(VLOOKUP(C187,Supuestos!$A$58:$B$65,2,FALSE()),"Revisar"))</f>
        <v/>
      </c>
      <c r="N187" s="27"/>
    </row>
    <row r="188" customFormat="false" ht="15" hidden="false" customHeight="false" outlineLevel="0" collapsed="false">
      <c r="A188" s="25" t="str">
        <f aca="false">IF(C188="","",ROW()-5)</f>
        <v/>
      </c>
      <c r="B188" s="26"/>
      <c r="C188" s="27"/>
      <c r="D188" s="27"/>
      <c r="E188" s="27"/>
      <c r="F188" s="27"/>
      <c r="G188" s="27"/>
      <c r="H188" s="27"/>
      <c r="I188" s="29"/>
      <c r="J188" s="27"/>
      <c r="K188" s="27"/>
      <c r="L188" s="27"/>
      <c r="M188" s="25" t="str">
        <f aca="false">IF(C188="","",IFERROR(VLOOKUP(C188,Supuestos!$A$58:$B$65,2,FALSE()),"Revisar"))</f>
        <v/>
      </c>
      <c r="N188" s="27"/>
    </row>
    <row r="189" customFormat="false" ht="15" hidden="false" customHeight="false" outlineLevel="0" collapsed="false">
      <c r="A189" s="25" t="str">
        <f aca="false">IF(C189="","",ROW()-5)</f>
        <v/>
      </c>
      <c r="B189" s="26"/>
      <c r="C189" s="27"/>
      <c r="D189" s="27"/>
      <c r="E189" s="27"/>
      <c r="F189" s="27"/>
      <c r="G189" s="27"/>
      <c r="H189" s="27"/>
      <c r="I189" s="29"/>
      <c r="J189" s="27"/>
      <c r="K189" s="27"/>
      <c r="L189" s="27"/>
      <c r="M189" s="25" t="str">
        <f aca="false">IF(C189="","",IFERROR(VLOOKUP(C189,Supuestos!$A$58:$B$65,2,FALSE()),"Revisar"))</f>
        <v/>
      </c>
      <c r="N189" s="27"/>
    </row>
    <row r="190" customFormat="false" ht="15" hidden="false" customHeight="false" outlineLevel="0" collapsed="false">
      <c r="A190" s="25" t="str">
        <f aca="false">IF(C190="","",ROW()-5)</f>
        <v/>
      </c>
      <c r="B190" s="26"/>
      <c r="C190" s="27"/>
      <c r="D190" s="27"/>
      <c r="E190" s="27"/>
      <c r="F190" s="27"/>
      <c r="G190" s="27"/>
      <c r="H190" s="27"/>
      <c r="I190" s="29"/>
      <c r="J190" s="27"/>
      <c r="K190" s="27"/>
      <c r="L190" s="27"/>
      <c r="M190" s="25" t="str">
        <f aca="false">IF(C190="","",IFERROR(VLOOKUP(C190,Supuestos!$A$58:$B$65,2,FALSE()),"Revisar"))</f>
        <v/>
      </c>
      <c r="N190" s="27"/>
    </row>
    <row r="191" customFormat="false" ht="15" hidden="false" customHeight="false" outlineLevel="0" collapsed="false">
      <c r="A191" s="25" t="str">
        <f aca="false">IF(C191="","",ROW()-5)</f>
        <v/>
      </c>
      <c r="B191" s="26"/>
      <c r="C191" s="27"/>
      <c r="D191" s="27"/>
      <c r="E191" s="27"/>
      <c r="F191" s="27"/>
      <c r="G191" s="27"/>
      <c r="H191" s="27"/>
      <c r="I191" s="29"/>
      <c r="J191" s="27"/>
      <c r="K191" s="27"/>
      <c r="L191" s="27"/>
      <c r="M191" s="25" t="str">
        <f aca="false">IF(C191="","",IFERROR(VLOOKUP(C191,Supuestos!$A$58:$B$65,2,FALSE()),"Revisar"))</f>
        <v/>
      </c>
      <c r="N191" s="27"/>
    </row>
    <row r="192" customFormat="false" ht="15" hidden="false" customHeight="false" outlineLevel="0" collapsed="false">
      <c r="A192" s="25" t="str">
        <f aca="false">IF(C192="","",ROW()-5)</f>
        <v/>
      </c>
      <c r="B192" s="26"/>
      <c r="C192" s="27"/>
      <c r="D192" s="27"/>
      <c r="E192" s="27"/>
      <c r="F192" s="27"/>
      <c r="G192" s="27"/>
      <c r="H192" s="27"/>
      <c r="I192" s="29"/>
      <c r="J192" s="27"/>
      <c r="K192" s="27"/>
      <c r="L192" s="27"/>
      <c r="M192" s="25" t="str">
        <f aca="false">IF(C192="","",IFERROR(VLOOKUP(C192,Supuestos!$A$58:$B$65,2,FALSE()),"Revisar"))</f>
        <v/>
      </c>
      <c r="N192" s="27"/>
    </row>
    <row r="193" customFormat="false" ht="15" hidden="false" customHeight="false" outlineLevel="0" collapsed="false">
      <c r="A193" s="25" t="str">
        <f aca="false">IF(C193="","",ROW()-5)</f>
        <v/>
      </c>
      <c r="B193" s="26"/>
      <c r="C193" s="27"/>
      <c r="D193" s="27"/>
      <c r="E193" s="27"/>
      <c r="F193" s="27"/>
      <c r="G193" s="27"/>
      <c r="H193" s="27"/>
      <c r="I193" s="29"/>
      <c r="J193" s="27"/>
      <c r="K193" s="27"/>
      <c r="L193" s="27"/>
      <c r="M193" s="25" t="str">
        <f aca="false">IF(C193="","",IFERROR(VLOOKUP(C193,Supuestos!$A$58:$B$65,2,FALSE()),"Revisar"))</f>
        <v/>
      </c>
      <c r="N193" s="27"/>
    </row>
    <row r="194" customFormat="false" ht="15" hidden="false" customHeight="false" outlineLevel="0" collapsed="false">
      <c r="A194" s="25" t="str">
        <f aca="false">IF(C194="","",ROW()-5)</f>
        <v/>
      </c>
      <c r="B194" s="26"/>
      <c r="C194" s="27"/>
      <c r="D194" s="27"/>
      <c r="E194" s="27"/>
      <c r="F194" s="27"/>
      <c r="G194" s="27"/>
      <c r="H194" s="27"/>
      <c r="I194" s="29"/>
      <c r="J194" s="27"/>
      <c r="K194" s="27"/>
      <c r="L194" s="27"/>
      <c r="M194" s="25" t="str">
        <f aca="false">IF(C194="","",IFERROR(VLOOKUP(C194,Supuestos!$A$58:$B$65,2,FALSE()),"Revisar"))</f>
        <v/>
      </c>
      <c r="N194" s="27"/>
    </row>
    <row r="195" customFormat="false" ht="15" hidden="false" customHeight="false" outlineLevel="0" collapsed="false">
      <c r="A195" s="25" t="str">
        <f aca="false">IF(C195="","",ROW()-5)</f>
        <v/>
      </c>
      <c r="B195" s="26"/>
      <c r="C195" s="27"/>
      <c r="D195" s="27"/>
      <c r="E195" s="27"/>
      <c r="F195" s="27"/>
      <c r="G195" s="27"/>
      <c r="H195" s="27"/>
      <c r="I195" s="29"/>
      <c r="J195" s="27"/>
      <c r="K195" s="27"/>
      <c r="L195" s="27"/>
      <c r="M195" s="25" t="str">
        <f aca="false">IF(C195="","",IFERROR(VLOOKUP(C195,Supuestos!$A$58:$B$65,2,FALSE()),"Revisar"))</f>
        <v/>
      </c>
      <c r="N195" s="27"/>
    </row>
    <row r="196" customFormat="false" ht="15" hidden="false" customHeight="false" outlineLevel="0" collapsed="false">
      <c r="A196" s="25" t="str">
        <f aca="false">IF(C196="","",ROW()-5)</f>
        <v/>
      </c>
      <c r="B196" s="26"/>
      <c r="C196" s="27"/>
      <c r="D196" s="27"/>
      <c r="E196" s="27"/>
      <c r="F196" s="27"/>
      <c r="G196" s="27"/>
      <c r="H196" s="27"/>
      <c r="I196" s="29"/>
      <c r="J196" s="27"/>
      <c r="K196" s="27"/>
      <c r="L196" s="27"/>
      <c r="M196" s="25" t="str">
        <f aca="false">IF(C196="","",IFERROR(VLOOKUP(C196,Supuestos!$A$58:$B$65,2,FALSE()),"Revisar"))</f>
        <v/>
      </c>
      <c r="N196" s="27"/>
    </row>
    <row r="197" customFormat="false" ht="15" hidden="false" customHeight="false" outlineLevel="0" collapsed="false">
      <c r="A197" s="25" t="str">
        <f aca="false">IF(C197="","",ROW()-5)</f>
        <v/>
      </c>
      <c r="B197" s="26"/>
      <c r="C197" s="27"/>
      <c r="D197" s="27"/>
      <c r="E197" s="27"/>
      <c r="F197" s="27"/>
      <c r="G197" s="27"/>
      <c r="H197" s="27"/>
      <c r="I197" s="29"/>
      <c r="J197" s="27"/>
      <c r="K197" s="27"/>
      <c r="L197" s="27"/>
      <c r="M197" s="25" t="str">
        <f aca="false">IF(C197="","",IFERROR(VLOOKUP(C197,Supuestos!$A$58:$B$65,2,FALSE()),"Revisar"))</f>
        <v/>
      </c>
      <c r="N197" s="27"/>
    </row>
    <row r="198" customFormat="false" ht="15" hidden="false" customHeight="false" outlineLevel="0" collapsed="false">
      <c r="A198" s="25" t="str">
        <f aca="false">IF(C198="","",ROW()-5)</f>
        <v/>
      </c>
      <c r="B198" s="26"/>
      <c r="C198" s="27"/>
      <c r="D198" s="27"/>
      <c r="E198" s="27"/>
      <c r="F198" s="27"/>
      <c r="G198" s="27"/>
      <c r="H198" s="27"/>
      <c r="I198" s="29"/>
      <c r="J198" s="27"/>
      <c r="K198" s="27"/>
      <c r="L198" s="27"/>
      <c r="M198" s="25" t="str">
        <f aca="false">IF(C198="","",IFERROR(VLOOKUP(C198,Supuestos!$A$58:$B$65,2,FALSE()),"Revisar"))</f>
        <v/>
      </c>
      <c r="N198" s="27"/>
    </row>
    <row r="199" customFormat="false" ht="15" hidden="false" customHeight="false" outlineLevel="0" collapsed="false">
      <c r="A199" s="25" t="str">
        <f aca="false">IF(C199="","",ROW()-5)</f>
        <v/>
      </c>
      <c r="B199" s="26"/>
      <c r="C199" s="27"/>
      <c r="D199" s="27"/>
      <c r="E199" s="27"/>
      <c r="F199" s="27"/>
      <c r="G199" s="27"/>
      <c r="H199" s="27"/>
      <c r="I199" s="29"/>
      <c r="J199" s="27"/>
      <c r="K199" s="27"/>
      <c r="L199" s="27"/>
      <c r="M199" s="25" t="str">
        <f aca="false">IF(C199="","",IFERROR(VLOOKUP(C199,Supuestos!$A$58:$B$65,2,FALSE()),"Revisar"))</f>
        <v/>
      </c>
      <c r="N199" s="27"/>
    </row>
    <row r="200" customFormat="false" ht="15" hidden="false" customHeight="false" outlineLevel="0" collapsed="false">
      <c r="A200" s="25" t="str">
        <f aca="false">IF(C200="","",ROW()-5)</f>
        <v/>
      </c>
      <c r="B200" s="26"/>
      <c r="C200" s="27"/>
      <c r="D200" s="27"/>
      <c r="E200" s="27"/>
      <c r="F200" s="27"/>
      <c r="G200" s="27"/>
      <c r="H200" s="27"/>
      <c r="I200" s="29"/>
      <c r="J200" s="27"/>
      <c r="K200" s="27"/>
      <c r="L200" s="27"/>
      <c r="M200" s="25" t="str">
        <f aca="false">IF(C200="","",IFERROR(VLOOKUP(C200,Supuestos!$A$58:$B$65,2,FALSE()),"Revisar"))</f>
        <v/>
      </c>
      <c r="N200" s="27"/>
    </row>
    <row r="201" customFormat="false" ht="15" hidden="false" customHeight="false" outlineLevel="0" collapsed="false">
      <c r="A201" s="25" t="str">
        <f aca="false">IF(C201="","",ROW()-5)</f>
        <v/>
      </c>
      <c r="B201" s="26"/>
      <c r="C201" s="27"/>
      <c r="D201" s="27"/>
      <c r="E201" s="27"/>
      <c r="F201" s="27"/>
      <c r="G201" s="27"/>
      <c r="H201" s="27"/>
      <c r="I201" s="29"/>
      <c r="J201" s="27"/>
      <c r="K201" s="27"/>
      <c r="L201" s="27"/>
      <c r="M201" s="25" t="str">
        <f aca="false">IF(C201="","",IFERROR(VLOOKUP(C201,Supuestos!$A$58:$B$65,2,FALSE()),"Revisar"))</f>
        <v/>
      </c>
      <c r="N201" s="27"/>
    </row>
    <row r="202" customFormat="false" ht="15" hidden="false" customHeight="false" outlineLevel="0" collapsed="false">
      <c r="A202" s="25" t="str">
        <f aca="false">IF(C202="","",ROW()-5)</f>
        <v/>
      </c>
      <c r="B202" s="26"/>
      <c r="C202" s="27"/>
      <c r="D202" s="27"/>
      <c r="E202" s="27"/>
      <c r="F202" s="27"/>
      <c r="G202" s="27"/>
      <c r="H202" s="27"/>
      <c r="I202" s="29"/>
      <c r="J202" s="27"/>
      <c r="K202" s="27"/>
      <c r="L202" s="27"/>
      <c r="M202" s="25" t="str">
        <f aca="false">IF(C202="","",IFERROR(VLOOKUP(C202,Supuestos!$A$58:$B$65,2,FALSE()),"Revisar"))</f>
        <v/>
      </c>
      <c r="N202" s="27"/>
    </row>
    <row r="203" customFormat="false" ht="15" hidden="false" customHeight="false" outlineLevel="0" collapsed="false">
      <c r="A203" s="25" t="str">
        <f aca="false">IF(C203="","",ROW()-5)</f>
        <v/>
      </c>
      <c r="B203" s="26"/>
      <c r="C203" s="27"/>
      <c r="D203" s="27"/>
      <c r="E203" s="27"/>
      <c r="F203" s="27"/>
      <c r="G203" s="27"/>
      <c r="H203" s="27"/>
      <c r="I203" s="29"/>
      <c r="J203" s="27"/>
      <c r="K203" s="27"/>
      <c r="L203" s="27"/>
      <c r="M203" s="25" t="str">
        <f aca="false">IF(C203="","",IFERROR(VLOOKUP(C203,Supuestos!$A$58:$B$65,2,FALSE()),"Revisar"))</f>
        <v/>
      </c>
      <c r="N203" s="27"/>
    </row>
    <row r="204" customFormat="false" ht="15" hidden="false" customHeight="false" outlineLevel="0" collapsed="false">
      <c r="A204" s="25" t="str">
        <f aca="false">IF(C204="","",ROW()-5)</f>
        <v/>
      </c>
      <c r="B204" s="26"/>
      <c r="C204" s="27"/>
      <c r="D204" s="27"/>
      <c r="E204" s="27"/>
      <c r="F204" s="27"/>
      <c r="G204" s="27"/>
      <c r="H204" s="27"/>
      <c r="I204" s="29"/>
      <c r="J204" s="27"/>
      <c r="K204" s="27"/>
      <c r="L204" s="27"/>
      <c r="M204" s="25" t="str">
        <f aca="false">IF(C204="","",IFERROR(VLOOKUP(C204,Supuestos!$A$58:$B$65,2,FALSE()),"Revisar"))</f>
        <v/>
      </c>
      <c r="N204" s="27"/>
    </row>
    <row r="205" customFormat="false" ht="15" hidden="false" customHeight="false" outlineLevel="0" collapsed="false">
      <c r="A205" s="25" t="str">
        <f aca="false">IF(C205="","",ROW()-5)</f>
        <v/>
      </c>
      <c r="B205" s="26"/>
      <c r="C205" s="27"/>
      <c r="D205" s="27"/>
      <c r="E205" s="27"/>
      <c r="F205" s="27"/>
      <c r="G205" s="27"/>
      <c r="H205" s="27"/>
      <c r="I205" s="29"/>
      <c r="J205" s="27"/>
      <c r="K205" s="27"/>
      <c r="L205" s="27"/>
      <c r="M205" s="25" t="str">
        <f aca="false">IF(C205="","",IFERROR(VLOOKUP(C205,Supuestos!$A$58:$B$65,2,FALSE()),"Revisar"))</f>
        <v/>
      </c>
      <c r="N205" s="27"/>
    </row>
  </sheetData>
  <dataValidations count="4">
    <dataValidation allowBlank="true" errorStyle="stop" operator="between" showDropDown="false" showErrorMessage="false" showInputMessage="false" sqref="C6:C205" type="list">
      <formula1>Supuestos!$A$58:$A$65</formula1>
      <formula2>0</formula2>
    </dataValidation>
    <dataValidation allowBlank="true" errorStyle="stop" operator="between" showDropDown="false" showErrorMessage="false" showInputMessage="false" sqref="F6:F205" type="list">
      <formula1>Supuestos!$D$58:$D$63</formula1>
      <formula2>0</formula2>
    </dataValidation>
    <dataValidation allowBlank="true" errorStyle="stop" operator="between" showDropDown="false" showErrorMessage="false" showInputMessage="false" sqref="K6:K205" type="list">
      <formula1>Supuestos!$F$58:$F$60</formula1>
      <formula2>0</formula2>
    </dataValidation>
    <dataValidation allowBlank="true" errorStyle="stop" operator="between" showDropDown="false" showErrorMessage="false" showInputMessage="false" sqref="L6:L205" type="list">
      <formula1>"Gasto,Traslado"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7" min="3" style="0" width="15"/>
    <col collapsed="false" customWidth="true" hidden="false" outlineLevel="0" max="8" min="8" style="0" width="16"/>
  </cols>
  <sheetData>
    <row r="1" customFormat="false" ht="18.55" hidden="false" customHeight="false" outlineLevel="0" collapsed="false">
      <c r="A1" s="1" t="s">
        <v>189</v>
      </c>
    </row>
    <row r="2" customFormat="false" ht="15" hidden="false" customHeight="false" outlineLevel="0" collapsed="false">
      <c r="A2" s="2" t="s">
        <v>190</v>
      </c>
    </row>
    <row r="4" customFormat="false" ht="15" hidden="false" customHeight="false" outlineLevel="0" collapsed="false">
      <c r="A4" s="13" t="s">
        <v>191</v>
      </c>
    </row>
    <row r="5" customFormat="false" ht="39.75" hidden="false" customHeight="true" outlineLevel="0" collapsed="false">
      <c r="A5" s="24" t="s">
        <v>92</v>
      </c>
      <c r="B5" s="24" t="str">
        <f aca="false">Supuestos!$D$58</f>
        <v>Abuelos – capital propio</v>
      </c>
      <c r="C5" s="24" t="str">
        <f aca="false">Supuestos!$D$59</f>
        <v>Préstamo mamá</v>
      </c>
      <c r="D5" s="24" t="str">
        <f aca="false">Supuestos!$D$60</f>
        <v>TC abuelos (cuotas)</v>
      </c>
      <c r="E5" s="24" t="str">
        <f aca="false">Supuestos!$D$61</f>
        <v>Arriendo de la casa</v>
      </c>
      <c r="F5" s="24" t="str">
        <f aca="false">Supuestos!$D$62</f>
        <v>Felipe (por definir)</v>
      </c>
      <c r="G5" s="24" t="str">
        <f aca="false">Supuestos!$D$63</f>
        <v>Por confirmar</v>
      </c>
      <c r="H5" s="24" t="s">
        <v>192</v>
      </c>
    </row>
    <row r="6" customFormat="false" ht="15" hidden="false" customHeight="false" outlineLevel="0" collapsed="false">
      <c r="A6" s="30" t="str">
        <f aca="false">Supuestos!$A$58</f>
        <v>Obra – contratista principal</v>
      </c>
      <c r="B6" s="15" t="n">
        <f aca="false">SUMIFS(Movimientos!$I$6:$I$205,Movimientos!$C$6:$C$205,$A6,Movimientos!$F$6:$F$205,B$5,Movimientos!$L$6:$L$205,"Gasto")</f>
        <v>84500000</v>
      </c>
      <c r="C6" s="15" t="n">
        <f aca="false">SUMIFS(Movimientos!$I$6:$I$205,Movimientos!$C$6:$C$205,$A6,Movimientos!$F$6:$F$205,C$5,Movimientos!$L$6:$L$205,"Gasto")</f>
        <v>29500000</v>
      </c>
      <c r="D6" s="15" t="n">
        <f aca="false">SUMIFS(Movimientos!$I$6:$I$205,Movimientos!$C$6:$C$205,$A6,Movimientos!$F$6:$F$205,D$5,Movimientos!$L$6:$L$205,"Gasto")</f>
        <v>0</v>
      </c>
      <c r="E6" s="15" t="n">
        <f aca="false">SUMIFS(Movimientos!$I$6:$I$205,Movimientos!$C$6:$C$205,$A6,Movimientos!$F$6:$F$205,E$5,Movimientos!$L$6:$L$205,"Gasto")</f>
        <v>0</v>
      </c>
      <c r="F6" s="15" t="n">
        <f aca="false">SUMIFS(Movimientos!$I$6:$I$205,Movimientos!$C$6:$C$205,$A6,Movimientos!$F$6:$F$205,F$5,Movimientos!$L$6:$L$205,"Gasto")</f>
        <v>0</v>
      </c>
      <c r="G6" s="15" t="n">
        <f aca="false">SUMIFS(Movimientos!$I$6:$I$205,Movimientos!$C$6:$C$205,$A6,Movimientos!$F$6:$F$205,G$5,Movimientos!$L$6:$L$205,"Gasto")</f>
        <v>0</v>
      </c>
      <c r="H6" s="17" t="n">
        <f aca="false">SUM(B6:G6)</f>
        <v>114000000</v>
      </c>
    </row>
    <row r="7" customFormat="false" ht="15" hidden="false" customHeight="false" outlineLevel="0" collapsed="false">
      <c r="A7" s="30" t="str">
        <f aca="false">Supuestos!$A$59</f>
        <v>Costos bancarios – 4x1000</v>
      </c>
      <c r="B7" s="15" t="n">
        <f aca="false">SUMIFS(Movimientos!$I$6:$I$205,Movimientos!$C$6:$C$205,$A7,Movimientos!$F$6:$F$205,B$5,Movimientos!$L$6:$L$205,"Gasto")</f>
        <v>80000</v>
      </c>
      <c r="C7" s="15" t="n">
        <f aca="false">SUMIFS(Movimientos!$I$6:$I$205,Movimientos!$C$6:$C$205,$A7,Movimientos!$F$6:$F$205,C$5,Movimientos!$L$6:$L$205,"Gasto")</f>
        <v>16188</v>
      </c>
      <c r="D7" s="15" t="n">
        <f aca="false">SUMIFS(Movimientos!$I$6:$I$205,Movimientos!$C$6:$C$205,$A7,Movimientos!$F$6:$F$205,D$5,Movimientos!$L$6:$L$205,"Gasto")</f>
        <v>0</v>
      </c>
      <c r="E7" s="15" t="n">
        <f aca="false">SUMIFS(Movimientos!$I$6:$I$205,Movimientos!$C$6:$C$205,$A7,Movimientos!$F$6:$F$205,E$5,Movimientos!$L$6:$L$205,"Gasto")</f>
        <v>0</v>
      </c>
      <c r="F7" s="15" t="n">
        <f aca="false">SUMIFS(Movimientos!$I$6:$I$205,Movimientos!$C$6:$C$205,$A7,Movimientos!$F$6:$F$205,F$5,Movimientos!$L$6:$L$205,"Gasto")</f>
        <v>0</v>
      </c>
      <c r="G7" s="15" t="n">
        <f aca="false">SUMIFS(Movimientos!$I$6:$I$205,Movimientos!$C$6:$C$205,$A7,Movimientos!$F$6:$F$205,G$5,Movimientos!$L$6:$L$205,"Gasto")</f>
        <v>0</v>
      </c>
      <c r="H7" s="17" t="n">
        <f aca="false">SUM(B7:G7)</f>
        <v>96188</v>
      </c>
    </row>
    <row r="8" customFormat="false" ht="15" hidden="false" customHeight="false" outlineLevel="0" collapsed="false">
      <c r="A8" s="30" t="str">
        <f aca="false">Supuestos!$A$60</f>
        <v>Eléctrico – aumento de carga (Enel)</v>
      </c>
      <c r="B8" s="15" t="n">
        <f aca="false">SUMIFS(Movimientos!$I$6:$I$205,Movimientos!$C$6:$C$205,$A8,Movimientos!$F$6:$F$205,B$5,Movimientos!$L$6:$L$205,"Gasto")</f>
        <v>5000000</v>
      </c>
      <c r="C8" s="15" t="n">
        <f aca="false">SUMIFS(Movimientos!$I$6:$I$205,Movimientos!$C$6:$C$205,$A8,Movimientos!$F$6:$F$205,C$5,Movimientos!$L$6:$L$205,"Gasto")</f>
        <v>0</v>
      </c>
      <c r="D8" s="15" t="n">
        <f aca="false">SUMIFS(Movimientos!$I$6:$I$205,Movimientos!$C$6:$C$205,$A8,Movimientos!$F$6:$F$205,D$5,Movimientos!$L$6:$L$205,"Gasto")</f>
        <v>0</v>
      </c>
      <c r="E8" s="15" t="n">
        <f aca="false">SUMIFS(Movimientos!$I$6:$I$205,Movimientos!$C$6:$C$205,$A8,Movimientos!$F$6:$F$205,E$5,Movimientos!$L$6:$L$205,"Gasto")</f>
        <v>0</v>
      </c>
      <c r="F8" s="15" t="n">
        <f aca="false">SUMIFS(Movimientos!$I$6:$I$205,Movimientos!$C$6:$C$205,$A8,Movimientos!$F$6:$F$205,F$5,Movimientos!$L$6:$L$205,"Gasto")</f>
        <v>0</v>
      </c>
      <c r="G8" s="15" t="n">
        <f aca="false">SUMIFS(Movimientos!$I$6:$I$205,Movimientos!$C$6:$C$205,$A8,Movimientos!$F$6:$F$205,G$5,Movimientos!$L$6:$L$205,"Gasto")</f>
        <v>0</v>
      </c>
      <c r="H8" s="17" t="n">
        <f aca="false">SUM(B8:G8)</f>
        <v>5000000</v>
      </c>
    </row>
    <row r="9" customFormat="false" ht="15" hidden="false" customHeight="false" outlineLevel="0" collapsed="false">
      <c r="A9" s="30" t="str">
        <f aca="false">Supuestos!$A$61</f>
        <v>Seguridad – cámaras</v>
      </c>
      <c r="B9" s="15" t="n">
        <f aca="false">SUMIFS(Movimientos!$I$6:$I$205,Movimientos!$C$6:$C$205,$A9,Movimientos!$F$6:$F$205,B$5,Movimientos!$L$6:$L$205,"Gasto")</f>
        <v>0</v>
      </c>
      <c r="C9" s="15" t="n">
        <f aca="false">SUMIFS(Movimientos!$I$6:$I$205,Movimientos!$C$6:$C$205,$A9,Movimientos!$F$6:$F$205,C$5,Movimientos!$L$6:$L$205,"Gasto")</f>
        <v>4999785</v>
      </c>
      <c r="D9" s="15" t="n">
        <f aca="false">SUMIFS(Movimientos!$I$6:$I$205,Movimientos!$C$6:$C$205,$A9,Movimientos!$F$6:$F$205,D$5,Movimientos!$L$6:$L$205,"Gasto")</f>
        <v>0</v>
      </c>
      <c r="E9" s="15" t="n">
        <f aca="false">SUMIFS(Movimientos!$I$6:$I$205,Movimientos!$C$6:$C$205,$A9,Movimientos!$F$6:$F$205,E$5,Movimientos!$L$6:$L$205,"Gasto")</f>
        <v>0</v>
      </c>
      <c r="F9" s="15" t="n">
        <f aca="false">SUMIFS(Movimientos!$I$6:$I$205,Movimientos!$C$6:$C$205,$A9,Movimientos!$F$6:$F$205,F$5,Movimientos!$L$6:$L$205,"Gasto")</f>
        <v>0</v>
      </c>
      <c r="G9" s="15" t="n">
        <f aca="false">SUMIFS(Movimientos!$I$6:$I$205,Movimientos!$C$6:$C$205,$A9,Movimientos!$F$6:$F$205,G$5,Movimientos!$L$6:$L$205,"Gasto")</f>
        <v>0</v>
      </c>
      <c r="H9" s="17" t="n">
        <f aca="false">SUM(B9:G9)</f>
        <v>4999785</v>
      </c>
    </row>
    <row r="10" customFormat="false" ht="15" hidden="false" customHeight="false" outlineLevel="0" collapsed="false">
      <c r="A10" s="30" t="str">
        <f aca="false">Supuestos!$A$62</f>
        <v>Hidráulico – bomba de presión</v>
      </c>
      <c r="B10" s="15" t="n">
        <f aca="false">SUMIFS(Movimientos!$I$6:$I$205,Movimientos!$C$6:$C$205,$A10,Movimientos!$F$6:$F$205,B$5,Movimientos!$L$6:$L$205,"Gasto")</f>
        <v>300000</v>
      </c>
      <c r="C10" s="15" t="n">
        <f aca="false">SUMIFS(Movimientos!$I$6:$I$205,Movimientos!$C$6:$C$205,$A10,Movimientos!$F$6:$F$205,C$5,Movimientos!$L$6:$L$205,"Gasto")</f>
        <v>0</v>
      </c>
      <c r="D10" s="15" t="n">
        <f aca="false">SUMIFS(Movimientos!$I$6:$I$205,Movimientos!$C$6:$C$205,$A10,Movimientos!$F$6:$F$205,D$5,Movimientos!$L$6:$L$205,"Gasto")</f>
        <v>310000</v>
      </c>
      <c r="E10" s="15" t="n">
        <f aca="false">SUMIFS(Movimientos!$I$6:$I$205,Movimientos!$C$6:$C$205,$A10,Movimientos!$F$6:$F$205,E$5,Movimientos!$L$6:$L$205,"Gasto")</f>
        <v>0</v>
      </c>
      <c r="F10" s="15" t="n">
        <f aca="false">SUMIFS(Movimientos!$I$6:$I$205,Movimientos!$C$6:$C$205,$A10,Movimientos!$F$6:$F$205,F$5,Movimientos!$L$6:$L$205,"Gasto")</f>
        <v>0</v>
      </c>
      <c r="G10" s="15" t="n">
        <f aca="false">SUMIFS(Movimientos!$I$6:$I$205,Movimientos!$C$6:$C$205,$A10,Movimientos!$F$6:$F$205,G$5,Movimientos!$L$6:$L$205,"Gasto")</f>
        <v>0</v>
      </c>
      <c r="H10" s="17" t="n">
        <f aca="false">SUM(B10:G10)</f>
        <v>610000</v>
      </c>
    </row>
    <row r="11" customFormat="false" ht="15" hidden="false" customHeight="false" outlineLevel="0" collapsed="false">
      <c r="A11" s="30" t="str">
        <f aca="false">Supuestos!$A$63</f>
        <v>Mobiliario – habitaciones</v>
      </c>
      <c r="B11" s="15" t="n">
        <f aca="false">SUMIFS(Movimientos!$I$6:$I$205,Movimientos!$C$6:$C$205,$A11,Movimientos!$F$6:$F$205,B$5,Movimientos!$L$6:$L$205,"Gasto")</f>
        <v>0</v>
      </c>
      <c r="C11" s="15" t="n">
        <f aca="false">SUMIFS(Movimientos!$I$6:$I$205,Movimientos!$C$6:$C$205,$A11,Movimientos!$F$6:$F$205,C$5,Movimientos!$L$6:$L$205,"Gasto")</f>
        <v>0</v>
      </c>
      <c r="D11" s="15" t="n">
        <f aca="false">SUMIFS(Movimientos!$I$6:$I$205,Movimientos!$C$6:$C$205,$A11,Movimientos!$F$6:$F$205,D$5,Movimientos!$L$6:$L$205,"Gasto")</f>
        <v>6551800</v>
      </c>
      <c r="E11" s="15" t="n">
        <f aca="false">SUMIFS(Movimientos!$I$6:$I$205,Movimientos!$C$6:$C$205,$A11,Movimientos!$F$6:$F$205,E$5,Movimientos!$L$6:$L$205,"Gasto")</f>
        <v>0</v>
      </c>
      <c r="F11" s="15" t="n">
        <f aca="false">SUMIFS(Movimientos!$I$6:$I$205,Movimientos!$C$6:$C$205,$A11,Movimientos!$F$6:$F$205,F$5,Movimientos!$L$6:$L$205,"Gasto")</f>
        <v>0</v>
      </c>
      <c r="G11" s="15" t="n">
        <f aca="false">SUMIFS(Movimientos!$I$6:$I$205,Movimientos!$C$6:$C$205,$A11,Movimientos!$F$6:$F$205,G$5,Movimientos!$L$6:$L$205,"Gasto")</f>
        <v>0</v>
      </c>
      <c r="H11" s="17" t="n">
        <f aca="false">SUM(B11:G11)</f>
        <v>6551800</v>
      </c>
    </row>
    <row r="12" customFormat="false" ht="15" hidden="false" customHeight="false" outlineLevel="0" collapsed="false">
      <c r="A12" s="30" t="str">
        <f aca="false">Supuestos!$A$64</f>
        <v>Lavandería – lavadora</v>
      </c>
      <c r="B12" s="15" t="n">
        <f aca="false">SUMIFS(Movimientos!$I$6:$I$205,Movimientos!$C$6:$C$205,$A12,Movimientos!$F$6:$F$205,B$5,Movimientos!$L$6:$L$205,"Gasto")</f>
        <v>0</v>
      </c>
      <c r="C12" s="15" t="n">
        <f aca="false">SUMIFS(Movimientos!$I$6:$I$205,Movimientos!$C$6:$C$205,$A12,Movimientos!$F$6:$F$205,C$5,Movimientos!$L$6:$L$205,"Gasto")</f>
        <v>0</v>
      </c>
      <c r="D12" s="15" t="n">
        <f aca="false">SUMIFS(Movimientos!$I$6:$I$205,Movimientos!$C$6:$C$205,$A12,Movimientos!$F$6:$F$205,D$5,Movimientos!$L$6:$L$205,"Gasto")</f>
        <v>0</v>
      </c>
      <c r="E12" s="15" t="n">
        <f aca="false">SUMIFS(Movimientos!$I$6:$I$205,Movimientos!$C$6:$C$205,$A12,Movimientos!$F$6:$F$205,E$5,Movimientos!$L$6:$L$205,"Gasto")</f>
        <v>0</v>
      </c>
      <c r="F12" s="15" t="n">
        <f aca="false">SUMIFS(Movimientos!$I$6:$I$205,Movimientos!$C$6:$C$205,$A12,Movimientos!$F$6:$F$205,F$5,Movimientos!$L$6:$L$205,"Gasto")</f>
        <v>0</v>
      </c>
      <c r="G12" s="15" t="n">
        <f aca="false">SUMIFS(Movimientos!$I$6:$I$205,Movimientos!$C$6:$C$205,$A12,Movimientos!$F$6:$F$205,G$5,Movimientos!$L$6:$L$205,"Gasto")</f>
        <v>0</v>
      </c>
      <c r="H12" s="17" t="n">
        <f aca="false">SUM(B12:G12)</f>
        <v>0</v>
      </c>
    </row>
    <row r="13" customFormat="false" ht="15" hidden="false" customHeight="false" outlineLevel="0" collapsed="false">
      <c r="A13" s="31" t="s">
        <v>193</v>
      </c>
      <c r="B13" s="32" t="n">
        <f aca="false">SUM(B6:B12)</f>
        <v>89880000</v>
      </c>
      <c r="C13" s="32" t="n">
        <f aca="false">SUM(C6:C12)</f>
        <v>34515973</v>
      </c>
      <c r="D13" s="32" t="n">
        <f aca="false">SUM(D6:D12)</f>
        <v>6861800</v>
      </c>
      <c r="E13" s="32" t="n">
        <f aca="false">SUM(E6:E12)</f>
        <v>0</v>
      </c>
      <c r="F13" s="32" t="n">
        <f aca="false">SUM(F6:F12)</f>
        <v>0</v>
      </c>
      <c r="G13" s="32" t="n">
        <f aca="false">SUM(G6:G12)</f>
        <v>0</v>
      </c>
      <c r="H13" s="32" t="n">
        <f aca="false">SUM(H6:H12)</f>
        <v>131257773</v>
      </c>
    </row>
    <row r="14" customFormat="false" ht="15" hidden="false" customHeight="false" outlineLevel="0" collapsed="false">
      <c r="A14" s="5" t="s">
        <v>194</v>
      </c>
      <c r="H14" s="31" t="str">
        <f aca="false">IF(ROUND(H13-Movimientos!$I$4,0)=0,"OK","REVISAR")</f>
        <v>OK</v>
      </c>
    </row>
    <row r="17" customFormat="false" ht="15" hidden="false" customHeight="false" outlineLevel="0" collapsed="false">
      <c r="A17" s="13" t="s">
        <v>195</v>
      </c>
    </row>
    <row r="18" customFormat="false" ht="15" hidden="false" customHeight="false" outlineLevel="0" collapsed="false">
      <c r="A18" s="5" t="s">
        <v>196</v>
      </c>
      <c r="B18" s="33" t="n">
        <f aca="false">Supuestos!$B$32</f>
        <v>35000000</v>
      </c>
    </row>
    <row r="19" customFormat="false" ht="15" hidden="false" customHeight="false" outlineLevel="0" collapsed="false">
      <c r="A19" s="5" t="s">
        <v>197</v>
      </c>
      <c r="B19" s="15" t="n">
        <f aca="false">SUMIFS(Movimientos!$I$6:$I$205,Movimientos!$F$6:$F$205,"Préstamo mamá",Movimientos!$L$6:$L$205,"Gasto",Movimientos!$C$6:$C$205,"&lt;&gt;Costos bancarios – 4x1000")</f>
        <v>34499785</v>
      </c>
      <c r="C19" s="22" t="s">
        <v>198</v>
      </c>
      <c r="H19" s="15" t="n">
        <f aca="false">SUMIFS(Movimientos!$I$6:$I$205,Movimientos!$F$6:$F$205,"Préstamo mamá",Movimientos!$C$6:$C$205,"Costos bancarios – 4x1000")</f>
        <v>16188</v>
      </c>
    </row>
    <row r="20" customFormat="false" ht="15" hidden="false" customHeight="false" outlineLevel="0" collapsed="false">
      <c r="A20" s="5" t="s">
        <v>199</v>
      </c>
      <c r="B20" s="15" t="n">
        <f aca="false">SUMIFS(Movimientos!$I$6:$I$205,Movimientos!$F$6:$F$205,"Préstamo mamá",Movimientos!$L$6:$L$205,"Traslado")</f>
        <v>500215</v>
      </c>
    </row>
    <row r="21" customFormat="false" ht="15" hidden="false" customHeight="false" outlineLevel="0" collapsed="false">
      <c r="A21" s="31" t="s">
        <v>200</v>
      </c>
      <c r="B21" s="17" t="n">
        <f aca="false">B18-B19-B20</f>
        <v>0</v>
      </c>
    </row>
    <row r="23" customFormat="false" ht="15" hidden="false" customHeight="false" outlineLevel="0" collapsed="false">
      <c r="A23" s="13" t="s">
        <v>201</v>
      </c>
    </row>
    <row r="24" customFormat="false" ht="15" hidden="false" customHeight="false" outlineLevel="0" collapsed="false">
      <c r="A24" s="5" t="s">
        <v>202</v>
      </c>
      <c r="B24" s="34" t="n">
        <v>85000000</v>
      </c>
      <c r="C24" s="22" t="s">
        <v>203</v>
      </c>
    </row>
    <row r="25" customFormat="false" ht="15" hidden="false" customHeight="false" outlineLevel="0" collapsed="false">
      <c r="A25" s="5" t="s">
        <v>204</v>
      </c>
      <c r="B25" s="34" t="n">
        <v>29000000</v>
      </c>
    </row>
    <row r="26" customFormat="false" ht="15" hidden="false" customHeight="false" outlineLevel="0" collapsed="false">
      <c r="A26" s="31" t="s">
        <v>205</v>
      </c>
      <c r="B26" s="17" t="n">
        <f aca="false">B24+B25</f>
        <v>114000000</v>
      </c>
    </row>
    <row r="27" customFormat="false" ht="15" hidden="false" customHeight="false" outlineLevel="0" collapsed="false">
      <c r="A27" s="5" t="s">
        <v>206</v>
      </c>
      <c r="B27" s="15" t="n">
        <f aca="false">SUMIFS(Movimientos!$I$6:$I$205,Movimientos!$C$6:$C$205,"Obra – contratista principal",Movimientos!$L$6:$L$205,"Gasto")</f>
        <v>114000000</v>
      </c>
    </row>
    <row r="28" customFormat="false" ht="15" hidden="false" customHeight="false" outlineLevel="0" collapsed="false">
      <c r="A28" s="31" t="s">
        <v>207</v>
      </c>
      <c r="B28" s="17" t="n">
        <f aca="false">B26-B27</f>
        <v>0</v>
      </c>
    </row>
    <row r="30" customFormat="false" ht="15" hidden="false" customHeight="false" outlineLevel="0" collapsed="false">
      <c r="A30" s="13" t="s">
        <v>208</v>
      </c>
    </row>
    <row r="31" customFormat="false" ht="15" hidden="false" customHeight="false" outlineLevel="0" collapsed="false">
      <c r="A31" s="5" t="s">
        <v>209</v>
      </c>
      <c r="B31" s="15" t="n">
        <f aca="false">SUMIFS(Movimientos!$I$6:$I$205,Movimientos!$L$6:$L$205,"Gasto",Movimientos!$K$6:$K$205,"&lt;&gt;Pendiente de pago")</f>
        <v>129707773</v>
      </c>
    </row>
    <row r="32" customFormat="false" ht="15" hidden="false" customHeight="false" outlineLevel="0" collapsed="false">
      <c r="A32" s="5" t="s">
        <v>210</v>
      </c>
      <c r="B32" s="15" t="n">
        <f aca="false">SUMIFS(Movimientos!$I$6:$I$205,Movimientos!$L$6:$L$205,"Gasto",Movimientos!$K$6:$K$205,"Pendiente de pago")</f>
        <v>1550000</v>
      </c>
    </row>
    <row r="33" customFormat="false" ht="15" hidden="false" customHeight="false" outlineLevel="0" collapsed="false">
      <c r="A33" s="31" t="s">
        <v>192</v>
      </c>
      <c r="B33" s="17" t="n">
        <f aca="false">B31+B32</f>
        <v>131257773</v>
      </c>
    </row>
    <row r="35" customFormat="false" ht="15" hidden="false" customHeight="false" outlineLevel="0" collapsed="false">
      <c r="A35" s="13" t="s">
        <v>211</v>
      </c>
    </row>
    <row r="36" customFormat="false" ht="15" hidden="false" customHeight="false" outlineLevel="0" collapsed="false">
      <c r="A36" s="5" t="s">
        <v>212</v>
      </c>
      <c r="B36" s="15" t="n">
        <f aca="false">SUMIFS(Movimientos!$I$6:$I$205,Movimientos!$F$6:$F$205,"TC abuelos (cuotas)",Movimientos!$L$6:$L$205,"Gasto")</f>
        <v>6861800</v>
      </c>
    </row>
    <row r="37" customFormat="false" ht="15" hidden="false" customHeight="false" outlineLevel="0" collapsed="false">
      <c r="A37" s="5" t="s">
        <v>213</v>
      </c>
      <c r="B37" s="33" t="n">
        <f aca="false">SUM('Registro Mensual'!$K$6:$K$41)</f>
        <v>1190248</v>
      </c>
    </row>
    <row r="38" customFormat="false" ht="15" hidden="false" customHeight="false" outlineLevel="0" collapsed="false">
      <c r="A38" s="31" t="s">
        <v>214</v>
      </c>
      <c r="B38" s="17" t="n">
        <f aca="false">B36-B37</f>
        <v>5671552</v>
      </c>
    </row>
    <row r="40" customFormat="false" ht="15" hidden="false" customHeight="false" outlineLevel="0" collapsed="false">
      <c r="A40" s="13" t="s">
        <v>215</v>
      </c>
    </row>
    <row r="41" customFormat="false" ht="15" hidden="false" customHeight="false" outlineLevel="0" collapsed="false">
      <c r="A41" s="5" t="s">
        <v>216</v>
      </c>
      <c r="B41" s="15" t="n">
        <f aca="false">SUMIFS(Movimientos!$I$6:$I$205,Movimientos!$F$6:$F$205,"Felipe (por definir)",Movimientos!$L$6:$L$205,"Gasto")</f>
        <v>0</v>
      </c>
    </row>
    <row r="42" customFormat="false" ht="15" hidden="false" customHeight="true" outlineLevel="0" collapsed="false">
      <c r="A42" s="35" t="s">
        <v>217</v>
      </c>
      <c r="B42" s="35"/>
      <c r="C42" s="35"/>
      <c r="D42" s="35"/>
      <c r="E42" s="35"/>
      <c r="F42" s="35"/>
      <c r="G42" s="35"/>
      <c r="H42" s="35"/>
    </row>
    <row r="43" customFormat="false" ht="15" hidden="false" customHeight="false" outlineLevel="0" collapsed="false">
      <c r="A43" s="35"/>
      <c r="B43" s="35"/>
      <c r="C43" s="35"/>
      <c r="D43" s="35"/>
      <c r="E43" s="35"/>
      <c r="F43" s="35"/>
      <c r="G43" s="35"/>
      <c r="H43" s="35"/>
    </row>
  </sheetData>
  <mergeCells count="1">
    <mergeCell ref="A42:H43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8" min="2" style="0" width="15"/>
  </cols>
  <sheetData>
    <row r="1" customFormat="false" ht="18.55" hidden="false" customHeight="false" outlineLevel="0" collapsed="false">
      <c r="A1" s="1" t="s">
        <v>218</v>
      </c>
    </row>
    <row r="2" customFormat="false" ht="15" hidden="false" customHeight="false" outlineLevel="0" collapsed="false">
      <c r="A2" s="2" t="s">
        <v>219</v>
      </c>
    </row>
    <row r="4" customFormat="false" ht="30" hidden="false" customHeight="true" outlineLevel="0" collapsed="false">
      <c r="A4" s="24" t="s">
        <v>220</v>
      </c>
      <c r="B4" s="24" t="s">
        <v>221</v>
      </c>
      <c r="C4" s="24" t="s">
        <v>222</v>
      </c>
      <c r="D4" s="24" t="s">
        <v>223</v>
      </c>
      <c r="E4" s="24" t="s">
        <v>224</v>
      </c>
      <c r="F4" s="24" t="s">
        <v>225</v>
      </c>
      <c r="G4" s="24" t="s">
        <v>226</v>
      </c>
      <c r="H4" s="24" t="s">
        <v>227</v>
      </c>
    </row>
    <row r="5" customFormat="false" ht="15" hidden="false" customHeight="false" outlineLevel="0" collapsed="false">
      <c r="A5" s="25" t="s">
        <v>228</v>
      </c>
      <c r="B5" s="29" t="n">
        <v>172200</v>
      </c>
      <c r="C5" s="29"/>
      <c r="D5" s="29"/>
      <c r="E5" s="29"/>
      <c r="F5" s="29"/>
      <c r="G5" s="29"/>
      <c r="H5" s="29"/>
    </row>
    <row r="6" customFormat="false" ht="15" hidden="false" customHeight="false" outlineLevel="0" collapsed="false">
      <c r="A6" s="25" t="s">
        <v>229</v>
      </c>
      <c r="B6" s="29" t="n">
        <v>139900</v>
      </c>
      <c r="C6" s="29"/>
      <c r="D6" s="29"/>
      <c r="E6" s="29"/>
      <c r="F6" s="29"/>
      <c r="G6" s="29"/>
      <c r="H6" s="29"/>
    </row>
    <row r="7" customFormat="false" ht="15" hidden="false" customHeight="false" outlineLevel="0" collapsed="false">
      <c r="A7" s="25" t="s">
        <v>230</v>
      </c>
      <c r="B7" s="29" t="n">
        <v>12400</v>
      </c>
      <c r="C7" s="29"/>
      <c r="D7" s="29"/>
      <c r="E7" s="29"/>
      <c r="F7" s="29"/>
      <c r="G7" s="29"/>
      <c r="H7" s="29"/>
    </row>
    <row r="8" customFormat="false" ht="15" hidden="false" customHeight="false" outlineLevel="0" collapsed="false">
      <c r="A8" s="25" t="s">
        <v>231</v>
      </c>
      <c r="B8" s="29" t="n">
        <v>15600</v>
      </c>
      <c r="C8" s="29"/>
      <c r="D8" s="29"/>
      <c r="E8" s="29"/>
      <c r="F8" s="29"/>
      <c r="G8" s="29"/>
      <c r="H8" s="29"/>
    </row>
    <row r="9" customFormat="false" ht="15" hidden="false" customHeight="false" outlineLevel="0" collapsed="false">
      <c r="A9" s="25" t="s">
        <v>232</v>
      </c>
      <c r="B9" s="29" t="n">
        <v>28000</v>
      </c>
      <c r="C9" s="29"/>
      <c r="D9" s="29"/>
      <c r="E9" s="29"/>
      <c r="F9" s="29"/>
      <c r="G9" s="29"/>
      <c r="H9" s="29"/>
    </row>
    <row r="10" customFormat="false" ht="15" hidden="false" customHeight="false" outlineLevel="0" collapsed="false">
      <c r="A10" s="25" t="s">
        <v>233</v>
      </c>
      <c r="B10" s="29" t="n">
        <v>70500</v>
      </c>
      <c r="C10" s="29"/>
      <c r="D10" s="29"/>
      <c r="E10" s="29"/>
      <c r="F10" s="29"/>
      <c r="G10" s="29"/>
      <c r="H10" s="29"/>
    </row>
    <row r="11" customFormat="false" ht="15" hidden="false" customHeight="false" outlineLevel="0" collapsed="false">
      <c r="A11" s="25" t="s">
        <v>234</v>
      </c>
      <c r="B11" s="29" t="n">
        <v>250000</v>
      </c>
      <c r="C11" s="29"/>
      <c r="D11" s="29"/>
      <c r="E11" s="29"/>
      <c r="F11" s="29"/>
      <c r="G11" s="29"/>
      <c r="H11" s="29"/>
    </row>
    <row r="12" customFormat="false" ht="15" hidden="false" customHeight="false" outlineLevel="0" collapsed="false">
      <c r="A12" s="25" t="s">
        <v>235</v>
      </c>
      <c r="B12" s="29" t="n">
        <v>52000</v>
      </c>
      <c r="C12" s="29"/>
      <c r="D12" s="29"/>
      <c r="E12" s="29"/>
      <c r="F12" s="29"/>
      <c r="G12" s="29"/>
      <c r="H12" s="29"/>
    </row>
    <row r="13" customFormat="false" ht="15" hidden="false" customHeight="false" outlineLevel="0" collapsed="false">
      <c r="A13" s="25" t="s">
        <v>236</v>
      </c>
      <c r="B13" s="29" t="n">
        <v>20000</v>
      </c>
      <c r="C13" s="29"/>
      <c r="D13" s="29"/>
      <c r="E13" s="29"/>
      <c r="F13" s="29"/>
      <c r="G13" s="29"/>
      <c r="H13" s="29"/>
    </row>
    <row r="14" customFormat="false" ht="15" hidden="false" customHeight="false" outlineLevel="0" collapsed="false">
      <c r="A14" s="25" t="s">
        <v>237</v>
      </c>
      <c r="B14" s="29" t="n">
        <v>620000</v>
      </c>
      <c r="C14" s="29"/>
      <c r="D14" s="29"/>
      <c r="E14" s="29"/>
      <c r="F14" s="29"/>
      <c r="G14" s="29"/>
      <c r="H14" s="29"/>
    </row>
    <row r="15" customFormat="false" ht="15" hidden="false" customHeight="false" outlineLevel="0" collapsed="false">
      <c r="A15" s="25" t="s">
        <v>238</v>
      </c>
      <c r="B15" s="29" t="n">
        <v>180000</v>
      </c>
      <c r="C15" s="29"/>
      <c r="D15" s="29"/>
      <c r="E15" s="29"/>
      <c r="F15" s="29"/>
      <c r="G15" s="29"/>
      <c r="H15" s="29"/>
    </row>
    <row r="16" customFormat="false" ht="15" hidden="false" customHeight="false" outlineLevel="0" collapsed="false">
      <c r="A16" s="25" t="s">
        <v>239</v>
      </c>
      <c r="B16" s="29" t="n">
        <v>80000</v>
      </c>
      <c r="C16" s="29"/>
      <c r="D16" s="29"/>
      <c r="E16" s="29"/>
      <c r="F16" s="29"/>
      <c r="G16" s="29"/>
      <c r="H16" s="29"/>
    </row>
    <row r="17" customFormat="false" ht="15" hidden="false" customHeight="false" outlineLevel="0" collapsed="false">
      <c r="A17" s="25" t="s">
        <v>240</v>
      </c>
      <c r="B17" s="29" t="n">
        <v>64000</v>
      </c>
      <c r="C17" s="29"/>
      <c r="D17" s="29"/>
      <c r="E17" s="29"/>
      <c r="F17" s="29"/>
      <c r="G17" s="29"/>
      <c r="H17" s="29"/>
    </row>
    <row r="18" customFormat="false" ht="15" hidden="false" customHeight="false" outlineLevel="0" collapsed="false">
      <c r="A18" s="25" t="s">
        <v>241</v>
      </c>
      <c r="B18" s="29" t="n">
        <v>54500</v>
      </c>
      <c r="C18" s="29"/>
      <c r="D18" s="29"/>
      <c r="E18" s="29"/>
      <c r="F18" s="29"/>
      <c r="G18" s="29"/>
      <c r="H18" s="29"/>
    </row>
    <row r="19" customFormat="false" ht="15" hidden="false" customHeight="false" outlineLevel="0" collapsed="false">
      <c r="A19" s="25" t="s">
        <v>242</v>
      </c>
      <c r="B19" s="29" t="n">
        <v>210000</v>
      </c>
      <c r="C19" s="29"/>
      <c r="D19" s="29"/>
      <c r="E19" s="29"/>
      <c r="F19" s="29"/>
      <c r="G19" s="29"/>
      <c r="H19" s="29"/>
    </row>
    <row r="20" customFormat="false" ht="15" hidden="false" customHeight="false" outlineLevel="0" collapsed="false">
      <c r="A20" s="25" t="s">
        <v>243</v>
      </c>
      <c r="B20" s="29" t="n">
        <v>90000</v>
      </c>
      <c r="C20" s="29"/>
      <c r="D20" s="29"/>
      <c r="E20" s="29"/>
      <c r="F20" s="29"/>
      <c r="G20" s="29"/>
      <c r="H20" s="29"/>
    </row>
    <row r="21" customFormat="false" ht="15" hidden="false" customHeight="false" outlineLevel="0" collapsed="false">
      <c r="A21" s="25" t="s">
        <v>244</v>
      </c>
      <c r="B21" s="29" t="n">
        <v>8000</v>
      </c>
      <c r="C21" s="29"/>
      <c r="D21" s="29"/>
      <c r="E21" s="29"/>
      <c r="F21" s="29"/>
      <c r="G21" s="29"/>
      <c r="H21" s="29"/>
    </row>
    <row r="22" customFormat="false" ht="15" hidden="false" customHeight="false" outlineLevel="0" collapsed="false">
      <c r="A22" s="25" t="s">
        <v>245</v>
      </c>
      <c r="B22" s="29" t="n">
        <v>355000</v>
      </c>
      <c r="C22" s="29"/>
      <c r="D22" s="29"/>
      <c r="E22" s="29"/>
      <c r="F22" s="29"/>
      <c r="G22" s="29"/>
      <c r="H22" s="29"/>
    </row>
    <row r="23" customFormat="false" ht="15" hidden="false" customHeight="false" outlineLevel="0" collapsed="false">
      <c r="A23" s="25" t="s">
        <v>246</v>
      </c>
      <c r="B23" s="29" t="n">
        <v>55000</v>
      </c>
      <c r="C23" s="29"/>
      <c r="D23" s="29"/>
      <c r="E23" s="29"/>
      <c r="F23" s="29"/>
      <c r="G23" s="29"/>
      <c r="H23" s="29"/>
    </row>
    <row r="24" customFormat="false" ht="15" hidden="false" customHeight="false" outlineLevel="0" collapsed="false">
      <c r="A24" s="25" t="s">
        <v>247</v>
      </c>
      <c r="B24" s="29" t="n">
        <v>93000</v>
      </c>
      <c r="C24" s="29"/>
      <c r="D24" s="29"/>
      <c r="E24" s="29"/>
      <c r="F24" s="29"/>
      <c r="G24" s="29"/>
      <c r="H24" s="29"/>
    </row>
    <row r="25" customFormat="false" ht="15" hidden="false" customHeight="false" outlineLevel="0" collapsed="false">
      <c r="A25" s="25" t="s">
        <v>248</v>
      </c>
      <c r="B25" s="29" t="n">
        <v>11000</v>
      </c>
      <c r="C25" s="29"/>
      <c r="D25" s="29"/>
      <c r="E25" s="29"/>
      <c r="F25" s="29"/>
      <c r="G25" s="29"/>
      <c r="H25" s="29"/>
    </row>
    <row r="26" customFormat="false" ht="15" hidden="false" customHeight="false" outlineLevel="0" collapsed="false">
      <c r="A26" s="25" t="s">
        <v>249</v>
      </c>
      <c r="B26" s="29" t="n">
        <v>82000</v>
      </c>
      <c r="C26" s="29"/>
      <c r="D26" s="29"/>
      <c r="E26" s="29"/>
      <c r="F26" s="29"/>
      <c r="G26" s="29"/>
      <c r="H26" s="29"/>
    </row>
    <row r="27" customFormat="false" ht="15" hidden="false" customHeight="false" outlineLevel="0" collapsed="false">
      <c r="A27" s="25" t="s">
        <v>250</v>
      </c>
      <c r="B27" s="29" t="n">
        <v>145000</v>
      </c>
      <c r="C27" s="29"/>
      <c r="D27" s="29"/>
      <c r="E27" s="29"/>
      <c r="F27" s="29"/>
      <c r="G27" s="29"/>
      <c r="H27" s="29"/>
    </row>
    <row r="28" customFormat="false" ht="15" hidden="false" customHeight="false" outlineLevel="0" collapsed="false">
      <c r="A28" s="25" t="s">
        <v>251</v>
      </c>
      <c r="B28" s="29" t="n">
        <v>492000</v>
      </c>
      <c r="C28" s="29"/>
      <c r="D28" s="29"/>
      <c r="E28" s="29"/>
      <c r="F28" s="29"/>
      <c r="G28" s="29"/>
      <c r="H28" s="29"/>
    </row>
    <row r="29" customFormat="false" ht="15" hidden="false" customHeight="false" outlineLevel="0" collapsed="false">
      <c r="A29" s="25" t="s">
        <v>252</v>
      </c>
      <c r="B29" s="29" t="n">
        <v>204000</v>
      </c>
      <c r="C29" s="29"/>
      <c r="D29" s="29"/>
      <c r="E29" s="29"/>
      <c r="F29" s="29"/>
      <c r="G29" s="29"/>
      <c r="H29" s="29"/>
    </row>
    <row r="30" customFormat="false" ht="15" hidden="false" customHeight="false" outlineLevel="0" collapsed="false">
      <c r="A30" s="25" t="s">
        <v>253</v>
      </c>
      <c r="B30" s="29" t="n">
        <v>1300000</v>
      </c>
      <c r="C30" s="29"/>
      <c r="D30" s="29"/>
      <c r="E30" s="29"/>
      <c r="F30" s="29"/>
      <c r="G30" s="29"/>
      <c r="H30" s="29"/>
    </row>
    <row r="31" customFormat="false" ht="15" hidden="false" customHeight="false" outlineLevel="0" collapsed="false">
      <c r="A31" s="25" t="s">
        <v>254</v>
      </c>
      <c r="B31" s="29" t="n">
        <v>340000</v>
      </c>
      <c r="C31" s="29"/>
      <c r="D31" s="29"/>
      <c r="E31" s="29"/>
      <c r="F31" s="29"/>
      <c r="G31" s="29"/>
      <c r="H31" s="29"/>
    </row>
    <row r="32" customFormat="false" ht="15" hidden="false" customHeight="false" outlineLevel="0" collapsed="false">
      <c r="A32" s="25" t="s">
        <v>255</v>
      </c>
      <c r="B32" s="29" t="n">
        <v>740000</v>
      </c>
      <c r="C32" s="29"/>
      <c r="D32" s="29"/>
      <c r="E32" s="29"/>
      <c r="F32" s="29"/>
      <c r="G32" s="29"/>
      <c r="H32" s="29"/>
    </row>
    <row r="33" customFormat="false" ht="15" hidden="false" customHeight="false" outlineLevel="0" collapsed="false">
      <c r="A33" s="25" t="s">
        <v>256</v>
      </c>
      <c r="B33" s="29" t="n">
        <v>138000</v>
      </c>
      <c r="C33" s="29"/>
      <c r="D33" s="29"/>
      <c r="E33" s="29"/>
      <c r="F33" s="29"/>
      <c r="G33" s="29"/>
      <c r="H33" s="29"/>
    </row>
    <row r="34" customFormat="false" ht="15" hidden="false" customHeight="false" outlineLevel="0" collapsed="false">
      <c r="A34" s="25" t="s">
        <v>257</v>
      </c>
      <c r="B34" s="29" t="n">
        <v>74000</v>
      </c>
      <c r="C34" s="29"/>
      <c r="D34" s="29"/>
      <c r="E34" s="29"/>
      <c r="F34" s="29"/>
      <c r="G34" s="29"/>
      <c r="H34" s="29"/>
    </row>
    <row r="35" customFormat="false" ht="15" hidden="false" customHeight="false" outlineLevel="0" collapsed="false">
      <c r="A35" s="25" t="s">
        <v>258</v>
      </c>
      <c r="B35" s="29" t="n">
        <v>24500</v>
      </c>
      <c r="C35" s="29"/>
      <c r="D35" s="29"/>
      <c r="E35" s="29"/>
      <c r="F35" s="29"/>
      <c r="G35" s="29"/>
      <c r="H35" s="29"/>
    </row>
    <row r="36" customFormat="false" ht="15" hidden="false" customHeight="false" outlineLevel="0" collapsed="false">
      <c r="A36" s="25" t="s">
        <v>259</v>
      </c>
      <c r="B36" s="29" t="n">
        <v>42000</v>
      </c>
      <c r="C36" s="29"/>
      <c r="D36" s="29"/>
      <c r="E36" s="29"/>
      <c r="F36" s="29"/>
      <c r="G36" s="29"/>
      <c r="H36" s="29"/>
    </row>
    <row r="37" customFormat="false" ht="15" hidden="false" customHeight="false" outlineLevel="0" collapsed="false">
      <c r="A37" s="25" t="s">
        <v>260</v>
      </c>
      <c r="B37" s="29" t="n">
        <v>60000</v>
      </c>
      <c r="C37" s="29"/>
      <c r="D37" s="29"/>
      <c r="E37" s="29"/>
      <c r="F37" s="29"/>
      <c r="G37" s="29"/>
      <c r="H37" s="29"/>
    </row>
    <row r="38" customFormat="false" ht="15" hidden="false" customHeight="false" outlineLevel="0" collapsed="false">
      <c r="A38" s="25" t="s">
        <v>261</v>
      </c>
      <c r="B38" s="29" t="n">
        <v>60200</v>
      </c>
      <c r="C38" s="29"/>
      <c r="D38" s="29"/>
      <c r="E38" s="29"/>
      <c r="F38" s="29"/>
      <c r="G38" s="29"/>
      <c r="H38" s="29"/>
    </row>
    <row r="39" customFormat="false" ht="15" hidden="false" customHeight="false" outlineLevel="0" collapsed="false">
      <c r="A39" s="25" t="s">
        <v>262</v>
      </c>
      <c r="B39" s="29" t="n">
        <v>60000</v>
      </c>
      <c r="C39" s="29"/>
      <c r="D39" s="29"/>
      <c r="E39" s="29"/>
      <c r="F39" s="29"/>
      <c r="G39" s="29"/>
      <c r="H39" s="29"/>
    </row>
    <row r="40" customFormat="false" ht="15" hidden="false" customHeight="false" outlineLevel="0" collapsed="false">
      <c r="A40" s="25" t="s">
        <v>263</v>
      </c>
      <c r="B40" s="29" t="n">
        <v>40000</v>
      </c>
      <c r="C40" s="29"/>
      <c r="D40" s="29"/>
      <c r="E40" s="29"/>
      <c r="F40" s="29"/>
      <c r="G40" s="29"/>
      <c r="H40" s="29"/>
    </row>
    <row r="41" customFormat="false" ht="15" hidden="false" customHeight="false" outlineLevel="0" collapsed="false">
      <c r="A41" s="5" t="s">
        <v>264</v>
      </c>
      <c r="B41" s="34" t="n">
        <v>169000</v>
      </c>
      <c r="C41" s="34"/>
      <c r="D41" s="34"/>
      <c r="E41" s="34"/>
      <c r="F41" s="34"/>
      <c r="G41" s="34"/>
      <c r="H41" s="34"/>
    </row>
    <row r="42" customFormat="false" ht="15" hidden="false" customHeight="false" outlineLevel="0" collapsed="false">
      <c r="A42" s="31" t="s">
        <v>265</v>
      </c>
      <c r="B42" s="17" t="n">
        <f aca="false">SUM(B5:B41)</f>
        <v>6551800</v>
      </c>
      <c r="C42" s="17" t="n">
        <f aca="false">SUM(C5:C41)</f>
        <v>0</v>
      </c>
      <c r="D42" s="17" t="n">
        <f aca="false">SUM(D5:D41)</f>
        <v>0</v>
      </c>
      <c r="E42" s="17" t="n">
        <f aca="false">SUM(E5:E41)</f>
        <v>0</v>
      </c>
      <c r="F42" s="17" t="n">
        <f aca="false">SUM(F5:F41)</f>
        <v>0</v>
      </c>
      <c r="G42" s="17" t="n">
        <f aca="false">SUM(G5:G41)</f>
        <v>0</v>
      </c>
      <c r="H42" s="17" t="n">
        <f aca="false">SUM(H5:H41)</f>
        <v>0</v>
      </c>
    </row>
    <row r="43" customFormat="false" ht="15" hidden="false" customHeight="false" outlineLevel="0" collapsed="false">
      <c r="A43" s="31" t="s">
        <v>266</v>
      </c>
      <c r="B43" s="36" t="str">
        <f aca="false">IF(B42&gt;0,"Real","Estimado")</f>
        <v>Real</v>
      </c>
      <c r="C43" s="36" t="str">
        <f aca="false">IF(C42&gt;0,"Real","Estimado")</f>
        <v>Estimado</v>
      </c>
      <c r="D43" s="36" t="str">
        <f aca="false">IF(D42&gt;0,"Real","Estimado")</f>
        <v>Estimado</v>
      </c>
      <c r="E43" s="36" t="str">
        <f aca="false">IF(E42&gt;0,"Real","Estimado")</f>
        <v>Estimado</v>
      </c>
      <c r="F43" s="36" t="str">
        <f aca="false">IF(F42&gt;0,"Real","Estimado")</f>
        <v>Estimado</v>
      </c>
      <c r="G43" s="36" t="str">
        <f aca="false">IF(G42&gt;0,"Real","Estimado")</f>
        <v>Estimado</v>
      </c>
      <c r="H43" s="36" t="str">
        <f aca="false">IF(H42&gt;0,"Real","Estimado")</f>
        <v>Estimado</v>
      </c>
    </row>
    <row r="44" customFormat="false" ht="15" hidden="false" customHeight="false" outlineLevel="0" collapsed="false">
      <c r="A44" s="31" t="s">
        <v>267</v>
      </c>
      <c r="B44" s="32" t="n">
        <f aca="false">B42</f>
        <v>6551800</v>
      </c>
      <c r="C44" s="32" t="n">
        <f aca="false">IF(C42&gt;0,C42,$B$42*IF(Supuestos!$B$7="Pequeña",Supuestos!$B$44,1))</f>
        <v>6551800</v>
      </c>
      <c r="D44" s="32" t="n">
        <f aca="false">IF(D42&gt;0,D42,$B$42*IF(Supuestos!$B$8="Pequeña",Supuestos!$B$44,1))</f>
        <v>6551800</v>
      </c>
      <c r="E44" s="32" t="n">
        <f aca="false">IF(E42&gt;0,E42,$B$42*IF(Supuestos!$B$9="Pequeña",Supuestos!$B$44,1))</f>
        <v>6551800</v>
      </c>
      <c r="F44" s="32" t="n">
        <f aca="false">IF(F42&gt;0,F42,$B$42*IF(Supuestos!$B$10="Pequeña",Supuestos!$B$44,1))</f>
        <v>6551800</v>
      </c>
      <c r="G44" s="32" t="n">
        <f aca="false">IF(G42&gt;0,G42,$B$42*IF(Supuestos!$B$11="Pequeña",Supuestos!$B$44,1))</f>
        <v>6551800</v>
      </c>
      <c r="H44" s="32" t="n">
        <f aca="false">IF(H42&gt;0,H42,$B$42*IF(Supuestos!$B$12="Pequeña",Supuestos!$B$44,1))</f>
        <v>6551800</v>
      </c>
    </row>
    <row r="45" customFormat="false" ht="15" hidden="false" customHeight="false" outlineLevel="0" collapsed="false">
      <c r="A45" s="31" t="s">
        <v>268</v>
      </c>
      <c r="B45" s="17" t="n">
        <f aca="false">SUM(B44:H44)</f>
        <v>45862600</v>
      </c>
    </row>
    <row r="48" customFormat="false" ht="15" hidden="false" customHeight="false" outlineLevel="0" collapsed="false">
      <c r="A48" s="13" t="s">
        <v>269</v>
      </c>
    </row>
    <row r="49" customFormat="false" ht="30" hidden="false" customHeight="true" outlineLevel="0" collapsed="false">
      <c r="A49" s="24" t="s">
        <v>270</v>
      </c>
      <c r="B49" s="24" t="s">
        <v>271</v>
      </c>
      <c r="C49" s="24" t="s">
        <v>272</v>
      </c>
    </row>
    <row r="50" customFormat="false" ht="15" hidden="false" customHeight="false" outlineLevel="0" collapsed="false">
      <c r="A50" s="5" t="s">
        <v>273</v>
      </c>
      <c r="B50" s="34" t="n">
        <v>2830000</v>
      </c>
      <c r="C50" s="22" t="s">
        <v>274</v>
      </c>
    </row>
    <row r="51" customFormat="false" ht="15" hidden="false" customHeight="false" outlineLevel="0" collapsed="false">
      <c r="A51" s="5" t="s">
        <v>275</v>
      </c>
      <c r="B51" s="34" t="n">
        <v>3350000</v>
      </c>
      <c r="C51" s="22" t="s">
        <v>276</v>
      </c>
    </row>
    <row r="52" customFormat="false" ht="15" hidden="false" customHeight="false" outlineLevel="0" collapsed="false">
      <c r="A52" s="31" t="s">
        <v>277</v>
      </c>
      <c r="B52" s="37" t="n">
        <v>1</v>
      </c>
      <c r="C52" s="17" t="n">
        <f aca="false">INDEX(B50:B51,B52)</f>
        <v>2830000</v>
      </c>
    </row>
    <row r="54" customFormat="false" ht="15" hidden="false" customHeight="false" outlineLevel="0" collapsed="false">
      <c r="A54" s="5" t="s">
        <v>278</v>
      </c>
      <c r="B54" s="34" t="n">
        <v>1190000</v>
      </c>
      <c r="C54" s="22" t="s">
        <v>279</v>
      </c>
    </row>
    <row r="56" customFormat="false" ht="15" hidden="false" customHeight="false" outlineLevel="0" collapsed="false">
      <c r="A56" s="31" t="s">
        <v>280</v>
      </c>
      <c r="B56" s="37" t="n">
        <v>1</v>
      </c>
    </row>
    <row r="57" customFormat="false" ht="15" hidden="false" customHeight="false" outlineLevel="0" collapsed="false">
      <c r="A57" s="31" t="s">
        <v>281</v>
      </c>
      <c r="C57" s="17" t="n">
        <f aca="false">C52+B54*B56</f>
        <v>4020000</v>
      </c>
    </row>
    <row r="59" customFormat="false" ht="15" hidden="false" customHeight="false" outlineLevel="0" collapsed="false">
      <c r="A59" s="2" t="s">
        <v>282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22"/>
    <col collapsed="false" customWidth="true" hidden="false" outlineLevel="0" max="5" min="5" style="0" width="15"/>
    <col collapsed="false" customWidth="true" hidden="false" outlineLevel="0" max="7" min="6" style="0" width="13"/>
    <col collapsed="false" customWidth="true" hidden="false" outlineLevel="0" max="9" min="8" style="0" width="15"/>
    <col collapsed="false" customWidth="true" hidden="false" outlineLevel="0" max="11" min="10" style="0" width="13"/>
    <col collapsed="false" customWidth="true" hidden="false" outlineLevel="0" max="12" min="12" style="0" width="24"/>
  </cols>
  <sheetData>
    <row r="1" customFormat="false" ht="18.55" hidden="false" customHeight="false" outlineLevel="0" collapsed="false">
      <c r="A1" s="1" t="s">
        <v>283</v>
      </c>
    </row>
    <row r="2" customFormat="false" ht="15" hidden="false" customHeight="false" outlineLevel="0" collapsed="false">
      <c r="A2" s="2" t="s">
        <v>284</v>
      </c>
    </row>
    <row r="3" customFormat="false" ht="15" hidden="false" customHeight="false" outlineLevel="0" collapsed="false">
      <c r="A3" s="5" t="s">
        <v>285</v>
      </c>
      <c r="B3" s="33" t="n">
        <f aca="false">Supuestos!$B$32</f>
        <v>35000000</v>
      </c>
    </row>
    <row r="4" customFormat="false" ht="15" hidden="false" customHeight="false" outlineLevel="0" collapsed="false">
      <c r="A4" s="5" t="s">
        <v>286</v>
      </c>
      <c r="B4" s="38" t="n">
        <f aca="false">Supuestos!$B$33</f>
        <v>0.015</v>
      </c>
    </row>
    <row r="5" customFormat="false" ht="15" hidden="false" customHeight="false" outlineLevel="0" collapsed="false">
      <c r="A5" s="5" t="s">
        <v>287</v>
      </c>
      <c r="B5" s="39" t="n">
        <f aca="false">(1+B4)^12-1</f>
        <v>0.195618171461534</v>
      </c>
    </row>
    <row r="6" customFormat="false" ht="15" hidden="false" customHeight="false" outlineLevel="0" collapsed="false">
      <c r="A6" s="5" t="s">
        <v>288</v>
      </c>
      <c r="B6" s="40" t="n">
        <f aca="false">Supuestos!$B$34</f>
        <v>46249</v>
      </c>
    </row>
    <row r="7" customFormat="false" ht="15" hidden="false" customHeight="false" outlineLevel="0" collapsed="false">
      <c r="A7" s="5" t="s">
        <v>289</v>
      </c>
      <c r="B7" s="40" t="n">
        <f aca="false">Supuestos!$B$35</f>
        <v>46371</v>
      </c>
    </row>
    <row r="8" customFormat="false" ht="15" hidden="false" customHeight="false" outlineLevel="0" collapsed="false">
      <c r="A8" s="5" t="s">
        <v>290</v>
      </c>
      <c r="B8" s="41" t="n">
        <f aca="false">Supuestos!$B$36</f>
        <v>36</v>
      </c>
    </row>
    <row r="9" customFormat="false" ht="15" hidden="false" customHeight="false" outlineLevel="0" collapsed="false">
      <c r="A9" s="5" t="s">
        <v>291</v>
      </c>
      <c r="B9" s="19" t="n">
        <f aca="false">(YEAR(B7)-YEAR(B6))*12+MONTH(B7)-MONTH(B6)-1</f>
        <v>3</v>
      </c>
    </row>
    <row r="10" customFormat="false" ht="15" hidden="false" customHeight="false" outlineLevel="0" collapsed="false">
      <c r="A10" s="5" t="s">
        <v>292</v>
      </c>
      <c r="B10" s="15" t="n">
        <f aca="false">B3*(1+B4)^B9</f>
        <v>36598743.125</v>
      </c>
    </row>
    <row r="11" customFormat="false" ht="15" hidden="false" customHeight="false" outlineLevel="0" collapsed="false">
      <c r="A11" s="5" t="s">
        <v>293</v>
      </c>
      <c r="B11" s="17" t="n">
        <f aca="false">PMT(B4,B8,-B10)</f>
        <v>1323132.23757242</v>
      </c>
    </row>
    <row r="12" customFormat="false" ht="15" hidden="false" customHeight="false" outlineLevel="0" collapsed="false">
      <c r="A12" s="5" t="s">
        <v>294</v>
      </c>
      <c r="B12" s="15" t="n">
        <f aca="false">B11*B8</f>
        <v>47632760.552607</v>
      </c>
    </row>
    <row r="13" customFormat="false" ht="15" hidden="false" customHeight="false" outlineLevel="0" collapsed="false">
      <c r="A13" s="5" t="s">
        <v>295</v>
      </c>
      <c r="B13" s="17" t="n">
        <f aca="false">B12-B3</f>
        <v>12632760.552607</v>
      </c>
    </row>
    <row r="17" customFormat="false" ht="30" hidden="false" customHeight="true" outlineLevel="0" collapsed="false">
      <c r="A17" s="24" t="s">
        <v>90</v>
      </c>
      <c r="B17" s="24" t="s">
        <v>91</v>
      </c>
      <c r="C17" s="24" t="s">
        <v>296</v>
      </c>
      <c r="D17" s="24" t="s">
        <v>101</v>
      </c>
      <c r="E17" s="24" t="s">
        <v>297</v>
      </c>
      <c r="F17" s="24" t="s">
        <v>298</v>
      </c>
      <c r="G17" s="24" t="s">
        <v>299</v>
      </c>
      <c r="H17" s="24" t="s">
        <v>300</v>
      </c>
      <c r="I17" s="24" t="s">
        <v>301</v>
      </c>
      <c r="J17" s="24" t="s">
        <v>302</v>
      </c>
      <c r="K17" s="24" t="s">
        <v>303</v>
      </c>
      <c r="L17" s="24" t="s">
        <v>272</v>
      </c>
    </row>
    <row r="18" customFormat="false" ht="15" hidden="false" customHeight="false" outlineLevel="0" collapsed="false">
      <c r="A18" s="25" t="n">
        <v>0</v>
      </c>
      <c r="B18" s="42" t="n">
        <f aca="false">EDATE($B$6,A18)</f>
        <v>46249</v>
      </c>
      <c r="C18" s="43" t="n">
        <f aca="false">DATE(YEAR(B18),MONTH(B18),1)</f>
        <v>46235</v>
      </c>
      <c r="D18" s="25" t="str">
        <f aca="false">IF(A18=0,"Desembolso",IF(B18&lt;$B$7,"Gracia (interés se suma)","Cuota "&amp;(A18-$B$9)))</f>
        <v>Desembolso</v>
      </c>
      <c r="E18" s="44" t="n">
        <v>0</v>
      </c>
      <c r="F18" s="44" t="n">
        <v>0</v>
      </c>
      <c r="G18" s="44" t="n">
        <v>0</v>
      </c>
      <c r="H18" s="44" t="n">
        <f aca="false">G18-F18</f>
        <v>0</v>
      </c>
      <c r="I18" s="44" t="n">
        <f aca="false">$B$3</f>
        <v>35000000</v>
      </c>
      <c r="J18" s="29"/>
      <c r="K18" s="26"/>
      <c r="L18" s="45"/>
    </row>
    <row r="19" customFormat="false" ht="15" hidden="false" customHeight="false" outlineLevel="0" collapsed="false">
      <c r="A19" s="25" t="n">
        <v>1</v>
      </c>
      <c r="B19" s="42" t="n">
        <f aca="false">EDATE($B$6,A19)</f>
        <v>46280</v>
      </c>
      <c r="C19" s="43" t="n">
        <f aca="false">DATE(YEAR(B19),MONTH(B19),1)</f>
        <v>46266</v>
      </c>
      <c r="D19" s="25" t="str">
        <f aca="false">IF(A19=0,"Desembolso",IF(B19&lt;$B$7,"Gracia (interés se suma)","Cuota "&amp;(A19-$B$9)))</f>
        <v>Gracia (interés se suma)</v>
      </c>
      <c r="E19" s="44" t="n">
        <f aca="false">I18</f>
        <v>35000000</v>
      </c>
      <c r="F19" s="44" t="n">
        <f aca="false">E19*$B$4</f>
        <v>525000</v>
      </c>
      <c r="G19" s="44" t="n">
        <f aca="false">IF(B19&gt;=$B$7,$B$11,0)</f>
        <v>0</v>
      </c>
      <c r="H19" s="44" t="n">
        <f aca="false">G19-F19</f>
        <v>-525000</v>
      </c>
      <c r="I19" s="44" t="n">
        <f aca="false">MAX(0,ROUND(E19+F19-G19,0))</f>
        <v>35525000</v>
      </c>
      <c r="J19" s="29"/>
      <c r="K19" s="26"/>
      <c r="L19" s="45"/>
    </row>
    <row r="20" customFormat="false" ht="15" hidden="false" customHeight="false" outlineLevel="0" collapsed="false">
      <c r="A20" s="25" t="n">
        <v>2</v>
      </c>
      <c r="B20" s="42" t="n">
        <f aca="false">EDATE($B$6,A20)</f>
        <v>46310</v>
      </c>
      <c r="C20" s="43" t="n">
        <f aca="false">DATE(YEAR(B20),MONTH(B20),1)</f>
        <v>46296</v>
      </c>
      <c r="D20" s="25" t="str">
        <f aca="false">IF(A20=0,"Desembolso",IF(B20&lt;$B$7,"Gracia (interés se suma)","Cuota "&amp;(A20-$B$9)))</f>
        <v>Gracia (interés se suma)</v>
      </c>
      <c r="E20" s="44" t="n">
        <f aca="false">I19</f>
        <v>35525000</v>
      </c>
      <c r="F20" s="44" t="n">
        <f aca="false">E20*$B$4</f>
        <v>532875</v>
      </c>
      <c r="G20" s="44" t="n">
        <f aca="false">IF(B20&gt;=$B$7,$B$11,0)</f>
        <v>0</v>
      </c>
      <c r="H20" s="44" t="n">
        <f aca="false">G20-F20</f>
        <v>-532875</v>
      </c>
      <c r="I20" s="44" t="n">
        <f aca="false">MAX(0,ROUND(E20+F20-G20,0))</f>
        <v>36057875</v>
      </c>
      <c r="J20" s="29"/>
      <c r="K20" s="26"/>
      <c r="L20" s="45"/>
    </row>
    <row r="21" customFormat="false" ht="15" hidden="false" customHeight="false" outlineLevel="0" collapsed="false">
      <c r="A21" s="25" t="n">
        <v>3</v>
      </c>
      <c r="B21" s="42" t="n">
        <f aca="false">EDATE($B$6,A21)</f>
        <v>46341</v>
      </c>
      <c r="C21" s="43" t="n">
        <f aca="false">DATE(YEAR(B21),MONTH(B21),1)</f>
        <v>46327</v>
      </c>
      <c r="D21" s="25" t="str">
        <f aca="false">IF(A21=0,"Desembolso",IF(B21&lt;$B$7,"Gracia (interés se suma)","Cuota "&amp;(A21-$B$9)))</f>
        <v>Gracia (interés se suma)</v>
      </c>
      <c r="E21" s="44" t="n">
        <f aca="false">I20</f>
        <v>36057875</v>
      </c>
      <c r="F21" s="44" t="n">
        <f aca="false">E21*$B$4</f>
        <v>540868.125</v>
      </c>
      <c r="G21" s="44" t="n">
        <f aca="false">IF(B21&gt;=$B$7,$B$11,0)</f>
        <v>0</v>
      </c>
      <c r="H21" s="44" t="n">
        <f aca="false">G21-F21</f>
        <v>-540868.125</v>
      </c>
      <c r="I21" s="44" t="n">
        <f aca="false">MAX(0,ROUND(E21+F21-G21,0))</f>
        <v>36598743</v>
      </c>
      <c r="J21" s="29"/>
      <c r="K21" s="26"/>
      <c r="L21" s="45"/>
    </row>
    <row r="22" customFormat="false" ht="15" hidden="false" customHeight="false" outlineLevel="0" collapsed="false">
      <c r="A22" s="25" t="n">
        <v>4</v>
      </c>
      <c r="B22" s="42" t="n">
        <f aca="false">EDATE($B$6,A22)</f>
        <v>46371</v>
      </c>
      <c r="C22" s="43" t="n">
        <f aca="false">DATE(YEAR(B22),MONTH(B22),1)</f>
        <v>46357</v>
      </c>
      <c r="D22" s="25" t="str">
        <f aca="false">IF(A22=0,"Desembolso",IF(B22&lt;$B$7,"Gracia (interés se suma)","Cuota "&amp;(A22-$B$9)))</f>
        <v>Cuota 1</v>
      </c>
      <c r="E22" s="44" t="n">
        <f aca="false">I21</f>
        <v>36598743</v>
      </c>
      <c r="F22" s="44" t="n">
        <f aca="false">E22*$B$4</f>
        <v>548981.145</v>
      </c>
      <c r="G22" s="44" t="n">
        <f aca="false">IF(B22&gt;=$B$7,$B$11,0)</f>
        <v>1323132.23757242</v>
      </c>
      <c r="H22" s="44" t="n">
        <f aca="false">G22-F22</f>
        <v>774151.092572417</v>
      </c>
      <c r="I22" s="44" t="n">
        <f aca="false">MAX(0,ROUND(E22+F22-G22,0))</f>
        <v>35824592</v>
      </c>
      <c r="J22" s="29"/>
      <c r="K22" s="26"/>
      <c r="L22" s="45"/>
    </row>
    <row r="23" customFormat="false" ht="15" hidden="false" customHeight="false" outlineLevel="0" collapsed="false">
      <c r="A23" s="25" t="n">
        <v>5</v>
      </c>
      <c r="B23" s="42" t="n">
        <f aca="false">EDATE($B$6,A23)</f>
        <v>46402</v>
      </c>
      <c r="C23" s="43" t="n">
        <f aca="false">DATE(YEAR(B23),MONTH(B23),1)</f>
        <v>46388</v>
      </c>
      <c r="D23" s="25" t="str">
        <f aca="false">IF(A23=0,"Desembolso",IF(B23&lt;$B$7,"Gracia (interés se suma)","Cuota "&amp;(A23-$B$9)))</f>
        <v>Cuota 2</v>
      </c>
      <c r="E23" s="44" t="n">
        <f aca="false">I22</f>
        <v>35824592</v>
      </c>
      <c r="F23" s="44" t="n">
        <f aca="false">E23*$B$4</f>
        <v>537368.88</v>
      </c>
      <c r="G23" s="44" t="n">
        <f aca="false">IF(B23&gt;=$B$7,$B$11,0)</f>
        <v>1323132.23757242</v>
      </c>
      <c r="H23" s="44" t="n">
        <f aca="false">G23-F23</f>
        <v>785763.357572417</v>
      </c>
      <c r="I23" s="44" t="n">
        <f aca="false">MAX(0,ROUND(E23+F23-G23,0))</f>
        <v>35038829</v>
      </c>
      <c r="J23" s="29"/>
      <c r="K23" s="26"/>
      <c r="L23" s="45"/>
    </row>
    <row r="24" customFormat="false" ht="15" hidden="false" customHeight="false" outlineLevel="0" collapsed="false">
      <c r="A24" s="25" t="n">
        <v>6</v>
      </c>
      <c r="B24" s="42" t="n">
        <f aca="false">EDATE($B$6,A24)</f>
        <v>46433</v>
      </c>
      <c r="C24" s="43" t="n">
        <f aca="false">DATE(YEAR(B24),MONTH(B24),1)</f>
        <v>46419</v>
      </c>
      <c r="D24" s="25" t="str">
        <f aca="false">IF(A24=0,"Desembolso",IF(B24&lt;$B$7,"Gracia (interés se suma)","Cuota "&amp;(A24-$B$9)))</f>
        <v>Cuota 3</v>
      </c>
      <c r="E24" s="44" t="n">
        <f aca="false">I23</f>
        <v>35038829</v>
      </c>
      <c r="F24" s="44" t="n">
        <f aca="false">E24*$B$4</f>
        <v>525582.435</v>
      </c>
      <c r="G24" s="44" t="n">
        <f aca="false">IF(B24&gt;=$B$7,$B$11,0)</f>
        <v>1323132.23757242</v>
      </c>
      <c r="H24" s="44" t="n">
        <f aca="false">G24-F24</f>
        <v>797549.802572417</v>
      </c>
      <c r="I24" s="44" t="n">
        <f aca="false">MAX(0,ROUND(E24+F24-G24,0))</f>
        <v>34241279</v>
      </c>
      <c r="J24" s="29"/>
      <c r="K24" s="26"/>
      <c r="L24" s="45"/>
    </row>
    <row r="25" customFormat="false" ht="15" hidden="false" customHeight="false" outlineLevel="0" collapsed="false">
      <c r="A25" s="25" t="n">
        <v>7</v>
      </c>
      <c r="B25" s="42" t="n">
        <f aca="false">EDATE($B$6,A25)</f>
        <v>46461</v>
      </c>
      <c r="C25" s="43" t="n">
        <f aca="false">DATE(YEAR(B25),MONTH(B25),1)</f>
        <v>46447</v>
      </c>
      <c r="D25" s="25" t="str">
        <f aca="false">IF(A25=0,"Desembolso",IF(B25&lt;$B$7,"Gracia (interés se suma)","Cuota "&amp;(A25-$B$9)))</f>
        <v>Cuota 4</v>
      </c>
      <c r="E25" s="44" t="n">
        <f aca="false">I24</f>
        <v>34241279</v>
      </c>
      <c r="F25" s="44" t="n">
        <f aca="false">E25*$B$4</f>
        <v>513619.185</v>
      </c>
      <c r="G25" s="44" t="n">
        <f aca="false">IF(B25&gt;=$B$7,$B$11,0)</f>
        <v>1323132.23757242</v>
      </c>
      <c r="H25" s="44" t="n">
        <f aca="false">G25-F25</f>
        <v>809513.052572417</v>
      </c>
      <c r="I25" s="44" t="n">
        <f aca="false">MAX(0,ROUND(E25+F25-G25,0))</f>
        <v>33431766</v>
      </c>
      <c r="J25" s="29"/>
      <c r="K25" s="26"/>
      <c r="L25" s="45"/>
    </row>
    <row r="26" customFormat="false" ht="15" hidden="false" customHeight="false" outlineLevel="0" collapsed="false">
      <c r="A26" s="25" t="n">
        <v>8</v>
      </c>
      <c r="B26" s="42" t="n">
        <f aca="false">EDATE($B$6,A26)</f>
        <v>46492</v>
      </c>
      <c r="C26" s="43" t="n">
        <f aca="false">DATE(YEAR(B26),MONTH(B26),1)</f>
        <v>46478</v>
      </c>
      <c r="D26" s="25" t="str">
        <f aca="false">IF(A26=0,"Desembolso",IF(B26&lt;$B$7,"Gracia (interés se suma)","Cuota "&amp;(A26-$B$9)))</f>
        <v>Cuota 5</v>
      </c>
      <c r="E26" s="44" t="n">
        <f aca="false">I25</f>
        <v>33431766</v>
      </c>
      <c r="F26" s="44" t="n">
        <f aca="false">E26*$B$4</f>
        <v>501476.49</v>
      </c>
      <c r="G26" s="44" t="n">
        <f aca="false">IF(B26&gt;=$B$7,$B$11,0)</f>
        <v>1323132.23757242</v>
      </c>
      <c r="H26" s="44" t="n">
        <f aca="false">G26-F26</f>
        <v>821655.747572417</v>
      </c>
      <c r="I26" s="44" t="n">
        <f aca="false">MAX(0,ROUND(E26+F26-G26,0))</f>
        <v>32610110</v>
      </c>
      <c r="J26" s="29"/>
      <c r="K26" s="26"/>
      <c r="L26" s="45"/>
    </row>
    <row r="27" customFormat="false" ht="15" hidden="false" customHeight="false" outlineLevel="0" collapsed="false">
      <c r="A27" s="25" t="n">
        <v>9</v>
      </c>
      <c r="B27" s="42" t="n">
        <f aca="false">EDATE($B$6,A27)</f>
        <v>46522</v>
      </c>
      <c r="C27" s="43" t="n">
        <f aca="false">DATE(YEAR(B27),MONTH(B27),1)</f>
        <v>46508</v>
      </c>
      <c r="D27" s="25" t="str">
        <f aca="false">IF(A27=0,"Desembolso",IF(B27&lt;$B$7,"Gracia (interés se suma)","Cuota "&amp;(A27-$B$9)))</f>
        <v>Cuota 6</v>
      </c>
      <c r="E27" s="44" t="n">
        <f aca="false">I26</f>
        <v>32610110</v>
      </c>
      <c r="F27" s="44" t="n">
        <f aca="false">E27*$B$4</f>
        <v>489151.65</v>
      </c>
      <c r="G27" s="44" t="n">
        <f aca="false">IF(B27&gt;=$B$7,$B$11,0)</f>
        <v>1323132.23757242</v>
      </c>
      <c r="H27" s="44" t="n">
        <f aca="false">G27-F27</f>
        <v>833980.587572417</v>
      </c>
      <c r="I27" s="44" t="n">
        <f aca="false">MAX(0,ROUND(E27+F27-G27,0))</f>
        <v>31776129</v>
      </c>
      <c r="J27" s="29"/>
      <c r="K27" s="26"/>
      <c r="L27" s="45"/>
    </row>
    <row r="28" customFormat="false" ht="15" hidden="false" customHeight="false" outlineLevel="0" collapsed="false">
      <c r="A28" s="25" t="n">
        <v>10</v>
      </c>
      <c r="B28" s="42" t="n">
        <f aca="false">EDATE($B$6,A28)</f>
        <v>46553</v>
      </c>
      <c r="C28" s="43" t="n">
        <f aca="false">DATE(YEAR(B28),MONTH(B28),1)</f>
        <v>46539</v>
      </c>
      <c r="D28" s="25" t="str">
        <f aca="false">IF(A28=0,"Desembolso",IF(B28&lt;$B$7,"Gracia (interés se suma)","Cuota "&amp;(A28-$B$9)))</f>
        <v>Cuota 7</v>
      </c>
      <c r="E28" s="44" t="n">
        <f aca="false">I27</f>
        <v>31776129</v>
      </c>
      <c r="F28" s="44" t="n">
        <f aca="false">E28*$B$4</f>
        <v>476641.935</v>
      </c>
      <c r="G28" s="44" t="n">
        <f aca="false">IF(B28&gt;=$B$7,$B$11,0)</f>
        <v>1323132.23757242</v>
      </c>
      <c r="H28" s="44" t="n">
        <f aca="false">G28-F28</f>
        <v>846490.302572417</v>
      </c>
      <c r="I28" s="44" t="n">
        <f aca="false">MAX(0,ROUND(E28+F28-G28,0))</f>
        <v>30929639</v>
      </c>
      <c r="J28" s="29"/>
      <c r="K28" s="26"/>
      <c r="L28" s="45"/>
    </row>
    <row r="29" customFormat="false" ht="15" hidden="false" customHeight="false" outlineLevel="0" collapsed="false">
      <c r="A29" s="25" t="n">
        <v>11</v>
      </c>
      <c r="B29" s="42" t="n">
        <f aca="false">EDATE($B$6,A29)</f>
        <v>46583</v>
      </c>
      <c r="C29" s="43" t="n">
        <f aca="false">DATE(YEAR(B29),MONTH(B29),1)</f>
        <v>46569</v>
      </c>
      <c r="D29" s="25" t="str">
        <f aca="false">IF(A29=0,"Desembolso",IF(B29&lt;$B$7,"Gracia (interés se suma)","Cuota "&amp;(A29-$B$9)))</f>
        <v>Cuota 8</v>
      </c>
      <c r="E29" s="44" t="n">
        <f aca="false">I28</f>
        <v>30929639</v>
      </c>
      <c r="F29" s="44" t="n">
        <f aca="false">E29*$B$4</f>
        <v>463944.585</v>
      </c>
      <c r="G29" s="44" t="n">
        <f aca="false">IF(B29&gt;=$B$7,$B$11,0)</f>
        <v>1323132.23757242</v>
      </c>
      <c r="H29" s="44" t="n">
        <f aca="false">G29-F29</f>
        <v>859187.652572417</v>
      </c>
      <c r="I29" s="44" t="n">
        <f aca="false">MAX(0,ROUND(E29+F29-G29,0))</f>
        <v>30070451</v>
      </c>
      <c r="J29" s="29"/>
      <c r="K29" s="26"/>
      <c r="L29" s="45"/>
    </row>
    <row r="30" customFormat="false" ht="15" hidden="false" customHeight="false" outlineLevel="0" collapsed="false">
      <c r="A30" s="25" t="n">
        <v>12</v>
      </c>
      <c r="B30" s="42" t="n">
        <f aca="false">EDATE($B$6,A30)</f>
        <v>46614</v>
      </c>
      <c r="C30" s="43" t="n">
        <f aca="false">DATE(YEAR(B30),MONTH(B30),1)</f>
        <v>46600</v>
      </c>
      <c r="D30" s="25" t="str">
        <f aca="false">IF(A30=0,"Desembolso",IF(B30&lt;$B$7,"Gracia (interés se suma)","Cuota "&amp;(A30-$B$9)))</f>
        <v>Cuota 9</v>
      </c>
      <c r="E30" s="44" t="n">
        <f aca="false">I29</f>
        <v>30070451</v>
      </c>
      <c r="F30" s="44" t="n">
        <f aca="false">E30*$B$4</f>
        <v>451056.765</v>
      </c>
      <c r="G30" s="44" t="n">
        <f aca="false">IF(B30&gt;=$B$7,$B$11,0)</f>
        <v>1323132.23757242</v>
      </c>
      <c r="H30" s="44" t="n">
        <f aca="false">G30-F30</f>
        <v>872075.472572417</v>
      </c>
      <c r="I30" s="44" t="n">
        <f aca="false">MAX(0,ROUND(E30+F30-G30,0))</f>
        <v>29198376</v>
      </c>
      <c r="J30" s="29"/>
      <c r="K30" s="26"/>
      <c r="L30" s="45"/>
    </row>
    <row r="31" customFormat="false" ht="15" hidden="false" customHeight="false" outlineLevel="0" collapsed="false">
      <c r="A31" s="25" t="n">
        <v>13</v>
      </c>
      <c r="B31" s="42" t="n">
        <f aca="false">EDATE($B$6,A31)</f>
        <v>46645</v>
      </c>
      <c r="C31" s="43" t="n">
        <f aca="false">DATE(YEAR(B31),MONTH(B31),1)</f>
        <v>46631</v>
      </c>
      <c r="D31" s="25" t="str">
        <f aca="false">IF(A31=0,"Desembolso",IF(B31&lt;$B$7,"Gracia (interés se suma)","Cuota "&amp;(A31-$B$9)))</f>
        <v>Cuota 10</v>
      </c>
      <c r="E31" s="44" t="n">
        <f aca="false">I30</f>
        <v>29198376</v>
      </c>
      <c r="F31" s="44" t="n">
        <f aca="false">E31*$B$4</f>
        <v>437975.64</v>
      </c>
      <c r="G31" s="44" t="n">
        <f aca="false">IF(B31&gt;=$B$7,$B$11,0)</f>
        <v>1323132.23757242</v>
      </c>
      <c r="H31" s="44" t="n">
        <f aca="false">G31-F31</f>
        <v>885156.597572417</v>
      </c>
      <c r="I31" s="44" t="n">
        <f aca="false">MAX(0,ROUND(E31+F31-G31,0))</f>
        <v>28313219</v>
      </c>
      <c r="J31" s="29"/>
      <c r="K31" s="26"/>
      <c r="L31" s="45"/>
    </row>
    <row r="32" customFormat="false" ht="15" hidden="false" customHeight="false" outlineLevel="0" collapsed="false">
      <c r="A32" s="25" t="n">
        <v>14</v>
      </c>
      <c r="B32" s="42" t="n">
        <f aca="false">EDATE($B$6,A32)</f>
        <v>46675</v>
      </c>
      <c r="C32" s="43" t="n">
        <f aca="false">DATE(YEAR(B32),MONTH(B32),1)</f>
        <v>46661</v>
      </c>
      <c r="D32" s="25" t="str">
        <f aca="false">IF(A32=0,"Desembolso",IF(B32&lt;$B$7,"Gracia (interés se suma)","Cuota "&amp;(A32-$B$9)))</f>
        <v>Cuota 11</v>
      </c>
      <c r="E32" s="44" t="n">
        <f aca="false">I31</f>
        <v>28313219</v>
      </c>
      <c r="F32" s="44" t="n">
        <f aca="false">E32*$B$4</f>
        <v>424698.285</v>
      </c>
      <c r="G32" s="44" t="n">
        <f aca="false">IF(B32&gt;=$B$7,$B$11,0)</f>
        <v>1323132.23757242</v>
      </c>
      <c r="H32" s="44" t="n">
        <f aca="false">G32-F32</f>
        <v>898433.952572417</v>
      </c>
      <c r="I32" s="44" t="n">
        <f aca="false">MAX(0,ROUND(E32+F32-G32,0))</f>
        <v>27414785</v>
      </c>
      <c r="J32" s="29"/>
      <c r="K32" s="26"/>
      <c r="L32" s="45"/>
    </row>
    <row r="33" customFormat="false" ht="15" hidden="false" customHeight="false" outlineLevel="0" collapsed="false">
      <c r="A33" s="25" t="n">
        <v>15</v>
      </c>
      <c r="B33" s="42" t="n">
        <f aca="false">EDATE($B$6,A33)</f>
        <v>46706</v>
      </c>
      <c r="C33" s="43" t="n">
        <f aca="false">DATE(YEAR(B33),MONTH(B33),1)</f>
        <v>46692</v>
      </c>
      <c r="D33" s="25" t="str">
        <f aca="false">IF(A33=0,"Desembolso",IF(B33&lt;$B$7,"Gracia (interés se suma)","Cuota "&amp;(A33-$B$9)))</f>
        <v>Cuota 12</v>
      </c>
      <c r="E33" s="44" t="n">
        <f aca="false">I32</f>
        <v>27414785</v>
      </c>
      <c r="F33" s="44" t="n">
        <f aca="false">E33*$B$4</f>
        <v>411221.775</v>
      </c>
      <c r="G33" s="44" t="n">
        <f aca="false">IF(B33&gt;=$B$7,$B$11,0)</f>
        <v>1323132.23757242</v>
      </c>
      <c r="H33" s="44" t="n">
        <f aca="false">G33-F33</f>
        <v>911910.462572417</v>
      </c>
      <c r="I33" s="44" t="n">
        <f aca="false">MAX(0,ROUND(E33+F33-G33,0))</f>
        <v>26502875</v>
      </c>
      <c r="J33" s="29"/>
      <c r="K33" s="26"/>
      <c r="L33" s="45"/>
    </row>
    <row r="34" customFormat="false" ht="15" hidden="false" customHeight="false" outlineLevel="0" collapsed="false">
      <c r="A34" s="25" t="n">
        <v>16</v>
      </c>
      <c r="B34" s="42" t="n">
        <f aca="false">EDATE($B$6,A34)</f>
        <v>46736</v>
      </c>
      <c r="C34" s="43" t="n">
        <f aca="false">DATE(YEAR(B34),MONTH(B34),1)</f>
        <v>46722</v>
      </c>
      <c r="D34" s="25" t="str">
        <f aca="false">IF(A34=0,"Desembolso",IF(B34&lt;$B$7,"Gracia (interés se suma)","Cuota "&amp;(A34-$B$9)))</f>
        <v>Cuota 13</v>
      </c>
      <c r="E34" s="44" t="n">
        <f aca="false">I33</f>
        <v>26502875</v>
      </c>
      <c r="F34" s="44" t="n">
        <f aca="false">E34*$B$4</f>
        <v>397543.125</v>
      </c>
      <c r="G34" s="44" t="n">
        <f aca="false">IF(B34&gt;=$B$7,$B$11,0)</f>
        <v>1323132.23757242</v>
      </c>
      <c r="H34" s="44" t="n">
        <f aca="false">G34-F34</f>
        <v>925589.112572417</v>
      </c>
      <c r="I34" s="44" t="n">
        <f aca="false">MAX(0,ROUND(E34+F34-G34,0))</f>
        <v>25577286</v>
      </c>
      <c r="J34" s="29"/>
      <c r="K34" s="26"/>
      <c r="L34" s="45"/>
    </row>
    <row r="35" customFormat="false" ht="15" hidden="false" customHeight="false" outlineLevel="0" collapsed="false">
      <c r="A35" s="25" t="n">
        <v>17</v>
      </c>
      <c r="B35" s="42" t="n">
        <f aca="false">EDATE($B$6,A35)</f>
        <v>46767</v>
      </c>
      <c r="C35" s="43" t="n">
        <f aca="false">DATE(YEAR(B35),MONTH(B35),1)</f>
        <v>46753</v>
      </c>
      <c r="D35" s="25" t="str">
        <f aca="false">IF(A35=0,"Desembolso",IF(B35&lt;$B$7,"Gracia (interés se suma)","Cuota "&amp;(A35-$B$9)))</f>
        <v>Cuota 14</v>
      </c>
      <c r="E35" s="44" t="n">
        <f aca="false">I34</f>
        <v>25577286</v>
      </c>
      <c r="F35" s="44" t="n">
        <f aca="false">E35*$B$4</f>
        <v>383659.29</v>
      </c>
      <c r="G35" s="44" t="n">
        <f aca="false">IF(B35&gt;=$B$7,$B$11,0)</f>
        <v>1323132.23757242</v>
      </c>
      <c r="H35" s="44" t="n">
        <f aca="false">G35-F35</f>
        <v>939472.947572417</v>
      </c>
      <c r="I35" s="44" t="n">
        <f aca="false">MAX(0,ROUND(E35+F35-G35,0))</f>
        <v>24637813</v>
      </c>
      <c r="J35" s="29"/>
      <c r="K35" s="26"/>
      <c r="L35" s="45"/>
    </row>
    <row r="36" customFormat="false" ht="15" hidden="false" customHeight="false" outlineLevel="0" collapsed="false">
      <c r="A36" s="25" t="n">
        <v>18</v>
      </c>
      <c r="B36" s="42" t="n">
        <f aca="false">EDATE($B$6,A36)</f>
        <v>46798</v>
      </c>
      <c r="C36" s="43" t="n">
        <f aca="false">DATE(YEAR(B36),MONTH(B36),1)</f>
        <v>46784</v>
      </c>
      <c r="D36" s="25" t="str">
        <f aca="false">IF(A36=0,"Desembolso",IF(B36&lt;$B$7,"Gracia (interés se suma)","Cuota "&amp;(A36-$B$9)))</f>
        <v>Cuota 15</v>
      </c>
      <c r="E36" s="44" t="n">
        <f aca="false">I35</f>
        <v>24637813</v>
      </c>
      <c r="F36" s="44" t="n">
        <f aca="false">E36*$B$4</f>
        <v>369567.195</v>
      </c>
      <c r="G36" s="44" t="n">
        <f aca="false">IF(B36&gt;=$B$7,$B$11,0)</f>
        <v>1323132.23757242</v>
      </c>
      <c r="H36" s="44" t="n">
        <f aca="false">G36-F36</f>
        <v>953565.042572417</v>
      </c>
      <c r="I36" s="44" t="n">
        <f aca="false">MAX(0,ROUND(E36+F36-G36,0))</f>
        <v>23684248</v>
      </c>
      <c r="J36" s="29"/>
      <c r="K36" s="26"/>
      <c r="L36" s="45"/>
    </row>
    <row r="37" customFormat="false" ht="15" hidden="false" customHeight="false" outlineLevel="0" collapsed="false">
      <c r="A37" s="25" t="n">
        <v>19</v>
      </c>
      <c r="B37" s="42" t="n">
        <f aca="false">EDATE($B$6,A37)</f>
        <v>46827</v>
      </c>
      <c r="C37" s="43" t="n">
        <f aca="false">DATE(YEAR(B37),MONTH(B37),1)</f>
        <v>46813</v>
      </c>
      <c r="D37" s="25" t="str">
        <f aca="false">IF(A37=0,"Desembolso",IF(B37&lt;$B$7,"Gracia (interés se suma)","Cuota "&amp;(A37-$B$9)))</f>
        <v>Cuota 16</v>
      </c>
      <c r="E37" s="44" t="n">
        <f aca="false">I36</f>
        <v>23684248</v>
      </c>
      <c r="F37" s="44" t="n">
        <f aca="false">E37*$B$4</f>
        <v>355263.72</v>
      </c>
      <c r="G37" s="44" t="n">
        <f aca="false">IF(B37&gt;=$B$7,$B$11,0)</f>
        <v>1323132.23757242</v>
      </c>
      <c r="H37" s="44" t="n">
        <f aca="false">G37-F37</f>
        <v>967868.517572417</v>
      </c>
      <c r="I37" s="44" t="n">
        <f aca="false">MAX(0,ROUND(E37+F37-G37,0))</f>
        <v>22716379</v>
      </c>
      <c r="J37" s="29"/>
      <c r="K37" s="26"/>
      <c r="L37" s="45"/>
    </row>
    <row r="38" customFormat="false" ht="15" hidden="false" customHeight="false" outlineLevel="0" collapsed="false">
      <c r="A38" s="25" t="n">
        <v>20</v>
      </c>
      <c r="B38" s="42" t="n">
        <f aca="false">EDATE($B$6,A38)</f>
        <v>46858</v>
      </c>
      <c r="C38" s="43" t="n">
        <f aca="false">DATE(YEAR(B38),MONTH(B38),1)</f>
        <v>46844</v>
      </c>
      <c r="D38" s="25" t="str">
        <f aca="false">IF(A38=0,"Desembolso",IF(B38&lt;$B$7,"Gracia (interés se suma)","Cuota "&amp;(A38-$B$9)))</f>
        <v>Cuota 17</v>
      </c>
      <c r="E38" s="44" t="n">
        <f aca="false">I37</f>
        <v>22716379</v>
      </c>
      <c r="F38" s="44" t="n">
        <f aca="false">E38*$B$4</f>
        <v>340745.685</v>
      </c>
      <c r="G38" s="44" t="n">
        <f aca="false">IF(B38&gt;=$B$7,$B$11,0)</f>
        <v>1323132.23757242</v>
      </c>
      <c r="H38" s="44" t="n">
        <f aca="false">G38-F38</f>
        <v>982386.552572417</v>
      </c>
      <c r="I38" s="44" t="n">
        <f aca="false">MAX(0,ROUND(E38+F38-G38,0))</f>
        <v>21733992</v>
      </c>
      <c r="J38" s="29"/>
      <c r="K38" s="26"/>
      <c r="L38" s="45"/>
    </row>
    <row r="39" customFormat="false" ht="15" hidden="false" customHeight="false" outlineLevel="0" collapsed="false">
      <c r="A39" s="25" t="n">
        <v>21</v>
      </c>
      <c r="B39" s="42" t="n">
        <f aca="false">EDATE($B$6,A39)</f>
        <v>46888</v>
      </c>
      <c r="C39" s="43" t="n">
        <f aca="false">DATE(YEAR(B39),MONTH(B39),1)</f>
        <v>46874</v>
      </c>
      <c r="D39" s="25" t="str">
        <f aca="false">IF(A39=0,"Desembolso",IF(B39&lt;$B$7,"Gracia (interés se suma)","Cuota "&amp;(A39-$B$9)))</f>
        <v>Cuota 18</v>
      </c>
      <c r="E39" s="44" t="n">
        <f aca="false">I38</f>
        <v>21733992</v>
      </c>
      <c r="F39" s="44" t="n">
        <f aca="false">E39*$B$4</f>
        <v>326009.88</v>
      </c>
      <c r="G39" s="44" t="n">
        <f aca="false">IF(B39&gt;=$B$7,$B$11,0)</f>
        <v>1323132.23757242</v>
      </c>
      <c r="H39" s="44" t="n">
        <f aca="false">G39-F39</f>
        <v>997122.357572417</v>
      </c>
      <c r="I39" s="44" t="n">
        <f aca="false">MAX(0,ROUND(E39+F39-G39,0))</f>
        <v>20736870</v>
      </c>
      <c r="J39" s="29"/>
      <c r="K39" s="26"/>
      <c r="L39" s="45"/>
    </row>
    <row r="40" customFormat="false" ht="15" hidden="false" customHeight="false" outlineLevel="0" collapsed="false">
      <c r="A40" s="25" t="n">
        <v>22</v>
      </c>
      <c r="B40" s="42" t="n">
        <f aca="false">EDATE($B$6,A40)</f>
        <v>46919</v>
      </c>
      <c r="C40" s="43" t="n">
        <f aca="false">DATE(YEAR(B40),MONTH(B40),1)</f>
        <v>46905</v>
      </c>
      <c r="D40" s="25" t="str">
        <f aca="false">IF(A40=0,"Desembolso",IF(B40&lt;$B$7,"Gracia (interés se suma)","Cuota "&amp;(A40-$B$9)))</f>
        <v>Cuota 19</v>
      </c>
      <c r="E40" s="44" t="n">
        <f aca="false">I39</f>
        <v>20736870</v>
      </c>
      <c r="F40" s="44" t="n">
        <f aca="false">E40*$B$4</f>
        <v>311053.05</v>
      </c>
      <c r="G40" s="44" t="n">
        <f aca="false">IF(B40&gt;=$B$7,$B$11,0)</f>
        <v>1323132.23757242</v>
      </c>
      <c r="H40" s="44" t="n">
        <f aca="false">G40-F40</f>
        <v>1012079.18757242</v>
      </c>
      <c r="I40" s="44" t="n">
        <f aca="false">MAX(0,ROUND(E40+F40-G40,0))</f>
        <v>19724791</v>
      </c>
      <c r="J40" s="29"/>
      <c r="K40" s="26"/>
      <c r="L40" s="45"/>
    </row>
    <row r="41" customFormat="false" ht="15" hidden="false" customHeight="false" outlineLevel="0" collapsed="false">
      <c r="A41" s="25" t="n">
        <v>23</v>
      </c>
      <c r="B41" s="42" t="n">
        <f aca="false">EDATE($B$6,A41)</f>
        <v>46949</v>
      </c>
      <c r="C41" s="43" t="n">
        <f aca="false">DATE(YEAR(B41),MONTH(B41),1)</f>
        <v>46935</v>
      </c>
      <c r="D41" s="25" t="str">
        <f aca="false">IF(A41=0,"Desembolso",IF(B41&lt;$B$7,"Gracia (interés se suma)","Cuota "&amp;(A41-$B$9)))</f>
        <v>Cuota 20</v>
      </c>
      <c r="E41" s="44" t="n">
        <f aca="false">I40</f>
        <v>19724791</v>
      </c>
      <c r="F41" s="44" t="n">
        <f aca="false">E41*$B$4</f>
        <v>295871.865</v>
      </c>
      <c r="G41" s="44" t="n">
        <f aca="false">IF(B41&gt;=$B$7,$B$11,0)</f>
        <v>1323132.23757242</v>
      </c>
      <c r="H41" s="44" t="n">
        <f aca="false">G41-F41</f>
        <v>1027260.37257242</v>
      </c>
      <c r="I41" s="44" t="n">
        <f aca="false">MAX(0,ROUND(E41+F41-G41,0))</f>
        <v>18697531</v>
      </c>
      <c r="J41" s="29"/>
      <c r="K41" s="26"/>
      <c r="L41" s="45"/>
    </row>
    <row r="42" customFormat="false" ht="15" hidden="false" customHeight="false" outlineLevel="0" collapsed="false">
      <c r="A42" s="25" t="n">
        <v>24</v>
      </c>
      <c r="B42" s="42" t="n">
        <f aca="false">EDATE($B$6,A42)</f>
        <v>46980</v>
      </c>
      <c r="C42" s="43" t="n">
        <f aca="false">DATE(YEAR(B42),MONTH(B42),1)</f>
        <v>46966</v>
      </c>
      <c r="D42" s="25" t="str">
        <f aca="false">IF(A42=0,"Desembolso",IF(B42&lt;$B$7,"Gracia (interés se suma)","Cuota "&amp;(A42-$B$9)))</f>
        <v>Cuota 21</v>
      </c>
      <c r="E42" s="44" t="n">
        <f aca="false">I41</f>
        <v>18697531</v>
      </c>
      <c r="F42" s="44" t="n">
        <f aca="false">E42*$B$4</f>
        <v>280462.965</v>
      </c>
      <c r="G42" s="44" t="n">
        <f aca="false">IF(B42&gt;=$B$7,$B$11,0)</f>
        <v>1323132.23757242</v>
      </c>
      <c r="H42" s="44" t="n">
        <f aca="false">G42-F42</f>
        <v>1042669.27257242</v>
      </c>
      <c r="I42" s="44" t="n">
        <f aca="false">MAX(0,ROUND(E42+F42-G42,0))</f>
        <v>17654862</v>
      </c>
      <c r="J42" s="29"/>
      <c r="K42" s="26"/>
      <c r="L42" s="45"/>
    </row>
    <row r="43" customFormat="false" ht="15" hidden="false" customHeight="false" outlineLevel="0" collapsed="false">
      <c r="A43" s="25" t="n">
        <v>25</v>
      </c>
      <c r="B43" s="42" t="n">
        <f aca="false">EDATE($B$6,A43)</f>
        <v>47011</v>
      </c>
      <c r="C43" s="43" t="n">
        <f aca="false">DATE(YEAR(B43),MONTH(B43),1)</f>
        <v>46997</v>
      </c>
      <c r="D43" s="25" t="str">
        <f aca="false">IF(A43=0,"Desembolso",IF(B43&lt;$B$7,"Gracia (interés se suma)","Cuota "&amp;(A43-$B$9)))</f>
        <v>Cuota 22</v>
      </c>
      <c r="E43" s="44" t="n">
        <f aca="false">I42</f>
        <v>17654862</v>
      </c>
      <c r="F43" s="44" t="n">
        <f aca="false">E43*$B$4</f>
        <v>264822.93</v>
      </c>
      <c r="G43" s="44" t="n">
        <f aca="false">IF(B43&gt;=$B$7,$B$11,0)</f>
        <v>1323132.23757242</v>
      </c>
      <c r="H43" s="44" t="n">
        <f aca="false">G43-F43</f>
        <v>1058309.30757242</v>
      </c>
      <c r="I43" s="44" t="n">
        <f aca="false">MAX(0,ROUND(E43+F43-G43,0))</f>
        <v>16596553</v>
      </c>
      <c r="J43" s="29"/>
      <c r="K43" s="26"/>
      <c r="L43" s="45"/>
    </row>
    <row r="44" customFormat="false" ht="15" hidden="false" customHeight="false" outlineLevel="0" collapsed="false">
      <c r="A44" s="25" t="n">
        <v>26</v>
      </c>
      <c r="B44" s="42" t="n">
        <f aca="false">EDATE($B$6,A44)</f>
        <v>47041</v>
      </c>
      <c r="C44" s="43" t="n">
        <f aca="false">DATE(YEAR(B44),MONTH(B44),1)</f>
        <v>47027</v>
      </c>
      <c r="D44" s="25" t="str">
        <f aca="false">IF(A44=0,"Desembolso",IF(B44&lt;$B$7,"Gracia (interés se suma)","Cuota "&amp;(A44-$B$9)))</f>
        <v>Cuota 23</v>
      </c>
      <c r="E44" s="44" t="n">
        <f aca="false">I43</f>
        <v>16596553</v>
      </c>
      <c r="F44" s="44" t="n">
        <f aca="false">E44*$B$4</f>
        <v>248948.295</v>
      </c>
      <c r="G44" s="44" t="n">
        <f aca="false">IF(B44&gt;=$B$7,$B$11,0)</f>
        <v>1323132.23757242</v>
      </c>
      <c r="H44" s="44" t="n">
        <f aca="false">G44-F44</f>
        <v>1074183.94257242</v>
      </c>
      <c r="I44" s="44" t="n">
        <f aca="false">MAX(0,ROUND(E44+F44-G44,0))</f>
        <v>15522369</v>
      </c>
      <c r="J44" s="29"/>
      <c r="K44" s="26"/>
      <c r="L44" s="45"/>
    </row>
    <row r="45" customFormat="false" ht="15" hidden="false" customHeight="false" outlineLevel="0" collapsed="false">
      <c r="A45" s="25" t="n">
        <v>27</v>
      </c>
      <c r="B45" s="42" t="n">
        <f aca="false">EDATE($B$6,A45)</f>
        <v>47072</v>
      </c>
      <c r="C45" s="43" t="n">
        <f aca="false">DATE(YEAR(B45),MONTH(B45),1)</f>
        <v>47058</v>
      </c>
      <c r="D45" s="25" t="str">
        <f aca="false">IF(A45=0,"Desembolso",IF(B45&lt;$B$7,"Gracia (interés se suma)","Cuota "&amp;(A45-$B$9)))</f>
        <v>Cuota 24</v>
      </c>
      <c r="E45" s="44" t="n">
        <f aca="false">I44</f>
        <v>15522369</v>
      </c>
      <c r="F45" s="44" t="n">
        <f aca="false">E45*$B$4</f>
        <v>232835.535</v>
      </c>
      <c r="G45" s="44" t="n">
        <f aca="false">IF(B45&gt;=$B$7,$B$11,0)</f>
        <v>1323132.23757242</v>
      </c>
      <c r="H45" s="44" t="n">
        <f aca="false">G45-F45</f>
        <v>1090296.70257242</v>
      </c>
      <c r="I45" s="44" t="n">
        <f aca="false">MAX(0,ROUND(E45+F45-G45,0))</f>
        <v>14432072</v>
      </c>
      <c r="J45" s="29"/>
      <c r="K45" s="26"/>
      <c r="L45" s="45"/>
    </row>
    <row r="46" customFormat="false" ht="15" hidden="false" customHeight="false" outlineLevel="0" collapsed="false">
      <c r="A46" s="25" t="n">
        <v>28</v>
      </c>
      <c r="B46" s="42" t="n">
        <f aca="false">EDATE($B$6,A46)</f>
        <v>47102</v>
      </c>
      <c r="C46" s="43" t="n">
        <f aca="false">DATE(YEAR(B46),MONTH(B46),1)</f>
        <v>47088</v>
      </c>
      <c r="D46" s="25" t="str">
        <f aca="false">IF(A46=0,"Desembolso",IF(B46&lt;$B$7,"Gracia (interés se suma)","Cuota "&amp;(A46-$B$9)))</f>
        <v>Cuota 25</v>
      </c>
      <c r="E46" s="44" t="n">
        <f aca="false">I45</f>
        <v>14432072</v>
      </c>
      <c r="F46" s="44" t="n">
        <f aca="false">E46*$B$4</f>
        <v>216481.08</v>
      </c>
      <c r="G46" s="44" t="n">
        <f aca="false">IF(B46&gt;=$B$7,$B$11,0)</f>
        <v>1323132.23757242</v>
      </c>
      <c r="H46" s="44" t="n">
        <f aca="false">G46-F46</f>
        <v>1106651.15757242</v>
      </c>
      <c r="I46" s="44" t="n">
        <f aca="false">MAX(0,ROUND(E46+F46-G46,0))</f>
        <v>13325421</v>
      </c>
      <c r="J46" s="29"/>
      <c r="K46" s="26"/>
      <c r="L46" s="45"/>
    </row>
    <row r="47" customFormat="false" ht="15" hidden="false" customHeight="false" outlineLevel="0" collapsed="false">
      <c r="A47" s="25" t="n">
        <v>29</v>
      </c>
      <c r="B47" s="42" t="n">
        <f aca="false">EDATE($B$6,A47)</f>
        <v>47133</v>
      </c>
      <c r="C47" s="43" t="n">
        <f aca="false">DATE(YEAR(B47),MONTH(B47),1)</f>
        <v>47119</v>
      </c>
      <c r="D47" s="25" t="str">
        <f aca="false">IF(A47=0,"Desembolso",IF(B47&lt;$B$7,"Gracia (interés se suma)","Cuota "&amp;(A47-$B$9)))</f>
        <v>Cuota 26</v>
      </c>
      <c r="E47" s="44" t="n">
        <f aca="false">I46</f>
        <v>13325421</v>
      </c>
      <c r="F47" s="44" t="n">
        <f aca="false">E47*$B$4</f>
        <v>199881.315</v>
      </c>
      <c r="G47" s="44" t="n">
        <f aca="false">IF(B47&gt;=$B$7,$B$11,0)</f>
        <v>1323132.23757242</v>
      </c>
      <c r="H47" s="44" t="n">
        <f aca="false">G47-F47</f>
        <v>1123250.92257242</v>
      </c>
      <c r="I47" s="44" t="n">
        <f aca="false">MAX(0,ROUND(E47+F47-G47,0))</f>
        <v>12202170</v>
      </c>
      <c r="J47" s="29"/>
      <c r="K47" s="26"/>
      <c r="L47" s="45"/>
    </row>
    <row r="48" customFormat="false" ht="15" hidden="false" customHeight="false" outlineLevel="0" collapsed="false">
      <c r="A48" s="25" t="n">
        <v>30</v>
      </c>
      <c r="B48" s="42" t="n">
        <f aca="false">EDATE($B$6,A48)</f>
        <v>47164</v>
      </c>
      <c r="C48" s="43" t="n">
        <f aca="false">DATE(YEAR(B48),MONTH(B48),1)</f>
        <v>47150</v>
      </c>
      <c r="D48" s="25" t="str">
        <f aca="false">IF(A48=0,"Desembolso",IF(B48&lt;$B$7,"Gracia (interés se suma)","Cuota "&amp;(A48-$B$9)))</f>
        <v>Cuota 27</v>
      </c>
      <c r="E48" s="44" t="n">
        <f aca="false">I47</f>
        <v>12202170</v>
      </c>
      <c r="F48" s="44" t="n">
        <f aca="false">E48*$B$4</f>
        <v>183032.55</v>
      </c>
      <c r="G48" s="44" t="n">
        <f aca="false">IF(B48&gt;=$B$7,$B$11,0)</f>
        <v>1323132.23757242</v>
      </c>
      <c r="H48" s="44" t="n">
        <f aca="false">G48-F48</f>
        <v>1140099.68757242</v>
      </c>
      <c r="I48" s="44" t="n">
        <f aca="false">MAX(0,ROUND(E48+F48-G48,0))</f>
        <v>11062070</v>
      </c>
      <c r="J48" s="29"/>
      <c r="K48" s="26"/>
      <c r="L48" s="45"/>
    </row>
    <row r="49" customFormat="false" ht="15" hidden="false" customHeight="false" outlineLevel="0" collapsed="false">
      <c r="A49" s="25" t="n">
        <v>31</v>
      </c>
      <c r="B49" s="42" t="n">
        <f aca="false">EDATE($B$6,A49)</f>
        <v>47192</v>
      </c>
      <c r="C49" s="43" t="n">
        <f aca="false">DATE(YEAR(B49),MONTH(B49),1)</f>
        <v>47178</v>
      </c>
      <c r="D49" s="25" t="str">
        <f aca="false">IF(A49=0,"Desembolso",IF(B49&lt;$B$7,"Gracia (interés se suma)","Cuota "&amp;(A49-$B$9)))</f>
        <v>Cuota 28</v>
      </c>
      <c r="E49" s="44" t="n">
        <f aca="false">I48</f>
        <v>11062070</v>
      </c>
      <c r="F49" s="44" t="n">
        <f aca="false">E49*$B$4</f>
        <v>165931.05</v>
      </c>
      <c r="G49" s="44" t="n">
        <f aca="false">IF(B49&gt;=$B$7,$B$11,0)</f>
        <v>1323132.23757242</v>
      </c>
      <c r="H49" s="44" t="n">
        <f aca="false">G49-F49</f>
        <v>1157201.18757242</v>
      </c>
      <c r="I49" s="44" t="n">
        <f aca="false">MAX(0,ROUND(E49+F49-G49,0))</f>
        <v>9904869</v>
      </c>
      <c r="J49" s="29"/>
      <c r="K49" s="26"/>
      <c r="L49" s="45"/>
    </row>
    <row r="50" customFormat="false" ht="15" hidden="false" customHeight="false" outlineLevel="0" collapsed="false">
      <c r="A50" s="25" t="n">
        <v>32</v>
      </c>
      <c r="B50" s="42" t="n">
        <f aca="false">EDATE($B$6,A50)</f>
        <v>47223</v>
      </c>
      <c r="C50" s="43" t="n">
        <f aca="false">DATE(YEAR(B50),MONTH(B50),1)</f>
        <v>47209</v>
      </c>
      <c r="D50" s="25" t="str">
        <f aca="false">IF(A50=0,"Desembolso",IF(B50&lt;$B$7,"Gracia (interés se suma)","Cuota "&amp;(A50-$B$9)))</f>
        <v>Cuota 29</v>
      </c>
      <c r="E50" s="44" t="n">
        <f aca="false">I49</f>
        <v>9904869</v>
      </c>
      <c r="F50" s="44" t="n">
        <f aca="false">E50*$B$4</f>
        <v>148573.035</v>
      </c>
      <c r="G50" s="44" t="n">
        <f aca="false">IF(B50&gt;=$B$7,$B$11,0)</f>
        <v>1323132.23757242</v>
      </c>
      <c r="H50" s="44" t="n">
        <f aca="false">G50-F50</f>
        <v>1174559.20257242</v>
      </c>
      <c r="I50" s="44" t="n">
        <f aca="false">MAX(0,ROUND(E50+F50-G50,0))</f>
        <v>8730310</v>
      </c>
      <c r="J50" s="29"/>
      <c r="K50" s="26"/>
      <c r="L50" s="45"/>
    </row>
    <row r="51" customFormat="false" ht="15" hidden="false" customHeight="false" outlineLevel="0" collapsed="false">
      <c r="A51" s="25" t="n">
        <v>33</v>
      </c>
      <c r="B51" s="42" t="n">
        <f aca="false">EDATE($B$6,A51)</f>
        <v>47253</v>
      </c>
      <c r="C51" s="43" t="n">
        <f aca="false">DATE(YEAR(B51),MONTH(B51),1)</f>
        <v>47239</v>
      </c>
      <c r="D51" s="25" t="str">
        <f aca="false">IF(A51=0,"Desembolso",IF(B51&lt;$B$7,"Gracia (interés se suma)","Cuota "&amp;(A51-$B$9)))</f>
        <v>Cuota 30</v>
      </c>
      <c r="E51" s="44" t="n">
        <f aca="false">I50</f>
        <v>8730310</v>
      </c>
      <c r="F51" s="44" t="n">
        <f aca="false">E51*$B$4</f>
        <v>130954.65</v>
      </c>
      <c r="G51" s="44" t="n">
        <f aca="false">IF(B51&gt;=$B$7,$B$11,0)</f>
        <v>1323132.23757242</v>
      </c>
      <c r="H51" s="44" t="n">
        <f aca="false">G51-F51</f>
        <v>1192177.58757242</v>
      </c>
      <c r="I51" s="44" t="n">
        <f aca="false">MAX(0,ROUND(E51+F51-G51,0))</f>
        <v>7538132</v>
      </c>
      <c r="J51" s="29"/>
      <c r="K51" s="26"/>
      <c r="L51" s="45"/>
    </row>
    <row r="52" customFormat="false" ht="15" hidden="false" customHeight="false" outlineLevel="0" collapsed="false">
      <c r="A52" s="25" t="n">
        <v>34</v>
      </c>
      <c r="B52" s="42" t="n">
        <f aca="false">EDATE($B$6,A52)</f>
        <v>47284</v>
      </c>
      <c r="C52" s="43" t="n">
        <f aca="false">DATE(YEAR(B52),MONTH(B52),1)</f>
        <v>47270</v>
      </c>
      <c r="D52" s="25" t="str">
        <f aca="false">IF(A52=0,"Desembolso",IF(B52&lt;$B$7,"Gracia (interés se suma)","Cuota "&amp;(A52-$B$9)))</f>
        <v>Cuota 31</v>
      </c>
      <c r="E52" s="44" t="n">
        <f aca="false">I51</f>
        <v>7538132</v>
      </c>
      <c r="F52" s="44" t="n">
        <f aca="false">E52*$B$4</f>
        <v>113071.98</v>
      </c>
      <c r="G52" s="44" t="n">
        <f aca="false">IF(B52&gt;=$B$7,$B$11,0)</f>
        <v>1323132.23757242</v>
      </c>
      <c r="H52" s="44" t="n">
        <f aca="false">G52-F52</f>
        <v>1210060.25757242</v>
      </c>
      <c r="I52" s="44" t="n">
        <f aca="false">MAX(0,ROUND(E52+F52-G52,0))</f>
        <v>6328072</v>
      </c>
      <c r="J52" s="29"/>
      <c r="K52" s="26"/>
      <c r="L52" s="45"/>
    </row>
    <row r="53" customFormat="false" ht="15" hidden="false" customHeight="false" outlineLevel="0" collapsed="false">
      <c r="A53" s="25" t="n">
        <v>35</v>
      </c>
      <c r="B53" s="42" t="n">
        <f aca="false">EDATE($B$6,A53)</f>
        <v>47314</v>
      </c>
      <c r="C53" s="43" t="n">
        <f aca="false">DATE(YEAR(B53),MONTH(B53),1)</f>
        <v>47300</v>
      </c>
      <c r="D53" s="25" t="str">
        <f aca="false">IF(A53=0,"Desembolso",IF(B53&lt;$B$7,"Gracia (interés se suma)","Cuota "&amp;(A53-$B$9)))</f>
        <v>Cuota 32</v>
      </c>
      <c r="E53" s="44" t="n">
        <f aca="false">I52</f>
        <v>6328072</v>
      </c>
      <c r="F53" s="44" t="n">
        <f aca="false">E53*$B$4</f>
        <v>94921.08</v>
      </c>
      <c r="G53" s="44" t="n">
        <f aca="false">IF(B53&gt;=$B$7,$B$11,0)</f>
        <v>1323132.23757242</v>
      </c>
      <c r="H53" s="44" t="n">
        <f aca="false">G53-F53</f>
        <v>1228211.15757242</v>
      </c>
      <c r="I53" s="44" t="n">
        <f aca="false">MAX(0,ROUND(E53+F53-G53,0))</f>
        <v>5099861</v>
      </c>
      <c r="J53" s="29"/>
      <c r="K53" s="26"/>
      <c r="L53" s="45"/>
    </row>
    <row r="54" customFormat="false" ht="15" hidden="false" customHeight="false" outlineLevel="0" collapsed="false">
      <c r="A54" s="25" t="n">
        <v>36</v>
      </c>
      <c r="B54" s="42" t="n">
        <f aca="false">EDATE($B$6,A54)</f>
        <v>47345</v>
      </c>
      <c r="C54" s="43" t="n">
        <f aca="false">DATE(YEAR(B54),MONTH(B54),1)</f>
        <v>47331</v>
      </c>
      <c r="D54" s="25" t="str">
        <f aca="false">IF(A54=0,"Desembolso",IF(B54&lt;$B$7,"Gracia (interés se suma)","Cuota "&amp;(A54-$B$9)))</f>
        <v>Cuota 33</v>
      </c>
      <c r="E54" s="44" t="n">
        <f aca="false">I53</f>
        <v>5099861</v>
      </c>
      <c r="F54" s="44" t="n">
        <f aca="false">E54*$B$4</f>
        <v>76497.915</v>
      </c>
      <c r="G54" s="44" t="n">
        <f aca="false">IF(B54&gt;=$B$7,$B$11,0)</f>
        <v>1323132.23757242</v>
      </c>
      <c r="H54" s="44" t="n">
        <f aca="false">G54-F54</f>
        <v>1246634.32257242</v>
      </c>
      <c r="I54" s="44" t="n">
        <f aca="false">MAX(0,ROUND(E54+F54-G54,0))</f>
        <v>3853227</v>
      </c>
      <c r="J54" s="29"/>
      <c r="K54" s="26"/>
      <c r="L54" s="45"/>
    </row>
    <row r="55" customFormat="false" ht="15" hidden="false" customHeight="false" outlineLevel="0" collapsed="false">
      <c r="A55" s="25" t="n">
        <v>37</v>
      </c>
      <c r="B55" s="42" t="n">
        <f aca="false">EDATE($B$6,A55)</f>
        <v>47376</v>
      </c>
      <c r="C55" s="43" t="n">
        <f aca="false">DATE(YEAR(B55),MONTH(B55),1)</f>
        <v>47362</v>
      </c>
      <c r="D55" s="25" t="str">
        <f aca="false">IF(A55=0,"Desembolso",IF(B55&lt;$B$7,"Gracia (interés se suma)","Cuota "&amp;(A55-$B$9)))</f>
        <v>Cuota 34</v>
      </c>
      <c r="E55" s="44" t="n">
        <f aca="false">I54</f>
        <v>3853227</v>
      </c>
      <c r="F55" s="44" t="n">
        <f aca="false">E55*$B$4</f>
        <v>57798.405</v>
      </c>
      <c r="G55" s="44" t="n">
        <f aca="false">IF(B55&gt;=$B$7,$B$11,0)</f>
        <v>1323132.23757242</v>
      </c>
      <c r="H55" s="44" t="n">
        <f aca="false">G55-F55</f>
        <v>1265333.83257242</v>
      </c>
      <c r="I55" s="44" t="n">
        <f aca="false">MAX(0,ROUND(E55+F55-G55,0))</f>
        <v>2587893</v>
      </c>
      <c r="J55" s="29"/>
      <c r="K55" s="26"/>
      <c r="L55" s="45"/>
    </row>
    <row r="56" customFormat="false" ht="15" hidden="false" customHeight="false" outlineLevel="0" collapsed="false">
      <c r="A56" s="25" t="n">
        <v>38</v>
      </c>
      <c r="B56" s="42" t="n">
        <f aca="false">EDATE($B$6,A56)</f>
        <v>47406</v>
      </c>
      <c r="C56" s="43" t="n">
        <f aca="false">DATE(YEAR(B56),MONTH(B56),1)</f>
        <v>47392</v>
      </c>
      <c r="D56" s="25" t="str">
        <f aca="false">IF(A56=0,"Desembolso",IF(B56&lt;$B$7,"Gracia (interés se suma)","Cuota "&amp;(A56-$B$9)))</f>
        <v>Cuota 35</v>
      </c>
      <c r="E56" s="44" t="n">
        <f aca="false">I55</f>
        <v>2587893</v>
      </c>
      <c r="F56" s="44" t="n">
        <f aca="false">E56*$B$4</f>
        <v>38818.395</v>
      </c>
      <c r="G56" s="44" t="n">
        <f aca="false">IF(B56&gt;=$B$7,$B$11,0)</f>
        <v>1323132.23757242</v>
      </c>
      <c r="H56" s="44" t="n">
        <f aca="false">G56-F56</f>
        <v>1284313.84257242</v>
      </c>
      <c r="I56" s="44" t="n">
        <f aca="false">MAX(0,ROUND(E56+F56-G56,0))</f>
        <v>1303579</v>
      </c>
      <c r="J56" s="29"/>
      <c r="K56" s="26"/>
      <c r="L56" s="45"/>
    </row>
    <row r="57" customFormat="false" ht="15" hidden="false" customHeight="false" outlineLevel="0" collapsed="false">
      <c r="A57" s="25" t="n">
        <v>39</v>
      </c>
      <c r="B57" s="42" t="n">
        <f aca="false">EDATE($B$6,A57)</f>
        <v>47437</v>
      </c>
      <c r="C57" s="43" t="n">
        <f aca="false">DATE(YEAR(B57),MONTH(B57),1)</f>
        <v>47423</v>
      </c>
      <c r="D57" s="25" t="str">
        <f aca="false">IF(A57=0,"Desembolso",IF(B57&lt;$B$7,"Gracia (interés se suma)","Cuota "&amp;(A57-$B$9)))</f>
        <v>Cuota 36</v>
      </c>
      <c r="E57" s="44" t="n">
        <f aca="false">I56</f>
        <v>1303579</v>
      </c>
      <c r="F57" s="44" t="n">
        <f aca="false">E57*$B$4</f>
        <v>19553.685</v>
      </c>
      <c r="G57" s="44" t="n">
        <f aca="false">IF(B57&gt;=$B$7,$B$11,0)</f>
        <v>1323132.23757242</v>
      </c>
      <c r="H57" s="44" t="n">
        <f aca="false">G57-F57</f>
        <v>1303578.55257242</v>
      </c>
      <c r="I57" s="44" t="n">
        <f aca="false">MAX(0,ROUND(E57+F57-G57,0))</f>
        <v>0</v>
      </c>
      <c r="J57" s="29"/>
      <c r="K57" s="26"/>
      <c r="L57" s="45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4" min="3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14"/>
    <col collapsed="false" customWidth="true" hidden="false" outlineLevel="0" max="10" min="10" style="0" width="13"/>
    <col collapsed="false" customWidth="true" hidden="false" outlineLevel="0" max="14" min="11" style="0" width="14"/>
    <col collapsed="false" customWidth="true" hidden="false" outlineLevel="0" max="15" min="15" style="0" width="44"/>
  </cols>
  <sheetData>
    <row r="1" customFormat="false" ht="18.55" hidden="false" customHeight="false" outlineLevel="0" collapsed="false">
      <c r="A1" s="1" t="s">
        <v>304</v>
      </c>
    </row>
    <row r="2" customFormat="false" ht="15" hidden="false" customHeight="false" outlineLevel="0" collapsed="false">
      <c r="A2" s="2" t="s">
        <v>305</v>
      </c>
    </row>
    <row r="5" customFormat="false" ht="43.5" hidden="false" customHeight="true" outlineLevel="0" collapsed="false">
      <c r="A5" s="24" t="s">
        <v>296</v>
      </c>
      <c r="B5" s="24" t="s">
        <v>306</v>
      </c>
      <c r="C5" s="24" t="s">
        <v>307</v>
      </c>
      <c r="D5" s="24" t="s">
        <v>308</v>
      </c>
      <c r="E5" s="24" t="s">
        <v>309</v>
      </c>
      <c r="F5" s="24" t="s">
        <v>310</v>
      </c>
      <c r="G5" s="24" t="s">
        <v>311</v>
      </c>
      <c r="H5" s="24" t="s">
        <v>312</v>
      </c>
      <c r="I5" s="24" t="s">
        <v>313</v>
      </c>
      <c r="J5" s="24" t="s">
        <v>314</v>
      </c>
      <c r="K5" s="24" t="s">
        <v>315</v>
      </c>
      <c r="L5" s="24" t="s">
        <v>316</v>
      </c>
      <c r="M5" s="24" t="s">
        <v>317</v>
      </c>
      <c r="N5" s="24" t="s">
        <v>318</v>
      </c>
      <c r="O5" s="24" t="s">
        <v>103</v>
      </c>
    </row>
    <row r="6" customFormat="false" ht="35.05" hidden="false" customHeight="false" outlineLevel="0" collapsed="false">
      <c r="A6" s="46" t="n">
        <v>46266</v>
      </c>
      <c r="B6" s="47" t="n">
        <v>1</v>
      </c>
      <c r="C6" s="29" t="n">
        <v>1250000</v>
      </c>
      <c r="D6" s="48" t="n">
        <v>606000</v>
      </c>
      <c r="E6" s="29" t="n">
        <v>0</v>
      </c>
      <c r="F6" s="29" t="n">
        <v>0</v>
      </c>
      <c r="G6" s="44" t="n">
        <f aca="false">IF(C6="","",C6-D6-E6-F6)</f>
        <v>644000</v>
      </c>
      <c r="H6" s="44" t="n">
        <f aca="false">IF(G6="","",MAX(0,G6)*Supuestos!$B$28)</f>
        <v>128800</v>
      </c>
      <c r="I6" s="49" t="n">
        <f aca="false">IF(G6="","",G6-H6)</f>
        <v>515200</v>
      </c>
      <c r="J6" s="29" t="n">
        <v>0</v>
      </c>
      <c r="K6" s="29" t="n">
        <v>1190248</v>
      </c>
      <c r="L6" s="49" t="n">
        <f aca="false">IF(I6="","",I6-J6-K6)</f>
        <v>-675048</v>
      </c>
      <c r="M6" s="50" t="str">
        <f aca="false">IFERROR(INDEX('Flujo Proyectado'!$I$6:$I$77,MATCH(A6,'Flujo Proyectado'!$A$6:$A$77,0)),"")</f>
        <v/>
      </c>
      <c r="N6" s="44" t="str">
        <f aca="false">IF(OR(I6="",M6=""),"",I6-M6)</f>
        <v/>
      </c>
      <c r="O6" s="28" t="s">
        <v>319</v>
      </c>
    </row>
    <row r="7" customFormat="false" ht="15" hidden="false" customHeight="false" outlineLevel="0" collapsed="false">
      <c r="A7" s="43" t="n">
        <f aca="false">EDATE(A6,1)</f>
        <v>46296</v>
      </c>
      <c r="B7" s="47"/>
      <c r="C7" s="29"/>
      <c r="D7" s="29"/>
      <c r="E7" s="29"/>
      <c r="F7" s="29"/>
      <c r="G7" s="44" t="str">
        <f aca="false">IF(C7="","",C7-D7-E7-F7)</f>
        <v/>
      </c>
      <c r="H7" s="44" t="str">
        <f aca="false">IF(G7="","",MAX(0,G7)*Supuestos!$B$28)</f>
        <v/>
      </c>
      <c r="I7" s="49" t="str">
        <f aca="false">IF(G7="","",G7-H7)</f>
        <v/>
      </c>
      <c r="J7" s="29"/>
      <c r="K7" s="29"/>
      <c r="L7" s="49" t="str">
        <f aca="false">IF(I7="","",I7-J7-K7)</f>
        <v/>
      </c>
      <c r="M7" s="50" t="n">
        <f aca="false">IFERROR(INDEX('Flujo Proyectado'!$I$6:$I$77,MATCH(A7,'Flujo Proyectado'!$A$6:$A$77,0)),"")</f>
        <v>320266.666666667</v>
      </c>
      <c r="N7" s="44" t="str">
        <f aca="false">IF(OR(I7="",M7=""),"",I7-M7)</f>
        <v/>
      </c>
      <c r="O7" s="28"/>
    </row>
    <row r="8" customFormat="false" ht="15" hidden="false" customHeight="false" outlineLevel="0" collapsed="false">
      <c r="A8" s="43" t="n">
        <f aca="false">EDATE(A7,1)</f>
        <v>46327</v>
      </c>
      <c r="B8" s="47"/>
      <c r="C8" s="29"/>
      <c r="D8" s="29"/>
      <c r="E8" s="29"/>
      <c r="F8" s="29"/>
      <c r="G8" s="44" t="str">
        <f aca="false">IF(C8="","",C8-D8-E8-F8)</f>
        <v/>
      </c>
      <c r="H8" s="44" t="str">
        <f aca="false">IF(G8="","",MAX(0,G8)*Supuestos!$B$28)</f>
        <v/>
      </c>
      <c r="I8" s="49" t="str">
        <f aca="false">IF(G8="","",G8-H8)</f>
        <v/>
      </c>
      <c r="J8" s="29"/>
      <c r="K8" s="29"/>
      <c r="L8" s="49" t="str">
        <f aca="false">IF(I8="","",I8-J8-K8)</f>
        <v/>
      </c>
      <c r="M8" s="50" t="n">
        <f aca="false">IFERROR(INDEX('Flujo Proyectado'!$I$6:$I$77,MATCH(A8,'Flujo Proyectado'!$A$6:$A$77,0)),"")</f>
        <v>1967520</v>
      </c>
      <c r="N8" s="44" t="str">
        <f aca="false">IF(OR(I8="",M8=""),"",I8-M8)</f>
        <v/>
      </c>
      <c r="O8" s="28"/>
    </row>
    <row r="9" customFormat="false" ht="15" hidden="false" customHeight="false" outlineLevel="0" collapsed="false">
      <c r="A9" s="43" t="n">
        <f aca="false">EDATE(A8,1)</f>
        <v>46357</v>
      </c>
      <c r="B9" s="47"/>
      <c r="C9" s="29"/>
      <c r="D9" s="29"/>
      <c r="E9" s="29"/>
      <c r="F9" s="29"/>
      <c r="G9" s="44" t="str">
        <f aca="false">IF(C9="","",C9-D9-E9-F9)</f>
        <v/>
      </c>
      <c r="H9" s="44" t="str">
        <f aca="false">IF(G9="","",MAX(0,G9)*Supuestos!$B$28)</f>
        <v/>
      </c>
      <c r="I9" s="49" t="str">
        <f aca="false">IF(G9="","",G9-H9)</f>
        <v/>
      </c>
      <c r="J9" s="29"/>
      <c r="K9" s="29"/>
      <c r="L9" s="49" t="str">
        <f aca="false">IF(I9="","",I9-J9-K9)</f>
        <v/>
      </c>
      <c r="M9" s="50" t="n">
        <f aca="false">IFERROR(INDEX('Flujo Proyectado'!$I$6:$I$77,MATCH(A9,'Flujo Proyectado'!$A$6:$A$77,0)),"")</f>
        <v>2731146.66666667</v>
      </c>
      <c r="N9" s="44" t="str">
        <f aca="false">IF(OR(I9="",M9=""),"",I9-M9)</f>
        <v/>
      </c>
      <c r="O9" s="28"/>
    </row>
    <row r="10" customFormat="false" ht="15" hidden="false" customHeight="false" outlineLevel="0" collapsed="false">
      <c r="A10" s="43" t="n">
        <f aca="false">EDATE(A9,1)</f>
        <v>46388</v>
      </c>
      <c r="B10" s="47"/>
      <c r="C10" s="29"/>
      <c r="D10" s="29"/>
      <c r="E10" s="29"/>
      <c r="F10" s="29"/>
      <c r="G10" s="44" t="str">
        <f aca="false">IF(C10="","",C10-D10-E10-F10)</f>
        <v/>
      </c>
      <c r="H10" s="44" t="str">
        <f aca="false">IF(G10="","",MAX(0,G10)*Supuestos!$B$28)</f>
        <v/>
      </c>
      <c r="I10" s="49" t="str">
        <f aca="false">IF(G10="","",G10-H10)</f>
        <v/>
      </c>
      <c r="J10" s="29"/>
      <c r="K10" s="29"/>
      <c r="L10" s="49" t="str">
        <f aca="false">IF(I10="","",I10-J10-K10)</f>
        <v/>
      </c>
      <c r="M10" s="50" t="n">
        <f aca="false">IFERROR(INDEX('Flujo Proyectado'!$I$6:$I$77,MATCH(A10,'Flujo Proyectado'!$A$6:$A$77,0)),"")</f>
        <v>3294773.33333333</v>
      </c>
      <c r="N10" s="44" t="str">
        <f aca="false">IF(OR(I10="",M10=""),"",I10-M10)</f>
        <v/>
      </c>
      <c r="O10" s="28"/>
    </row>
    <row r="11" customFormat="false" ht="15" hidden="false" customHeight="false" outlineLevel="0" collapsed="false">
      <c r="A11" s="43" t="n">
        <f aca="false">EDATE(A10,1)</f>
        <v>46419</v>
      </c>
      <c r="B11" s="47"/>
      <c r="C11" s="29"/>
      <c r="D11" s="29"/>
      <c r="E11" s="29"/>
      <c r="F11" s="29"/>
      <c r="G11" s="44" t="str">
        <f aca="false">IF(C11="","",C11-D11-E11-F11)</f>
        <v/>
      </c>
      <c r="H11" s="44" t="str">
        <f aca="false">IF(G11="","",MAX(0,G11)*Supuestos!$B$28)</f>
        <v/>
      </c>
      <c r="I11" s="49" t="str">
        <f aca="false">IF(G11="","",G11-H11)</f>
        <v/>
      </c>
      <c r="J11" s="29"/>
      <c r="K11" s="29"/>
      <c r="L11" s="49" t="str">
        <f aca="false">IF(I11="","",I11-J11-K11)</f>
        <v/>
      </c>
      <c r="M11" s="50" t="n">
        <f aca="false">IFERROR(INDEX('Flujo Proyectado'!$I$6:$I$77,MATCH(A11,'Flujo Proyectado'!$A$6:$A$77,0)),"")</f>
        <v>3858400</v>
      </c>
      <c r="N11" s="44" t="str">
        <f aca="false">IF(OR(I11="",M11=""),"",I11-M11)</f>
        <v/>
      </c>
      <c r="O11" s="28"/>
    </row>
    <row r="12" customFormat="false" ht="15" hidden="false" customHeight="false" outlineLevel="0" collapsed="false">
      <c r="A12" s="43" t="n">
        <f aca="false">EDATE(A11,1)</f>
        <v>46447</v>
      </c>
      <c r="B12" s="47"/>
      <c r="C12" s="29"/>
      <c r="D12" s="29"/>
      <c r="E12" s="29"/>
      <c r="F12" s="29"/>
      <c r="G12" s="44" t="str">
        <f aca="false">IF(C12="","",C12-D12-E12-F12)</f>
        <v/>
      </c>
      <c r="H12" s="44" t="str">
        <f aca="false">IF(G12="","",MAX(0,G12)*Supuestos!$B$28)</f>
        <v/>
      </c>
      <c r="I12" s="49" t="str">
        <f aca="false">IF(G12="","",G12-H12)</f>
        <v/>
      </c>
      <c r="J12" s="29"/>
      <c r="K12" s="29"/>
      <c r="L12" s="49" t="str">
        <f aca="false">IF(I12="","",I12-J12-K12)</f>
        <v/>
      </c>
      <c r="M12" s="50" t="n">
        <f aca="false">IFERROR(INDEX('Flujo Proyectado'!$I$6:$I$77,MATCH(A12,'Flujo Proyectado'!$A$6:$A$77,0)),"")</f>
        <v>3858400</v>
      </c>
      <c r="N12" s="44" t="str">
        <f aca="false">IF(OR(I12="",M12=""),"",I12-M12)</f>
        <v/>
      </c>
      <c r="O12" s="28"/>
    </row>
    <row r="13" customFormat="false" ht="15" hidden="false" customHeight="false" outlineLevel="0" collapsed="false">
      <c r="A13" s="43" t="n">
        <f aca="false">EDATE(A12,1)</f>
        <v>46478</v>
      </c>
      <c r="B13" s="47"/>
      <c r="C13" s="29"/>
      <c r="D13" s="29"/>
      <c r="E13" s="29"/>
      <c r="F13" s="29"/>
      <c r="G13" s="44" t="str">
        <f aca="false">IF(C13="","",C13-D13-E13-F13)</f>
        <v/>
      </c>
      <c r="H13" s="44" t="str">
        <f aca="false">IF(G13="","",MAX(0,G13)*Supuestos!$B$28)</f>
        <v/>
      </c>
      <c r="I13" s="49" t="str">
        <f aca="false">IF(G13="","",G13-H13)</f>
        <v/>
      </c>
      <c r="J13" s="29"/>
      <c r="K13" s="29"/>
      <c r="L13" s="49" t="str">
        <f aca="false">IF(I13="","",I13-J13-K13)</f>
        <v/>
      </c>
      <c r="M13" s="50" t="n">
        <f aca="false">IFERROR(INDEX('Flujo Proyectado'!$I$6:$I$77,MATCH(A13,'Flujo Proyectado'!$A$6:$A$77,0)),"")</f>
        <v>3858400</v>
      </c>
      <c r="N13" s="44" t="str">
        <f aca="false">IF(OR(I13="",M13=""),"",I13-M13)</f>
        <v/>
      </c>
      <c r="O13" s="28"/>
    </row>
    <row r="14" customFormat="false" ht="15" hidden="false" customHeight="false" outlineLevel="0" collapsed="false">
      <c r="A14" s="43" t="n">
        <f aca="false">EDATE(A13,1)</f>
        <v>46508</v>
      </c>
      <c r="B14" s="47"/>
      <c r="C14" s="29"/>
      <c r="D14" s="29"/>
      <c r="E14" s="29"/>
      <c r="F14" s="29"/>
      <c r="G14" s="44" t="str">
        <f aca="false">IF(C14="","",C14-D14-E14-F14)</f>
        <v/>
      </c>
      <c r="H14" s="44" t="str">
        <f aca="false">IF(G14="","",MAX(0,G14)*Supuestos!$B$28)</f>
        <v/>
      </c>
      <c r="I14" s="49" t="str">
        <f aca="false">IF(G14="","",G14-H14)</f>
        <v/>
      </c>
      <c r="J14" s="29"/>
      <c r="K14" s="29"/>
      <c r="L14" s="49" t="str">
        <f aca="false">IF(I14="","",I14-J14-K14)</f>
        <v/>
      </c>
      <c r="M14" s="50" t="n">
        <f aca="false">IFERROR(INDEX('Flujo Proyectado'!$I$6:$I$77,MATCH(A14,'Flujo Proyectado'!$A$6:$A$77,0)),"")</f>
        <v>3858400</v>
      </c>
      <c r="N14" s="44" t="str">
        <f aca="false">IF(OR(I14="",M14=""),"",I14-M14)</f>
        <v/>
      </c>
      <c r="O14" s="28"/>
    </row>
    <row r="15" customFormat="false" ht="15" hidden="false" customHeight="false" outlineLevel="0" collapsed="false">
      <c r="A15" s="43" t="n">
        <f aca="false">EDATE(A14,1)</f>
        <v>46539</v>
      </c>
      <c r="B15" s="47"/>
      <c r="C15" s="29"/>
      <c r="D15" s="29"/>
      <c r="E15" s="29"/>
      <c r="F15" s="29"/>
      <c r="G15" s="44" t="str">
        <f aca="false">IF(C15="","",C15-D15-E15-F15)</f>
        <v/>
      </c>
      <c r="H15" s="44" t="str">
        <f aca="false">IF(G15="","",MAX(0,G15)*Supuestos!$B$28)</f>
        <v/>
      </c>
      <c r="I15" s="49" t="str">
        <f aca="false">IF(G15="","",G15-H15)</f>
        <v/>
      </c>
      <c r="J15" s="29"/>
      <c r="K15" s="29"/>
      <c r="L15" s="49" t="str">
        <f aca="false">IF(I15="","",I15-J15-K15)</f>
        <v/>
      </c>
      <c r="M15" s="50" t="n">
        <f aca="false">IFERROR(INDEX('Flujo Proyectado'!$I$6:$I$77,MATCH(A15,'Flujo Proyectado'!$A$6:$A$77,0)),"")</f>
        <v>3858400</v>
      </c>
      <c r="N15" s="44" t="str">
        <f aca="false">IF(OR(I15="",M15=""),"",I15-M15)</f>
        <v/>
      </c>
      <c r="O15" s="28"/>
    </row>
    <row r="16" customFormat="false" ht="15" hidden="false" customHeight="false" outlineLevel="0" collapsed="false">
      <c r="A16" s="43" t="n">
        <f aca="false">EDATE(A15,1)</f>
        <v>46569</v>
      </c>
      <c r="B16" s="47"/>
      <c r="C16" s="29"/>
      <c r="D16" s="29"/>
      <c r="E16" s="29"/>
      <c r="F16" s="29"/>
      <c r="G16" s="44" t="str">
        <f aca="false">IF(C16="","",C16-D16-E16-F16)</f>
        <v/>
      </c>
      <c r="H16" s="44" t="str">
        <f aca="false">IF(G16="","",MAX(0,G16)*Supuestos!$B$28)</f>
        <v/>
      </c>
      <c r="I16" s="49" t="str">
        <f aca="false">IF(G16="","",G16-H16)</f>
        <v/>
      </c>
      <c r="J16" s="29"/>
      <c r="K16" s="29"/>
      <c r="L16" s="49" t="str">
        <f aca="false">IF(I16="","",I16-J16-K16)</f>
        <v/>
      </c>
      <c r="M16" s="50" t="n">
        <f aca="false">IFERROR(INDEX('Flujo Proyectado'!$I$6:$I$77,MATCH(A16,'Flujo Proyectado'!$A$6:$A$77,0)),"")</f>
        <v>3858400</v>
      </c>
      <c r="N16" s="44" t="str">
        <f aca="false">IF(OR(I16="",M16=""),"",I16-M16)</f>
        <v/>
      </c>
      <c r="O16" s="28"/>
    </row>
    <row r="17" customFormat="false" ht="15" hidden="false" customHeight="false" outlineLevel="0" collapsed="false">
      <c r="A17" s="43" t="n">
        <f aca="false">EDATE(A16,1)</f>
        <v>46600</v>
      </c>
      <c r="B17" s="47"/>
      <c r="C17" s="29"/>
      <c r="D17" s="29"/>
      <c r="E17" s="29"/>
      <c r="F17" s="29"/>
      <c r="G17" s="44" t="str">
        <f aca="false">IF(C17="","",C17-D17-E17-F17)</f>
        <v/>
      </c>
      <c r="H17" s="44" t="str">
        <f aca="false">IF(G17="","",MAX(0,G17)*Supuestos!$B$28)</f>
        <v/>
      </c>
      <c r="I17" s="49" t="str">
        <f aca="false">IF(G17="","",G17-H17)</f>
        <v/>
      </c>
      <c r="J17" s="29"/>
      <c r="K17" s="29"/>
      <c r="L17" s="49" t="str">
        <f aca="false">IF(I17="","",I17-J17-K17)</f>
        <v/>
      </c>
      <c r="M17" s="50" t="n">
        <f aca="false">IFERROR(INDEX('Flujo Proyectado'!$I$6:$I$77,MATCH(A17,'Flujo Proyectado'!$A$6:$A$77,0)),"")</f>
        <v>3858400</v>
      </c>
      <c r="N17" s="44" t="str">
        <f aca="false">IF(OR(I17="",M17=""),"",I17-M17)</f>
        <v/>
      </c>
      <c r="O17" s="28"/>
    </row>
    <row r="18" customFormat="false" ht="15" hidden="false" customHeight="false" outlineLevel="0" collapsed="false">
      <c r="A18" s="43" t="n">
        <f aca="false">EDATE(A17,1)</f>
        <v>46631</v>
      </c>
      <c r="B18" s="47"/>
      <c r="C18" s="29"/>
      <c r="D18" s="29"/>
      <c r="E18" s="29"/>
      <c r="F18" s="29"/>
      <c r="G18" s="44" t="str">
        <f aca="false">IF(C18="","",C18-D18-E18-F18)</f>
        <v/>
      </c>
      <c r="H18" s="44" t="str">
        <f aca="false">IF(G18="","",MAX(0,G18)*Supuestos!$B$28)</f>
        <v/>
      </c>
      <c r="I18" s="49" t="str">
        <f aca="false">IF(G18="","",G18-H18)</f>
        <v/>
      </c>
      <c r="J18" s="29"/>
      <c r="K18" s="29"/>
      <c r="L18" s="49" t="str">
        <f aca="false">IF(I18="","",I18-J18-K18)</f>
        <v/>
      </c>
      <c r="M18" s="50" t="n">
        <f aca="false">IFERROR(INDEX('Flujo Proyectado'!$I$6:$I$77,MATCH(A18,'Flujo Proyectado'!$A$6:$A$77,0)),"")</f>
        <v>3858400</v>
      </c>
      <c r="N18" s="44" t="str">
        <f aca="false">IF(OR(I18="",M18=""),"",I18-M18)</f>
        <v/>
      </c>
      <c r="O18" s="28"/>
    </row>
    <row r="19" customFormat="false" ht="15" hidden="false" customHeight="false" outlineLevel="0" collapsed="false">
      <c r="A19" s="43" t="n">
        <f aca="false">EDATE(A18,1)</f>
        <v>46661</v>
      </c>
      <c r="B19" s="47"/>
      <c r="C19" s="29"/>
      <c r="D19" s="29"/>
      <c r="E19" s="29"/>
      <c r="F19" s="29"/>
      <c r="G19" s="44" t="str">
        <f aca="false">IF(C19="","",C19-D19-E19-F19)</f>
        <v/>
      </c>
      <c r="H19" s="44" t="str">
        <f aca="false">IF(G19="","",MAX(0,G19)*Supuestos!$B$28)</f>
        <v/>
      </c>
      <c r="I19" s="49" t="str">
        <f aca="false">IF(G19="","",G19-H19)</f>
        <v/>
      </c>
      <c r="J19" s="29"/>
      <c r="K19" s="29"/>
      <c r="L19" s="49" t="str">
        <f aca="false">IF(I19="","",I19-J19-K19)</f>
        <v/>
      </c>
      <c r="M19" s="50" t="n">
        <f aca="false">IFERROR(INDEX('Flujo Proyectado'!$I$6:$I$77,MATCH(A19,'Flujo Proyectado'!$A$6:$A$77,0)),"")</f>
        <v>3858400</v>
      </c>
      <c r="N19" s="44" t="str">
        <f aca="false">IF(OR(I19="",M19=""),"",I19-M19)</f>
        <v/>
      </c>
      <c r="O19" s="28"/>
    </row>
    <row r="20" customFormat="false" ht="15" hidden="false" customHeight="false" outlineLevel="0" collapsed="false">
      <c r="A20" s="43" t="n">
        <f aca="false">EDATE(A19,1)</f>
        <v>46692</v>
      </c>
      <c r="B20" s="47"/>
      <c r="C20" s="29"/>
      <c r="D20" s="29"/>
      <c r="E20" s="29"/>
      <c r="F20" s="29"/>
      <c r="G20" s="44" t="str">
        <f aca="false">IF(C20="","",C20-D20-E20-F20)</f>
        <v/>
      </c>
      <c r="H20" s="44" t="str">
        <f aca="false">IF(G20="","",MAX(0,G20)*Supuestos!$B$28)</f>
        <v/>
      </c>
      <c r="I20" s="49" t="str">
        <f aca="false">IF(G20="","",G20-H20)</f>
        <v/>
      </c>
      <c r="J20" s="29"/>
      <c r="K20" s="29"/>
      <c r="L20" s="49" t="str">
        <f aca="false">IF(I20="","",I20-J20-K20)</f>
        <v/>
      </c>
      <c r="M20" s="50" t="n">
        <f aca="false">IFERROR(INDEX('Flujo Proyectado'!$I$6:$I$77,MATCH(A20,'Flujo Proyectado'!$A$6:$A$77,0)),"")</f>
        <v>3858400</v>
      </c>
      <c r="N20" s="44" t="str">
        <f aca="false">IF(OR(I20="",M20=""),"",I20-M20)</f>
        <v/>
      </c>
      <c r="O20" s="28"/>
    </row>
    <row r="21" customFormat="false" ht="15" hidden="false" customHeight="false" outlineLevel="0" collapsed="false">
      <c r="A21" s="43" t="n">
        <f aca="false">EDATE(A20,1)</f>
        <v>46722</v>
      </c>
      <c r="B21" s="47"/>
      <c r="C21" s="29"/>
      <c r="D21" s="29"/>
      <c r="E21" s="29"/>
      <c r="F21" s="29"/>
      <c r="G21" s="44" t="str">
        <f aca="false">IF(C21="","",C21-D21-E21-F21)</f>
        <v/>
      </c>
      <c r="H21" s="44" t="str">
        <f aca="false">IF(G21="","",MAX(0,G21)*Supuestos!$B$28)</f>
        <v/>
      </c>
      <c r="I21" s="49" t="str">
        <f aca="false">IF(G21="","",G21-H21)</f>
        <v/>
      </c>
      <c r="J21" s="29"/>
      <c r="K21" s="29"/>
      <c r="L21" s="49" t="str">
        <f aca="false">IF(I21="","",I21-J21-K21)</f>
        <v/>
      </c>
      <c r="M21" s="50" t="n">
        <f aca="false">IFERROR(INDEX('Flujo Proyectado'!$I$6:$I$77,MATCH(A21,'Flujo Proyectado'!$A$6:$A$77,0)),"")</f>
        <v>3858400</v>
      </c>
      <c r="N21" s="44" t="str">
        <f aca="false">IF(OR(I21="",M21=""),"",I21-M21)</f>
        <v/>
      </c>
      <c r="O21" s="28"/>
    </row>
    <row r="22" customFormat="false" ht="15" hidden="false" customHeight="false" outlineLevel="0" collapsed="false">
      <c r="A22" s="43" t="n">
        <f aca="false">EDATE(A21,1)</f>
        <v>46753</v>
      </c>
      <c r="B22" s="47"/>
      <c r="C22" s="29"/>
      <c r="D22" s="29"/>
      <c r="E22" s="29"/>
      <c r="F22" s="29"/>
      <c r="G22" s="44" t="str">
        <f aca="false">IF(C22="","",C22-D22-E22-F22)</f>
        <v/>
      </c>
      <c r="H22" s="44" t="str">
        <f aca="false">IF(G22="","",MAX(0,G22)*Supuestos!$B$28)</f>
        <v/>
      </c>
      <c r="I22" s="49" t="str">
        <f aca="false">IF(G22="","",G22-H22)</f>
        <v/>
      </c>
      <c r="J22" s="29"/>
      <c r="K22" s="29"/>
      <c r="L22" s="49" t="str">
        <f aca="false">IF(I22="","",I22-J22-K22)</f>
        <v/>
      </c>
      <c r="M22" s="50" t="n">
        <f aca="false">IFERROR(INDEX('Flujo Proyectado'!$I$6:$I$77,MATCH(A22,'Flujo Proyectado'!$A$6:$A$77,0)),"")</f>
        <v>3858400</v>
      </c>
      <c r="N22" s="44" t="str">
        <f aca="false">IF(OR(I22="",M22=""),"",I22-M22)</f>
        <v/>
      </c>
      <c r="O22" s="28"/>
    </row>
    <row r="23" customFormat="false" ht="15" hidden="false" customHeight="false" outlineLevel="0" collapsed="false">
      <c r="A23" s="43" t="n">
        <f aca="false">EDATE(A22,1)</f>
        <v>46784</v>
      </c>
      <c r="B23" s="47"/>
      <c r="C23" s="29"/>
      <c r="D23" s="29"/>
      <c r="E23" s="29"/>
      <c r="F23" s="29"/>
      <c r="G23" s="44" t="str">
        <f aca="false">IF(C23="","",C23-D23-E23-F23)</f>
        <v/>
      </c>
      <c r="H23" s="44" t="str">
        <f aca="false">IF(G23="","",MAX(0,G23)*Supuestos!$B$28)</f>
        <v/>
      </c>
      <c r="I23" s="49" t="str">
        <f aca="false">IF(G23="","",G23-H23)</f>
        <v/>
      </c>
      <c r="J23" s="29"/>
      <c r="K23" s="29"/>
      <c r="L23" s="49" t="str">
        <f aca="false">IF(I23="","",I23-J23-K23)</f>
        <v/>
      </c>
      <c r="M23" s="50" t="n">
        <f aca="false">IFERROR(INDEX('Flujo Proyectado'!$I$6:$I$77,MATCH(A23,'Flujo Proyectado'!$A$6:$A$77,0)),"")</f>
        <v>3858400</v>
      </c>
      <c r="N23" s="44" t="str">
        <f aca="false">IF(OR(I23="",M23=""),"",I23-M23)</f>
        <v/>
      </c>
      <c r="O23" s="28"/>
    </row>
    <row r="24" customFormat="false" ht="15" hidden="false" customHeight="false" outlineLevel="0" collapsed="false">
      <c r="A24" s="43" t="n">
        <f aca="false">EDATE(A23,1)</f>
        <v>46813</v>
      </c>
      <c r="B24" s="47"/>
      <c r="C24" s="29"/>
      <c r="D24" s="29"/>
      <c r="E24" s="29"/>
      <c r="F24" s="29"/>
      <c r="G24" s="44" t="str">
        <f aca="false">IF(C24="","",C24-D24-E24-F24)</f>
        <v/>
      </c>
      <c r="H24" s="44" t="str">
        <f aca="false">IF(G24="","",MAX(0,G24)*Supuestos!$B$28)</f>
        <v/>
      </c>
      <c r="I24" s="49" t="str">
        <f aca="false">IF(G24="","",G24-H24)</f>
        <v/>
      </c>
      <c r="J24" s="29"/>
      <c r="K24" s="29"/>
      <c r="L24" s="49" t="str">
        <f aca="false">IF(I24="","",I24-J24-K24)</f>
        <v/>
      </c>
      <c r="M24" s="50" t="n">
        <f aca="false">IFERROR(INDEX('Flujo Proyectado'!$I$6:$I$77,MATCH(A24,'Flujo Proyectado'!$A$6:$A$77,0)),"")</f>
        <v>3858400</v>
      </c>
      <c r="N24" s="44" t="str">
        <f aca="false">IF(OR(I24="",M24=""),"",I24-M24)</f>
        <v/>
      </c>
      <c r="O24" s="28"/>
    </row>
    <row r="25" customFormat="false" ht="15" hidden="false" customHeight="false" outlineLevel="0" collapsed="false">
      <c r="A25" s="43" t="n">
        <f aca="false">EDATE(A24,1)</f>
        <v>46844</v>
      </c>
      <c r="B25" s="47"/>
      <c r="C25" s="29"/>
      <c r="D25" s="29"/>
      <c r="E25" s="29"/>
      <c r="F25" s="29"/>
      <c r="G25" s="44" t="str">
        <f aca="false">IF(C25="","",C25-D25-E25-F25)</f>
        <v/>
      </c>
      <c r="H25" s="44" t="str">
        <f aca="false">IF(G25="","",MAX(0,G25)*Supuestos!$B$28)</f>
        <v/>
      </c>
      <c r="I25" s="49" t="str">
        <f aca="false">IF(G25="","",G25-H25)</f>
        <v/>
      </c>
      <c r="J25" s="29"/>
      <c r="K25" s="29"/>
      <c r="L25" s="49" t="str">
        <f aca="false">IF(I25="","",I25-J25-K25)</f>
        <v/>
      </c>
      <c r="M25" s="50" t="n">
        <f aca="false">IFERROR(INDEX('Flujo Proyectado'!$I$6:$I$77,MATCH(A25,'Flujo Proyectado'!$A$6:$A$77,0)),"")</f>
        <v>4662026.66666667</v>
      </c>
      <c r="N25" s="44" t="str">
        <f aca="false">IF(OR(I25="",M25=""),"",I25-M25)</f>
        <v/>
      </c>
      <c r="O25" s="28"/>
    </row>
    <row r="26" customFormat="false" ht="15" hidden="false" customHeight="false" outlineLevel="0" collapsed="false">
      <c r="A26" s="43" t="n">
        <f aca="false">EDATE(A25,1)</f>
        <v>46874</v>
      </c>
      <c r="B26" s="47"/>
      <c r="C26" s="29"/>
      <c r="D26" s="29"/>
      <c r="E26" s="29"/>
      <c r="F26" s="29"/>
      <c r="G26" s="44" t="str">
        <f aca="false">IF(C26="","",C26-D26-E26-F26)</f>
        <v/>
      </c>
      <c r="H26" s="44" t="str">
        <f aca="false">IF(G26="","",MAX(0,G26)*Supuestos!$B$28)</f>
        <v/>
      </c>
      <c r="I26" s="49" t="str">
        <f aca="false">IF(G26="","",G26-H26)</f>
        <v/>
      </c>
      <c r="J26" s="29"/>
      <c r="K26" s="29"/>
      <c r="L26" s="49" t="str">
        <f aca="false">IF(I26="","",I26-J26-K26)</f>
        <v/>
      </c>
      <c r="M26" s="50" t="n">
        <f aca="false">IFERROR(INDEX('Flujo Proyectado'!$I$6:$I$77,MATCH(A26,'Flujo Proyectado'!$A$6:$A$77,0)),"")</f>
        <v>4662026.66666667</v>
      </c>
      <c r="N26" s="44" t="str">
        <f aca="false">IF(OR(I26="",M26=""),"",I26-M26)</f>
        <v/>
      </c>
      <c r="O26" s="28"/>
    </row>
    <row r="27" customFormat="false" ht="15" hidden="false" customHeight="false" outlineLevel="0" collapsed="false">
      <c r="A27" s="43" t="n">
        <f aca="false">EDATE(A26,1)</f>
        <v>46905</v>
      </c>
      <c r="B27" s="47"/>
      <c r="C27" s="29"/>
      <c r="D27" s="29"/>
      <c r="E27" s="29"/>
      <c r="F27" s="29"/>
      <c r="G27" s="44" t="str">
        <f aca="false">IF(C27="","",C27-D27-E27-F27)</f>
        <v/>
      </c>
      <c r="H27" s="44" t="str">
        <f aca="false">IF(G27="","",MAX(0,G27)*Supuestos!$B$28)</f>
        <v/>
      </c>
      <c r="I27" s="49" t="str">
        <f aca="false">IF(G27="","",G27-H27)</f>
        <v/>
      </c>
      <c r="J27" s="29"/>
      <c r="K27" s="29"/>
      <c r="L27" s="49" t="str">
        <f aca="false">IF(I27="","",I27-J27-K27)</f>
        <v/>
      </c>
      <c r="M27" s="50" t="n">
        <f aca="false">IFERROR(INDEX('Flujo Proyectado'!$I$6:$I$77,MATCH(A27,'Flujo Proyectado'!$A$6:$A$77,0)),"")</f>
        <v>4662026.66666667</v>
      </c>
      <c r="N27" s="44" t="str">
        <f aca="false">IF(OR(I27="",M27=""),"",I27-M27)</f>
        <v/>
      </c>
      <c r="O27" s="28"/>
    </row>
    <row r="28" customFormat="false" ht="15" hidden="false" customHeight="false" outlineLevel="0" collapsed="false">
      <c r="A28" s="43" t="n">
        <f aca="false">EDATE(A27,1)</f>
        <v>46935</v>
      </c>
      <c r="B28" s="47"/>
      <c r="C28" s="29"/>
      <c r="D28" s="29"/>
      <c r="E28" s="29"/>
      <c r="F28" s="29"/>
      <c r="G28" s="44" t="str">
        <f aca="false">IF(C28="","",C28-D28-E28-F28)</f>
        <v/>
      </c>
      <c r="H28" s="44" t="str">
        <f aca="false">IF(G28="","",MAX(0,G28)*Supuestos!$B$28)</f>
        <v/>
      </c>
      <c r="I28" s="49" t="str">
        <f aca="false">IF(G28="","",G28-H28)</f>
        <v/>
      </c>
      <c r="J28" s="29"/>
      <c r="K28" s="29"/>
      <c r="L28" s="49" t="str">
        <f aca="false">IF(I28="","",I28-J28-K28)</f>
        <v/>
      </c>
      <c r="M28" s="50" t="n">
        <f aca="false">IFERROR(INDEX('Flujo Proyectado'!$I$6:$I$77,MATCH(A28,'Flujo Proyectado'!$A$6:$A$77,0)),"")</f>
        <v>4662026.66666667</v>
      </c>
      <c r="N28" s="44" t="str">
        <f aca="false">IF(OR(I28="",M28=""),"",I28-M28)</f>
        <v/>
      </c>
      <c r="O28" s="28"/>
    </row>
    <row r="29" customFormat="false" ht="15" hidden="false" customHeight="false" outlineLevel="0" collapsed="false">
      <c r="A29" s="43" t="n">
        <f aca="false">EDATE(A28,1)</f>
        <v>46966</v>
      </c>
      <c r="B29" s="47"/>
      <c r="C29" s="29"/>
      <c r="D29" s="29"/>
      <c r="E29" s="29"/>
      <c r="F29" s="29"/>
      <c r="G29" s="44" t="str">
        <f aca="false">IF(C29="","",C29-D29-E29-F29)</f>
        <v/>
      </c>
      <c r="H29" s="44" t="str">
        <f aca="false">IF(G29="","",MAX(0,G29)*Supuestos!$B$28)</f>
        <v/>
      </c>
      <c r="I29" s="49" t="str">
        <f aca="false">IF(G29="","",G29-H29)</f>
        <v/>
      </c>
      <c r="J29" s="29"/>
      <c r="K29" s="29"/>
      <c r="L29" s="49" t="str">
        <f aca="false">IF(I29="","",I29-J29-K29)</f>
        <v/>
      </c>
      <c r="M29" s="50" t="n">
        <f aca="false">IFERROR(INDEX('Flujo Proyectado'!$I$6:$I$77,MATCH(A29,'Flujo Proyectado'!$A$6:$A$77,0)),"")</f>
        <v>4662026.66666667</v>
      </c>
      <c r="N29" s="44" t="str">
        <f aca="false">IF(OR(I29="",M29=""),"",I29-M29)</f>
        <v/>
      </c>
      <c r="O29" s="28"/>
    </row>
    <row r="30" customFormat="false" ht="15" hidden="false" customHeight="false" outlineLevel="0" collapsed="false">
      <c r="A30" s="43" t="n">
        <f aca="false">EDATE(A29,1)</f>
        <v>46997</v>
      </c>
      <c r="B30" s="47"/>
      <c r="C30" s="29"/>
      <c r="D30" s="29"/>
      <c r="E30" s="29"/>
      <c r="F30" s="29"/>
      <c r="G30" s="44" t="str">
        <f aca="false">IF(C30="","",C30-D30-E30-F30)</f>
        <v/>
      </c>
      <c r="H30" s="44" t="str">
        <f aca="false">IF(G30="","",MAX(0,G30)*Supuestos!$B$28)</f>
        <v/>
      </c>
      <c r="I30" s="49" t="str">
        <f aca="false">IF(G30="","",G30-H30)</f>
        <v/>
      </c>
      <c r="J30" s="29"/>
      <c r="K30" s="29"/>
      <c r="L30" s="49" t="str">
        <f aca="false">IF(I30="","",I30-J30-K30)</f>
        <v/>
      </c>
      <c r="M30" s="50" t="n">
        <f aca="false">IFERROR(INDEX('Flujo Proyectado'!$I$6:$I$77,MATCH(A30,'Flujo Proyectado'!$A$6:$A$77,0)),"")</f>
        <v>4662026.66666667</v>
      </c>
      <c r="N30" s="44" t="str">
        <f aca="false">IF(OR(I30="",M30=""),"",I30-M30)</f>
        <v/>
      </c>
      <c r="O30" s="28"/>
    </row>
    <row r="31" customFormat="false" ht="15" hidden="false" customHeight="false" outlineLevel="0" collapsed="false">
      <c r="A31" s="43" t="n">
        <f aca="false">EDATE(A30,1)</f>
        <v>47027</v>
      </c>
      <c r="B31" s="47"/>
      <c r="C31" s="29"/>
      <c r="D31" s="29"/>
      <c r="E31" s="29"/>
      <c r="F31" s="29"/>
      <c r="G31" s="44" t="str">
        <f aca="false">IF(C31="","",C31-D31-E31-F31)</f>
        <v/>
      </c>
      <c r="H31" s="44" t="str">
        <f aca="false">IF(G31="","",MAX(0,G31)*Supuestos!$B$28)</f>
        <v/>
      </c>
      <c r="I31" s="49" t="str">
        <f aca="false">IF(G31="","",G31-H31)</f>
        <v/>
      </c>
      <c r="J31" s="29"/>
      <c r="K31" s="29"/>
      <c r="L31" s="49" t="str">
        <f aca="false">IF(I31="","",I31-J31-K31)</f>
        <v/>
      </c>
      <c r="M31" s="50" t="n">
        <f aca="false">IFERROR(INDEX('Flujo Proyectado'!$I$6:$I$77,MATCH(A31,'Flujo Proyectado'!$A$6:$A$77,0)),"")</f>
        <v>4662026.66666667</v>
      </c>
      <c r="N31" s="44" t="str">
        <f aca="false">IF(OR(I31="",M31=""),"",I31-M31)</f>
        <v/>
      </c>
      <c r="O31" s="28"/>
    </row>
    <row r="32" customFormat="false" ht="15" hidden="false" customHeight="false" outlineLevel="0" collapsed="false">
      <c r="A32" s="43" t="n">
        <f aca="false">EDATE(A31,1)</f>
        <v>47058</v>
      </c>
      <c r="B32" s="47"/>
      <c r="C32" s="29"/>
      <c r="D32" s="29"/>
      <c r="E32" s="29"/>
      <c r="F32" s="29"/>
      <c r="G32" s="44" t="str">
        <f aca="false">IF(C32="","",C32-D32-E32-F32)</f>
        <v/>
      </c>
      <c r="H32" s="44" t="str">
        <f aca="false">IF(G32="","",MAX(0,G32)*Supuestos!$B$28)</f>
        <v/>
      </c>
      <c r="I32" s="49" t="str">
        <f aca="false">IF(G32="","",G32-H32)</f>
        <v/>
      </c>
      <c r="J32" s="29"/>
      <c r="K32" s="29"/>
      <c r="L32" s="49" t="str">
        <f aca="false">IF(I32="","",I32-J32-K32)</f>
        <v/>
      </c>
      <c r="M32" s="50" t="n">
        <f aca="false">IFERROR(INDEX('Flujo Proyectado'!$I$6:$I$77,MATCH(A32,'Flujo Proyectado'!$A$6:$A$77,0)),"")</f>
        <v>4662026.66666667</v>
      </c>
      <c r="N32" s="44" t="str">
        <f aca="false">IF(OR(I32="",M32=""),"",I32-M32)</f>
        <v/>
      </c>
      <c r="O32" s="28"/>
    </row>
    <row r="33" customFormat="false" ht="15" hidden="false" customHeight="false" outlineLevel="0" collapsed="false">
      <c r="A33" s="43" t="n">
        <f aca="false">EDATE(A32,1)</f>
        <v>47088</v>
      </c>
      <c r="B33" s="47"/>
      <c r="C33" s="29"/>
      <c r="D33" s="29"/>
      <c r="E33" s="29"/>
      <c r="F33" s="29"/>
      <c r="G33" s="44" t="str">
        <f aca="false">IF(C33="","",C33-D33-E33-F33)</f>
        <v/>
      </c>
      <c r="H33" s="44" t="str">
        <f aca="false">IF(G33="","",MAX(0,G33)*Supuestos!$B$28)</f>
        <v/>
      </c>
      <c r="I33" s="49" t="str">
        <f aca="false">IF(G33="","",G33-H33)</f>
        <v/>
      </c>
      <c r="J33" s="29"/>
      <c r="K33" s="29"/>
      <c r="L33" s="49" t="str">
        <f aca="false">IF(I33="","",I33-J33-K33)</f>
        <v/>
      </c>
      <c r="M33" s="50" t="n">
        <f aca="false">IFERROR(INDEX('Flujo Proyectado'!$I$6:$I$77,MATCH(A33,'Flujo Proyectado'!$A$6:$A$77,0)),"")</f>
        <v>4662026.66666667</v>
      </c>
      <c r="N33" s="44" t="str">
        <f aca="false">IF(OR(I33="",M33=""),"",I33-M33)</f>
        <v/>
      </c>
      <c r="O33" s="28"/>
    </row>
    <row r="34" customFormat="false" ht="15" hidden="false" customHeight="false" outlineLevel="0" collapsed="false">
      <c r="A34" s="43" t="n">
        <f aca="false">EDATE(A33,1)</f>
        <v>47119</v>
      </c>
      <c r="B34" s="47"/>
      <c r="C34" s="29"/>
      <c r="D34" s="29"/>
      <c r="E34" s="29"/>
      <c r="F34" s="29"/>
      <c r="G34" s="44" t="str">
        <f aca="false">IF(C34="","",C34-D34-E34-F34)</f>
        <v/>
      </c>
      <c r="H34" s="44" t="str">
        <f aca="false">IF(G34="","",MAX(0,G34)*Supuestos!$B$28)</f>
        <v/>
      </c>
      <c r="I34" s="49" t="str">
        <f aca="false">IF(G34="","",G34-H34)</f>
        <v/>
      </c>
      <c r="J34" s="29"/>
      <c r="K34" s="29"/>
      <c r="L34" s="49" t="str">
        <f aca="false">IF(I34="","",I34-J34-K34)</f>
        <v/>
      </c>
      <c r="M34" s="50" t="n">
        <f aca="false">IFERROR(INDEX('Flujo Proyectado'!$I$6:$I$77,MATCH(A34,'Flujo Proyectado'!$A$6:$A$77,0)),"")</f>
        <v>4662026.66666667</v>
      </c>
      <c r="N34" s="44" t="str">
        <f aca="false">IF(OR(I34="",M34=""),"",I34-M34)</f>
        <v/>
      </c>
      <c r="O34" s="28"/>
    </row>
    <row r="35" customFormat="false" ht="15" hidden="false" customHeight="false" outlineLevel="0" collapsed="false">
      <c r="A35" s="43" t="n">
        <f aca="false">EDATE(A34,1)</f>
        <v>47150</v>
      </c>
      <c r="B35" s="47"/>
      <c r="C35" s="29"/>
      <c r="D35" s="29"/>
      <c r="E35" s="29"/>
      <c r="F35" s="29"/>
      <c r="G35" s="44" t="str">
        <f aca="false">IF(C35="","",C35-D35-E35-F35)</f>
        <v/>
      </c>
      <c r="H35" s="44" t="str">
        <f aca="false">IF(G35="","",MAX(0,G35)*Supuestos!$B$28)</f>
        <v/>
      </c>
      <c r="I35" s="49" t="str">
        <f aca="false">IF(G35="","",G35-H35)</f>
        <v/>
      </c>
      <c r="J35" s="29"/>
      <c r="K35" s="29"/>
      <c r="L35" s="49" t="str">
        <f aca="false">IF(I35="","",I35-J35-K35)</f>
        <v/>
      </c>
      <c r="M35" s="50" t="n">
        <f aca="false">IFERROR(INDEX('Flujo Proyectado'!$I$6:$I$77,MATCH(A35,'Flujo Proyectado'!$A$6:$A$77,0)),"")</f>
        <v>4662026.66666667</v>
      </c>
      <c r="N35" s="44" t="str">
        <f aca="false">IF(OR(I35="",M35=""),"",I35-M35)</f>
        <v/>
      </c>
      <c r="O35" s="28"/>
    </row>
    <row r="36" customFormat="false" ht="15" hidden="false" customHeight="false" outlineLevel="0" collapsed="false">
      <c r="A36" s="43" t="n">
        <f aca="false">EDATE(A35,1)</f>
        <v>47178</v>
      </c>
      <c r="B36" s="47"/>
      <c r="C36" s="29"/>
      <c r="D36" s="29"/>
      <c r="E36" s="29"/>
      <c r="F36" s="29"/>
      <c r="G36" s="44" t="str">
        <f aca="false">IF(C36="","",C36-D36-E36-F36)</f>
        <v/>
      </c>
      <c r="H36" s="44" t="str">
        <f aca="false">IF(G36="","",MAX(0,G36)*Supuestos!$B$28)</f>
        <v/>
      </c>
      <c r="I36" s="49" t="str">
        <f aca="false">IF(G36="","",G36-H36)</f>
        <v/>
      </c>
      <c r="J36" s="29"/>
      <c r="K36" s="29"/>
      <c r="L36" s="49" t="str">
        <f aca="false">IF(I36="","",I36-J36-K36)</f>
        <v/>
      </c>
      <c r="M36" s="50" t="n">
        <f aca="false">IFERROR(INDEX('Flujo Proyectado'!$I$6:$I$77,MATCH(A36,'Flujo Proyectado'!$A$6:$A$77,0)),"")</f>
        <v>4662026.66666667</v>
      </c>
      <c r="N36" s="44" t="str">
        <f aca="false">IF(OR(I36="",M36=""),"",I36-M36)</f>
        <v/>
      </c>
      <c r="O36" s="28"/>
    </row>
    <row r="37" customFormat="false" ht="15" hidden="false" customHeight="false" outlineLevel="0" collapsed="false">
      <c r="A37" s="43" t="n">
        <f aca="false">EDATE(A36,1)</f>
        <v>47209</v>
      </c>
      <c r="B37" s="47"/>
      <c r="C37" s="29"/>
      <c r="D37" s="29"/>
      <c r="E37" s="29"/>
      <c r="F37" s="29"/>
      <c r="G37" s="44" t="str">
        <f aca="false">IF(C37="","",C37-D37-E37-F37)</f>
        <v/>
      </c>
      <c r="H37" s="44" t="str">
        <f aca="false">IF(G37="","",MAX(0,G37)*Supuestos!$B$28)</f>
        <v/>
      </c>
      <c r="I37" s="49" t="str">
        <f aca="false">IF(G37="","",G37-H37)</f>
        <v/>
      </c>
      <c r="J37" s="29"/>
      <c r="K37" s="29"/>
      <c r="L37" s="49" t="str">
        <f aca="false">IF(I37="","",I37-J37-K37)</f>
        <v/>
      </c>
      <c r="M37" s="50" t="n">
        <f aca="false">IFERROR(INDEX('Flujo Proyectado'!$I$6:$I$77,MATCH(A37,'Flujo Proyectado'!$A$6:$A$77,0)),"")</f>
        <v>4662026.66666667</v>
      </c>
      <c r="N37" s="44" t="str">
        <f aca="false">IF(OR(I37="",M37=""),"",I37-M37)</f>
        <v/>
      </c>
      <c r="O37" s="28"/>
    </row>
    <row r="38" customFormat="false" ht="15" hidden="false" customHeight="false" outlineLevel="0" collapsed="false">
      <c r="A38" s="43" t="n">
        <f aca="false">EDATE(A37,1)</f>
        <v>47239</v>
      </c>
      <c r="B38" s="47"/>
      <c r="C38" s="29"/>
      <c r="D38" s="29"/>
      <c r="E38" s="29"/>
      <c r="F38" s="29"/>
      <c r="G38" s="44" t="str">
        <f aca="false">IF(C38="","",C38-D38-E38-F38)</f>
        <v/>
      </c>
      <c r="H38" s="44" t="str">
        <f aca="false">IF(G38="","",MAX(0,G38)*Supuestos!$B$28)</f>
        <v/>
      </c>
      <c r="I38" s="49" t="str">
        <f aca="false">IF(G38="","",G38-H38)</f>
        <v/>
      </c>
      <c r="J38" s="29"/>
      <c r="K38" s="29"/>
      <c r="L38" s="49" t="str">
        <f aca="false">IF(I38="","",I38-J38-K38)</f>
        <v/>
      </c>
      <c r="M38" s="50" t="n">
        <f aca="false">IFERROR(INDEX('Flujo Proyectado'!$I$6:$I$77,MATCH(A38,'Flujo Proyectado'!$A$6:$A$77,0)),"")</f>
        <v>4662026.66666667</v>
      </c>
      <c r="N38" s="44" t="str">
        <f aca="false">IF(OR(I38="",M38=""),"",I38-M38)</f>
        <v/>
      </c>
      <c r="O38" s="28"/>
    </row>
    <row r="39" customFormat="false" ht="15" hidden="false" customHeight="false" outlineLevel="0" collapsed="false">
      <c r="A39" s="43" t="n">
        <f aca="false">EDATE(A38,1)</f>
        <v>47270</v>
      </c>
      <c r="B39" s="47"/>
      <c r="C39" s="29"/>
      <c r="D39" s="29"/>
      <c r="E39" s="29"/>
      <c r="F39" s="29"/>
      <c r="G39" s="44" t="str">
        <f aca="false">IF(C39="","",C39-D39-E39-F39)</f>
        <v/>
      </c>
      <c r="H39" s="44" t="str">
        <f aca="false">IF(G39="","",MAX(0,G39)*Supuestos!$B$28)</f>
        <v/>
      </c>
      <c r="I39" s="49" t="str">
        <f aca="false">IF(G39="","",G39-H39)</f>
        <v/>
      </c>
      <c r="J39" s="29"/>
      <c r="K39" s="29"/>
      <c r="L39" s="49" t="str">
        <f aca="false">IF(I39="","",I39-J39-K39)</f>
        <v/>
      </c>
      <c r="M39" s="50" t="n">
        <f aca="false">IFERROR(INDEX('Flujo Proyectado'!$I$6:$I$77,MATCH(A39,'Flujo Proyectado'!$A$6:$A$77,0)),"")</f>
        <v>4662026.66666667</v>
      </c>
      <c r="N39" s="44" t="str">
        <f aca="false">IF(OR(I39="",M39=""),"",I39-M39)</f>
        <v/>
      </c>
      <c r="O39" s="28"/>
    </row>
    <row r="40" customFormat="false" ht="15" hidden="false" customHeight="false" outlineLevel="0" collapsed="false">
      <c r="A40" s="43" t="n">
        <f aca="false">EDATE(A39,1)</f>
        <v>47300</v>
      </c>
      <c r="B40" s="47"/>
      <c r="C40" s="29"/>
      <c r="D40" s="29"/>
      <c r="E40" s="29"/>
      <c r="F40" s="29"/>
      <c r="G40" s="44" t="str">
        <f aca="false">IF(C40="","",C40-D40-E40-F40)</f>
        <v/>
      </c>
      <c r="H40" s="44" t="str">
        <f aca="false">IF(G40="","",MAX(0,G40)*Supuestos!$B$28)</f>
        <v/>
      </c>
      <c r="I40" s="49" t="str">
        <f aca="false">IF(G40="","",G40-H40)</f>
        <v/>
      </c>
      <c r="J40" s="29"/>
      <c r="K40" s="29"/>
      <c r="L40" s="49" t="str">
        <f aca="false">IF(I40="","",I40-J40-K40)</f>
        <v/>
      </c>
      <c r="M40" s="50" t="n">
        <f aca="false">IFERROR(INDEX('Flujo Proyectado'!$I$6:$I$77,MATCH(A40,'Flujo Proyectado'!$A$6:$A$77,0)),"")</f>
        <v>4662026.66666667</v>
      </c>
      <c r="N40" s="44" t="str">
        <f aca="false">IF(OR(I40="",M40=""),"",I40-M40)</f>
        <v/>
      </c>
      <c r="O40" s="28"/>
    </row>
    <row r="41" customFormat="false" ht="15" hidden="false" customHeight="false" outlineLevel="0" collapsed="false">
      <c r="A41" s="43" t="n">
        <f aca="false">EDATE(A40,1)</f>
        <v>47331</v>
      </c>
      <c r="B41" s="47"/>
      <c r="C41" s="29"/>
      <c r="D41" s="29"/>
      <c r="E41" s="29"/>
      <c r="F41" s="29"/>
      <c r="G41" s="44" t="str">
        <f aca="false">IF(C41="","",C41-D41-E41-F41)</f>
        <v/>
      </c>
      <c r="H41" s="44" t="str">
        <f aca="false">IF(G41="","",MAX(0,G41)*Supuestos!$B$28)</f>
        <v/>
      </c>
      <c r="I41" s="49" t="str">
        <f aca="false">IF(G41="","",G41-H41)</f>
        <v/>
      </c>
      <c r="J41" s="29"/>
      <c r="K41" s="29"/>
      <c r="L41" s="49" t="str">
        <f aca="false">IF(I41="","",I41-J41-K41)</f>
        <v/>
      </c>
      <c r="M41" s="50" t="n">
        <f aca="false">IFERROR(INDEX('Flujo Proyectado'!$I$6:$I$77,MATCH(A41,'Flujo Proyectado'!$A$6:$A$77,0)),"")</f>
        <v>4662026.66666667</v>
      </c>
      <c r="N41" s="44" t="str">
        <f aca="false">IF(OR(I41="",M41=""),"",I41-M41)</f>
        <v/>
      </c>
      <c r="O41" s="28"/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T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8"/>
    <col collapsed="false" customWidth="true" hidden="false" outlineLevel="0" max="20" min="3" style="0" width="13"/>
  </cols>
  <sheetData>
    <row r="1" customFormat="false" ht="18.55" hidden="false" customHeight="false" outlineLevel="0" collapsed="false">
      <c r="A1" s="1" t="s">
        <v>320</v>
      </c>
    </row>
    <row r="2" customFormat="false" ht="15" hidden="false" customHeight="false" outlineLevel="0" collapsed="false">
      <c r="A2" s="2" t="s">
        <v>321</v>
      </c>
    </row>
    <row r="4" customFormat="false" ht="15" hidden="false" customHeight="false" outlineLevel="0" collapsed="false">
      <c r="A4" s="51" t="s">
        <v>322</v>
      </c>
      <c r="B4" s="51"/>
      <c r="C4" s="51"/>
      <c r="D4" s="51"/>
      <c r="E4" s="51"/>
      <c r="F4" s="51"/>
      <c r="G4" s="51"/>
      <c r="H4" s="51"/>
      <c r="I4" s="51"/>
      <c r="J4" s="51" t="s">
        <v>323</v>
      </c>
      <c r="K4" s="51"/>
      <c r="L4" s="51"/>
      <c r="M4" s="51"/>
      <c r="N4" s="51" t="s">
        <v>324</v>
      </c>
      <c r="O4" s="51"/>
      <c r="P4" s="51"/>
      <c r="Q4" s="51"/>
      <c r="R4" s="51" t="s">
        <v>325</v>
      </c>
      <c r="S4" s="51"/>
      <c r="T4" s="51"/>
    </row>
    <row r="5" customFormat="false" ht="43.5" hidden="false" customHeight="true" outlineLevel="0" collapsed="false">
      <c r="A5" s="24" t="s">
        <v>296</v>
      </c>
      <c r="B5" s="24" t="s">
        <v>306</v>
      </c>
      <c r="C5" s="24" t="s">
        <v>326</v>
      </c>
      <c r="D5" s="24" t="s">
        <v>327</v>
      </c>
      <c r="E5" s="24" t="s">
        <v>328</v>
      </c>
      <c r="F5" s="24" t="s">
        <v>329</v>
      </c>
      <c r="G5" s="24" t="s">
        <v>311</v>
      </c>
      <c r="H5" s="24" t="s">
        <v>312</v>
      </c>
      <c r="I5" s="24" t="s">
        <v>313</v>
      </c>
      <c r="J5" s="24" t="s">
        <v>330</v>
      </c>
      <c r="K5" s="24" t="s">
        <v>331</v>
      </c>
      <c r="L5" s="24" t="s">
        <v>332</v>
      </c>
      <c r="M5" s="24" t="s">
        <v>333</v>
      </c>
      <c r="N5" s="24" t="s">
        <v>334</v>
      </c>
      <c r="O5" s="24" t="s">
        <v>335</v>
      </c>
      <c r="P5" s="24" t="s">
        <v>336</v>
      </c>
      <c r="Q5" s="24" t="s">
        <v>337</v>
      </c>
      <c r="R5" s="24" t="s">
        <v>338</v>
      </c>
      <c r="S5" s="24" t="s">
        <v>339</v>
      </c>
      <c r="T5" s="24" t="s">
        <v>340</v>
      </c>
    </row>
    <row r="6" customFormat="false" ht="15" hidden="false" customHeight="false" outlineLevel="0" collapsed="false">
      <c r="A6" s="52" t="n">
        <f aca="false">Supuestos!$B$54</f>
        <v>46296</v>
      </c>
      <c r="B6" s="19" t="n">
        <f aca="false">SUMPRODUCT(--(Supuestos!$D$6:$D$12&lt;=A6))</f>
        <v>1</v>
      </c>
      <c r="C6" s="15" t="n">
        <f aca="false">SUMPRODUCT((Supuestos!$D$6:$D$12&lt;=A6)*Supuestos!$C$6:$C$12)+IF(A6&gt;=Supuestos!$F$31,B6*Supuestos!$F$30*Supuestos!$F$29*Supuestos!$F$32,0)</f>
        <v>1278000</v>
      </c>
      <c r="D6" s="15" t="n">
        <f aca="false">IF(B6=0,0,Supuestos!$B$22+(Supuestos!$C$22-Supuestos!$B$22)*(B6-1)/(Supuestos!$F$33-1))-IF(A6&gt;=Supuestos!$B$46,Supuestos!$B$47,0)</f>
        <v>561000</v>
      </c>
      <c r="E6" s="15" t="n">
        <f aca="false">Supuestos!$C$23*B6/Supuestos!$F$33</f>
        <v>216666.666666667</v>
      </c>
      <c r="F6" s="15" t="n">
        <f aca="false">Supuestos!$C$24</f>
        <v>100000</v>
      </c>
      <c r="G6" s="15" t="n">
        <f aca="false">C6-D6-E6-F6</f>
        <v>400333.333333333</v>
      </c>
      <c r="H6" s="15" t="n">
        <f aca="false">MAX(0,G6)*Supuestos!$B$28</f>
        <v>80066.6666666667</v>
      </c>
      <c r="I6" s="17" t="n">
        <f aca="false">G6-H6</f>
        <v>320266.666666667</v>
      </c>
      <c r="J6" s="15" t="n">
        <f aca="false">IFERROR(INDEX(Préstamo!$G$18:$G$57,MATCH(A6,Préstamo!$C$18:$C$57,0)),0)</f>
        <v>0</v>
      </c>
      <c r="K6" s="15" t="n">
        <f aca="false">SUMPRODUCT((Supuestos!$G$6:$G$12&lt;=A6)*(Supuestos!$H$6:$H$12&gt;=A6)*Supuestos!$I$6:$I$12)/Supuestos!$B$43+IF(AND(A6&gt;=Supuestos!$B$46,A6&lt;=EDATE(Supuestos!$B$46,Supuestos!$B$43-1)),Supuestos!$B$45/Supuestos!$B$43,0)</f>
        <v>2140450</v>
      </c>
      <c r="L6" s="17" t="n">
        <f aca="false">I6-J6-K6</f>
        <v>-1820183.33333333</v>
      </c>
      <c r="M6" s="15" t="n">
        <f aca="false">L6</f>
        <v>-1820183.33333333</v>
      </c>
      <c r="N6" s="17" t="n">
        <f aca="false">I6-J6</f>
        <v>320266.666666667</v>
      </c>
      <c r="O6" s="15" t="n">
        <f aca="false">N6</f>
        <v>320266.666666667</v>
      </c>
      <c r="P6" s="15" t="n">
        <f aca="false">K6-IF(A6=Supuestos!$F$35,Supuestos!$F$28,0)</f>
        <v>2140450</v>
      </c>
      <c r="Q6" s="15" t="n">
        <f aca="false">P6</f>
        <v>2140450</v>
      </c>
      <c r="R6" s="15" t="n">
        <f aca="false">(G6-MAX(0,G6)*Supuestos!$B$29)</f>
        <v>360300</v>
      </c>
      <c r="S6" s="15" t="n">
        <f aca="false">(G6-MAX(0,G6)*Supuestos!$B$30)</f>
        <v>320266.666666667</v>
      </c>
      <c r="T6" s="15" t="n">
        <f aca="false">(G6-MAX(0,G6)*Supuestos!$B$31)</f>
        <v>280233.333333333</v>
      </c>
    </row>
    <row r="7" customFormat="false" ht="15" hidden="false" customHeight="false" outlineLevel="0" collapsed="false">
      <c r="A7" s="21" t="n">
        <f aca="false">EDATE(A6,1)</f>
        <v>46327</v>
      </c>
      <c r="B7" s="19" t="n">
        <f aca="false">SUMPRODUCT(--(Supuestos!$D$6:$D$12&lt;=A7))</f>
        <v>3</v>
      </c>
      <c r="C7" s="15" t="n">
        <f aca="false">SUMPRODUCT((Supuestos!$D$6:$D$12&lt;=A7)*Supuestos!$C$6:$C$12)+IF(A7&gt;=Supuestos!$F$31,B7*Supuestos!$F$30*Supuestos!$F$29*Supuestos!$F$32,0)</f>
        <v>4184000</v>
      </c>
      <c r="D7" s="15" t="n">
        <f aca="false">IF(B7=0,0,Supuestos!$B$22+(Supuestos!$C$22-Supuestos!$B$22)*(B7-1)/(Supuestos!$F$33-1))-IF(A7&gt;=Supuestos!$B$46,Supuestos!$B$47,0)</f>
        <v>974600</v>
      </c>
      <c r="E7" s="15" t="n">
        <f aca="false">Supuestos!$C$23*B7/Supuestos!$F$33</f>
        <v>650000</v>
      </c>
      <c r="F7" s="15" t="n">
        <f aca="false">Supuestos!$C$24</f>
        <v>100000</v>
      </c>
      <c r="G7" s="15" t="n">
        <f aca="false">C7-D7-E7-F7</f>
        <v>2459400</v>
      </c>
      <c r="H7" s="15" t="n">
        <f aca="false">MAX(0,G7)*Supuestos!$B$28</f>
        <v>491880</v>
      </c>
      <c r="I7" s="17" t="n">
        <f aca="false">G7-H7</f>
        <v>1967520</v>
      </c>
      <c r="J7" s="15" t="n">
        <f aca="false">IFERROR(INDEX(Préstamo!$G$18:$G$57,MATCH(A7,Préstamo!$C$18:$C$57,0)),0)</f>
        <v>0</v>
      </c>
      <c r="K7" s="15" t="n">
        <f aca="false">SUMPRODUCT((Supuestos!$G$6:$G$12&lt;=A7)*(Supuestos!$H$6:$H$12&gt;=A7)*Supuestos!$I$6:$I$12)/Supuestos!$B$43+IF(AND(A7&gt;=Supuestos!$B$46,A7&lt;=EDATE(Supuestos!$B$46,Supuestos!$B$43-1)),Supuestos!$B$45/Supuestos!$B$43,0)</f>
        <v>2959425</v>
      </c>
      <c r="L7" s="17" t="n">
        <f aca="false">I7-J7-K7</f>
        <v>-991905</v>
      </c>
      <c r="M7" s="15" t="n">
        <f aca="false">M6+L7</f>
        <v>-2812088.33333333</v>
      </c>
      <c r="N7" s="17" t="n">
        <f aca="false">I7-J7</f>
        <v>1967520</v>
      </c>
      <c r="O7" s="15" t="n">
        <f aca="false">O6+N7</f>
        <v>2287786.66666667</v>
      </c>
      <c r="P7" s="15" t="n">
        <f aca="false">K7-IF(A7=Supuestos!$F$35,Supuestos!$F$28,0)</f>
        <v>2959425</v>
      </c>
      <c r="Q7" s="15" t="n">
        <f aca="false">Q6+P7</f>
        <v>5099875</v>
      </c>
      <c r="R7" s="15" t="n">
        <f aca="false">R6+(G7-MAX(0,G7)*Supuestos!$B$29)</f>
        <v>2573760</v>
      </c>
      <c r="S7" s="15" t="n">
        <f aca="false">S6+(G7-MAX(0,G7)*Supuestos!$B$30)</f>
        <v>2287786.66666667</v>
      </c>
      <c r="T7" s="15" t="n">
        <f aca="false">T6+(G7-MAX(0,G7)*Supuestos!$B$31)</f>
        <v>2001813.33333333</v>
      </c>
    </row>
    <row r="8" customFormat="false" ht="15" hidden="false" customHeight="false" outlineLevel="0" collapsed="false">
      <c r="A8" s="21" t="n">
        <f aca="false">EDATE(A7,1)</f>
        <v>46357</v>
      </c>
      <c r="B8" s="19" t="n">
        <f aca="false">SUMPRODUCT(--(Supuestos!$D$6:$D$12&lt;=A8))</f>
        <v>4</v>
      </c>
      <c r="C8" s="15" t="n">
        <f aca="false">SUMPRODUCT((Supuestos!$D$6:$D$12&lt;=A8)*Supuestos!$C$6:$C$12)+IF(A8&gt;=Supuestos!$F$31,B8*Supuestos!$F$30*Supuestos!$F$29*Supuestos!$F$32,0)</f>
        <v>5562000</v>
      </c>
      <c r="D8" s="15" t="n">
        <f aca="false">IF(B8=0,0,Supuestos!$B$22+(Supuestos!$C$22-Supuestos!$B$22)*(B8-1)/(Supuestos!$F$33-1))-IF(A8&gt;=Supuestos!$B$46,Supuestos!$B$47,0)</f>
        <v>1181400</v>
      </c>
      <c r="E8" s="15" t="n">
        <f aca="false">Supuestos!$C$23*B8/Supuestos!$F$33</f>
        <v>866666.666666667</v>
      </c>
      <c r="F8" s="15" t="n">
        <f aca="false">Supuestos!$C$24</f>
        <v>100000</v>
      </c>
      <c r="G8" s="15" t="n">
        <f aca="false">C8-D8-E8-F8</f>
        <v>3413933.33333333</v>
      </c>
      <c r="H8" s="15" t="n">
        <f aca="false">MAX(0,G8)*Supuestos!$B$28</f>
        <v>682786.666666667</v>
      </c>
      <c r="I8" s="17" t="n">
        <f aca="false">G8-H8</f>
        <v>2731146.66666667</v>
      </c>
      <c r="J8" s="15" t="n">
        <f aca="false">IFERROR(INDEX(Préstamo!$G$18:$G$57,MATCH(A8,Préstamo!$C$18:$C$57,0)),0)</f>
        <v>1323132.23757242</v>
      </c>
      <c r="K8" s="15" t="n">
        <f aca="false">SUMPRODUCT((Supuestos!$G$6:$G$12&lt;=A8)*(Supuestos!$H$6:$H$12&gt;=A8)*Supuestos!$I$6:$I$12)/Supuestos!$B$43+IF(AND(A8&gt;=Supuestos!$B$46,A8&lt;=EDATE(Supuestos!$B$46,Supuestos!$B$43-1)),Supuestos!$B$45/Supuestos!$B$43,0)</f>
        <v>3778400</v>
      </c>
      <c r="L8" s="17" t="n">
        <f aca="false">I8-J8-K8</f>
        <v>-2370385.57090575</v>
      </c>
      <c r="M8" s="15" t="n">
        <f aca="false">M7+L8</f>
        <v>-5182473.90423908</v>
      </c>
      <c r="N8" s="17" t="n">
        <f aca="false">I8-J8</f>
        <v>1408014.42909425</v>
      </c>
      <c r="O8" s="15" t="n">
        <f aca="false">O7+N8</f>
        <v>3695801.09576092</v>
      </c>
      <c r="P8" s="15" t="n">
        <f aca="false">K8-IF(A8=Supuestos!$F$35,Supuestos!$F$28,0)</f>
        <v>3778400</v>
      </c>
      <c r="Q8" s="15" t="n">
        <f aca="false">Q7+P8</f>
        <v>8878275</v>
      </c>
      <c r="R8" s="15" t="n">
        <f aca="false">R7+(G8-MAX(0,G8)*Supuestos!$B$29)</f>
        <v>5646300</v>
      </c>
      <c r="S8" s="15" t="n">
        <f aca="false">S7+(G8-MAX(0,G8)*Supuestos!$B$30)</f>
        <v>5018933.33333333</v>
      </c>
      <c r="T8" s="15" t="n">
        <f aca="false">T7+(G8-MAX(0,G8)*Supuestos!$B$31)</f>
        <v>4391566.66666667</v>
      </c>
    </row>
    <row r="9" customFormat="false" ht="15" hidden="false" customHeight="false" outlineLevel="0" collapsed="false">
      <c r="A9" s="21" t="n">
        <f aca="false">EDATE(A8,1)</f>
        <v>46388</v>
      </c>
      <c r="B9" s="19" t="n">
        <f aca="false">SUMPRODUCT(--(Supuestos!$D$6:$D$12&lt;=A9))</f>
        <v>5</v>
      </c>
      <c r="C9" s="15" t="n">
        <f aca="false">SUMPRODUCT((Supuestos!$D$6:$D$12&lt;=A9)*Supuestos!$C$6:$C$12)+IF(A9&gt;=Supuestos!$F$31,B9*Supuestos!$F$30*Supuestos!$F$29*Supuestos!$F$32,0)</f>
        <v>6690000</v>
      </c>
      <c r="D9" s="15" t="n">
        <f aca="false">IF(B9=0,0,Supuestos!$B$22+(Supuestos!$C$22-Supuestos!$B$22)*(B9-1)/(Supuestos!$F$33-1))-IF(A9&gt;=Supuestos!$B$46,Supuestos!$B$47,0)</f>
        <v>1388200</v>
      </c>
      <c r="E9" s="15" t="n">
        <f aca="false">Supuestos!$C$23*B9/Supuestos!$F$33</f>
        <v>1083333.33333333</v>
      </c>
      <c r="F9" s="15" t="n">
        <f aca="false">Supuestos!$C$24</f>
        <v>100000</v>
      </c>
      <c r="G9" s="15" t="n">
        <f aca="false">C9-D9-E9-F9</f>
        <v>4118466.66666667</v>
      </c>
      <c r="H9" s="15" t="n">
        <f aca="false">MAX(0,G9)*Supuestos!$B$28</f>
        <v>823693.333333334</v>
      </c>
      <c r="I9" s="17" t="n">
        <f aca="false">G9-H9</f>
        <v>3294773.33333333</v>
      </c>
      <c r="J9" s="15" t="n">
        <f aca="false">IFERROR(INDEX(Préstamo!$G$18:$G$57,MATCH(A9,Préstamo!$C$18:$C$57,0)),0)</f>
        <v>1323132.23757242</v>
      </c>
      <c r="K9" s="15" t="n">
        <f aca="false">SUMPRODUCT((Supuestos!$G$6:$G$12&lt;=A9)*(Supuestos!$H$6:$H$12&gt;=A9)*Supuestos!$I$6:$I$12)/Supuestos!$B$43+IF(AND(A9&gt;=Supuestos!$B$46,A9&lt;=EDATE(Supuestos!$B$46,Supuestos!$B$43-1)),Supuestos!$B$45/Supuestos!$B$43,0)</f>
        <v>4597375</v>
      </c>
      <c r="L9" s="17" t="n">
        <f aca="false">I9-J9-K9</f>
        <v>-2625733.90423908</v>
      </c>
      <c r="M9" s="15" t="n">
        <f aca="false">M8+L9</f>
        <v>-7808207.80847817</v>
      </c>
      <c r="N9" s="17" t="n">
        <f aca="false">I9-J9</f>
        <v>1971641.09576092</v>
      </c>
      <c r="O9" s="15" t="n">
        <f aca="false">O8+N9</f>
        <v>5667442.19152183</v>
      </c>
      <c r="P9" s="15" t="n">
        <f aca="false">K9-IF(A9=Supuestos!$F$35,Supuestos!$F$28,0)</f>
        <v>4597375</v>
      </c>
      <c r="Q9" s="15" t="n">
        <f aca="false">Q8+P9</f>
        <v>13475650</v>
      </c>
      <c r="R9" s="15" t="n">
        <f aca="false">R8+(G9-MAX(0,G9)*Supuestos!$B$29)</f>
        <v>9352920</v>
      </c>
      <c r="S9" s="15" t="n">
        <f aca="false">S8+(G9-MAX(0,G9)*Supuestos!$B$30)</f>
        <v>8313706.66666667</v>
      </c>
      <c r="T9" s="15" t="n">
        <f aca="false">T8+(G9-MAX(0,G9)*Supuestos!$B$31)</f>
        <v>7274493.33333333</v>
      </c>
    </row>
    <row r="10" customFormat="false" ht="15" hidden="false" customHeight="false" outlineLevel="0" collapsed="false">
      <c r="A10" s="21" t="n">
        <f aca="false">EDATE(A9,1)</f>
        <v>46419</v>
      </c>
      <c r="B10" s="19" t="n">
        <f aca="false">SUMPRODUCT(--(Supuestos!$D$6:$D$12&lt;=A10))</f>
        <v>6</v>
      </c>
      <c r="C10" s="15" t="n">
        <f aca="false">SUMPRODUCT((Supuestos!$D$6:$D$12&lt;=A10)*Supuestos!$C$6:$C$12)+IF(A10&gt;=Supuestos!$F$31,B10*Supuestos!$F$30*Supuestos!$F$29*Supuestos!$F$32,0)</f>
        <v>7818000</v>
      </c>
      <c r="D10" s="15" t="n">
        <f aca="false">IF(B10=0,0,Supuestos!$B$22+(Supuestos!$C$22-Supuestos!$B$22)*(B10-1)/(Supuestos!$F$33-1))-IF(A10&gt;=Supuestos!$B$46,Supuestos!$B$47,0)</f>
        <v>1595000</v>
      </c>
      <c r="E10" s="15" t="n">
        <f aca="false">Supuestos!$C$23*B10/Supuestos!$F$33</f>
        <v>1300000</v>
      </c>
      <c r="F10" s="15" t="n">
        <f aca="false">Supuestos!$C$24</f>
        <v>100000</v>
      </c>
      <c r="G10" s="15" t="n">
        <f aca="false">C10-D10-E10-F10</f>
        <v>4823000</v>
      </c>
      <c r="H10" s="15" t="n">
        <f aca="false">MAX(0,G10)*Supuestos!$B$28</f>
        <v>964600</v>
      </c>
      <c r="I10" s="17" t="n">
        <f aca="false">G10-H10</f>
        <v>3858400</v>
      </c>
      <c r="J10" s="15" t="n">
        <f aca="false">IFERROR(INDEX(Préstamo!$G$18:$G$57,MATCH(A10,Préstamo!$C$18:$C$57,0)),0)</f>
        <v>1323132.23757242</v>
      </c>
      <c r="K10" s="15" t="n">
        <f aca="false">SUMPRODUCT((Supuestos!$G$6:$G$12&lt;=A10)*(Supuestos!$H$6:$H$12&gt;=A10)*Supuestos!$I$6:$I$12)/Supuestos!$B$43+IF(AND(A10&gt;=Supuestos!$B$46,A10&lt;=EDATE(Supuestos!$B$46,Supuestos!$B$43-1)),Supuestos!$B$45/Supuestos!$B$43,0)</f>
        <v>5416350</v>
      </c>
      <c r="L10" s="17" t="n">
        <f aca="false">I10-J10-K10</f>
        <v>-2881082.23757242</v>
      </c>
      <c r="M10" s="15" t="n">
        <f aca="false">M9+L10</f>
        <v>-10689290.0460506</v>
      </c>
      <c r="N10" s="17" t="n">
        <f aca="false">I10-J10</f>
        <v>2535267.76242758</v>
      </c>
      <c r="O10" s="15" t="n">
        <f aca="false">O9+N10</f>
        <v>8202709.95394942</v>
      </c>
      <c r="P10" s="15" t="n">
        <f aca="false">K10-IF(A10=Supuestos!$F$35,Supuestos!$F$28,0)</f>
        <v>5416350</v>
      </c>
      <c r="Q10" s="15" t="n">
        <f aca="false">Q9+P10</f>
        <v>18892000</v>
      </c>
      <c r="R10" s="15" t="n">
        <f aca="false">R9+(G10-MAX(0,G10)*Supuestos!$B$29)</f>
        <v>13693620</v>
      </c>
      <c r="S10" s="15" t="n">
        <f aca="false">S9+(G10-MAX(0,G10)*Supuestos!$B$30)</f>
        <v>12172106.6666667</v>
      </c>
      <c r="T10" s="15" t="n">
        <f aca="false">T9+(G10-MAX(0,G10)*Supuestos!$B$31)</f>
        <v>10650593.3333333</v>
      </c>
    </row>
    <row r="11" customFormat="false" ht="15" hidden="false" customHeight="false" outlineLevel="0" collapsed="false">
      <c r="A11" s="21" t="n">
        <f aca="false">EDATE(A10,1)</f>
        <v>46447</v>
      </c>
      <c r="B11" s="19" t="n">
        <f aca="false">SUMPRODUCT(--(Supuestos!$D$6:$D$12&lt;=A11))</f>
        <v>6</v>
      </c>
      <c r="C11" s="15" t="n">
        <f aca="false">SUMPRODUCT((Supuestos!$D$6:$D$12&lt;=A11)*Supuestos!$C$6:$C$12)+IF(A11&gt;=Supuestos!$F$31,B11*Supuestos!$F$30*Supuestos!$F$29*Supuestos!$F$32,0)</f>
        <v>7818000</v>
      </c>
      <c r="D11" s="15" t="n">
        <f aca="false">IF(B11=0,0,Supuestos!$B$22+(Supuestos!$C$22-Supuestos!$B$22)*(B11-1)/(Supuestos!$F$33-1))-IF(A11&gt;=Supuestos!$B$46,Supuestos!$B$47,0)</f>
        <v>1595000</v>
      </c>
      <c r="E11" s="15" t="n">
        <f aca="false">Supuestos!$C$23*B11/Supuestos!$F$33</f>
        <v>1300000</v>
      </c>
      <c r="F11" s="15" t="n">
        <f aca="false">Supuestos!$C$24</f>
        <v>100000</v>
      </c>
      <c r="G11" s="15" t="n">
        <f aca="false">C11-D11-E11-F11</f>
        <v>4823000</v>
      </c>
      <c r="H11" s="15" t="n">
        <f aca="false">MAX(0,G11)*Supuestos!$B$28</f>
        <v>964600</v>
      </c>
      <c r="I11" s="17" t="n">
        <f aca="false">G11-H11</f>
        <v>3858400</v>
      </c>
      <c r="J11" s="15" t="n">
        <f aca="false">IFERROR(INDEX(Préstamo!$G$18:$G$57,MATCH(A11,Préstamo!$C$18:$C$57,0)),0)</f>
        <v>1323132.23757242</v>
      </c>
      <c r="K11" s="15" t="n">
        <f aca="false">SUMPRODUCT((Supuestos!$G$6:$G$12&lt;=A11)*(Supuestos!$H$6:$H$12&gt;=A11)*Supuestos!$I$6:$I$12)/Supuestos!$B$43+IF(AND(A11&gt;=Supuestos!$B$46,A11&lt;=EDATE(Supuestos!$B$46,Supuestos!$B$43-1)),Supuestos!$B$45/Supuestos!$B$43,0)</f>
        <v>5416350</v>
      </c>
      <c r="L11" s="17" t="n">
        <f aca="false">I11-J11-K11</f>
        <v>-2881082.23757242</v>
      </c>
      <c r="M11" s="15" t="n">
        <f aca="false">M10+L11</f>
        <v>-13570372.283623</v>
      </c>
      <c r="N11" s="17" t="n">
        <f aca="false">I11-J11</f>
        <v>2535267.76242758</v>
      </c>
      <c r="O11" s="15" t="n">
        <f aca="false">O10+N11</f>
        <v>10737977.716377</v>
      </c>
      <c r="P11" s="15" t="n">
        <f aca="false">K11-IF(A11=Supuestos!$F$35,Supuestos!$F$28,0)</f>
        <v>5416350</v>
      </c>
      <c r="Q11" s="15" t="n">
        <f aca="false">Q10+P11</f>
        <v>24308350</v>
      </c>
      <c r="R11" s="15" t="n">
        <f aca="false">R10+(G11-MAX(0,G11)*Supuestos!$B$29)</f>
        <v>18034320</v>
      </c>
      <c r="S11" s="15" t="n">
        <f aca="false">S10+(G11-MAX(0,G11)*Supuestos!$B$30)</f>
        <v>16030506.6666667</v>
      </c>
      <c r="T11" s="15" t="n">
        <f aca="false">T10+(G11-MAX(0,G11)*Supuestos!$B$31)</f>
        <v>14026693.3333333</v>
      </c>
    </row>
    <row r="12" customFormat="false" ht="15" hidden="false" customHeight="false" outlineLevel="0" collapsed="false">
      <c r="A12" s="21" t="n">
        <f aca="false">EDATE(A11,1)</f>
        <v>46478</v>
      </c>
      <c r="B12" s="19" t="n">
        <f aca="false">SUMPRODUCT(--(Supuestos!$D$6:$D$12&lt;=A12))</f>
        <v>6</v>
      </c>
      <c r="C12" s="15" t="n">
        <f aca="false">SUMPRODUCT((Supuestos!$D$6:$D$12&lt;=A12)*Supuestos!$C$6:$C$12)+IF(A12&gt;=Supuestos!$F$31,B12*Supuestos!$F$30*Supuestos!$F$29*Supuestos!$F$32,0)</f>
        <v>7818000</v>
      </c>
      <c r="D12" s="15" t="n">
        <f aca="false">IF(B12=0,0,Supuestos!$B$22+(Supuestos!$C$22-Supuestos!$B$22)*(B12-1)/(Supuestos!$F$33-1))-IF(A12&gt;=Supuestos!$B$46,Supuestos!$B$47,0)</f>
        <v>1595000</v>
      </c>
      <c r="E12" s="15" t="n">
        <f aca="false">Supuestos!$C$23*B12/Supuestos!$F$33</f>
        <v>1300000</v>
      </c>
      <c r="F12" s="15" t="n">
        <f aca="false">Supuestos!$C$24</f>
        <v>100000</v>
      </c>
      <c r="G12" s="15" t="n">
        <f aca="false">C12-D12-E12-F12</f>
        <v>4823000</v>
      </c>
      <c r="H12" s="15" t="n">
        <f aca="false">MAX(0,G12)*Supuestos!$B$28</f>
        <v>964600</v>
      </c>
      <c r="I12" s="17" t="n">
        <f aca="false">G12-H12</f>
        <v>3858400</v>
      </c>
      <c r="J12" s="15" t="n">
        <f aca="false">IFERROR(INDEX(Préstamo!$G$18:$G$57,MATCH(A12,Préstamo!$C$18:$C$57,0)),0)</f>
        <v>1323132.23757242</v>
      </c>
      <c r="K12" s="15" t="n">
        <f aca="false">SUMPRODUCT((Supuestos!$G$6:$G$12&lt;=A12)*(Supuestos!$H$6:$H$12&gt;=A12)*Supuestos!$I$6:$I$12)/Supuestos!$B$43+IF(AND(A12&gt;=Supuestos!$B$46,A12&lt;=EDATE(Supuestos!$B$46,Supuestos!$B$43-1)),Supuestos!$B$45/Supuestos!$B$43,0)</f>
        <v>5416350</v>
      </c>
      <c r="L12" s="17" t="n">
        <f aca="false">I12-J12-K12</f>
        <v>-2881082.23757242</v>
      </c>
      <c r="M12" s="15" t="n">
        <f aca="false">M11+L12</f>
        <v>-16451454.5211954</v>
      </c>
      <c r="N12" s="17" t="n">
        <f aca="false">I12-J12</f>
        <v>2535267.76242758</v>
      </c>
      <c r="O12" s="15" t="n">
        <f aca="false">O11+N12</f>
        <v>13273245.4788046</v>
      </c>
      <c r="P12" s="15" t="n">
        <f aca="false">K12-IF(A12=Supuestos!$F$35,Supuestos!$F$28,0)</f>
        <v>5416350</v>
      </c>
      <c r="Q12" s="15" t="n">
        <f aca="false">Q11+P12</f>
        <v>29724700</v>
      </c>
      <c r="R12" s="15" t="n">
        <f aca="false">R11+(G12-MAX(0,G12)*Supuestos!$B$29)</f>
        <v>22375020</v>
      </c>
      <c r="S12" s="15" t="n">
        <f aca="false">S11+(G12-MAX(0,G12)*Supuestos!$B$30)</f>
        <v>19888906.6666667</v>
      </c>
      <c r="T12" s="15" t="n">
        <f aca="false">T11+(G12-MAX(0,G12)*Supuestos!$B$31)</f>
        <v>17402793.3333333</v>
      </c>
    </row>
    <row r="13" customFormat="false" ht="15" hidden="false" customHeight="false" outlineLevel="0" collapsed="false">
      <c r="A13" s="21" t="n">
        <f aca="false">EDATE(A12,1)</f>
        <v>46508</v>
      </c>
      <c r="B13" s="19" t="n">
        <f aca="false">SUMPRODUCT(--(Supuestos!$D$6:$D$12&lt;=A13))</f>
        <v>6</v>
      </c>
      <c r="C13" s="15" t="n">
        <f aca="false">SUMPRODUCT((Supuestos!$D$6:$D$12&lt;=A13)*Supuestos!$C$6:$C$12)+IF(A13&gt;=Supuestos!$F$31,B13*Supuestos!$F$30*Supuestos!$F$29*Supuestos!$F$32,0)</f>
        <v>7818000</v>
      </c>
      <c r="D13" s="15" t="n">
        <f aca="false">IF(B13=0,0,Supuestos!$B$22+(Supuestos!$C$22-Supuestos!$B$22)*(B13-1)/(Supuestos!$F$33-1))-IF(A13&gt;=Supuestos!$B$46,Supuestos!$B$47,0)</f>
        <v>1595000</v>
      </c>
      <c r="E13" s="15" t="n">
        <f aca="false">Supuestos!$C$23*B13/Supuestos!$F$33</f>
        <v>1300000</v>
      </c>
      <c r="F13" s="15" t="n">
        <f aca="false">Supuestos!$C$24</f>
        <v>100000</v>
      </c>
      <c r="G13" s="15" t="n">
        <f aca="false">C13-D13-E13-F13</f>
        <v>4823000</v>
      </c>
      <c r="H13" s="15" t="n">
        <f aca="false">MAX(0,G13)*Supuestos!$B$28</f>
        <v>964600</v>
      </c>
      <c r="I13" s="17" t="n">
        <f aca="false">G13-H13</f>
        <v>3858400</v>
      </c>
      <c r="J13" s="15" t="n">
        <f aca="false">IFERROR(INDEX(Préstamo!$G$18:$G$57,MATCH(A13,Préstamo!$C$18:$C$57,0)),0)</f>
        <v>1323132.23757242</v>
      </c>
      <c r="K13" s="15" t="n">
        <f aca="false">SUMPRODUCT((Supuestos!$G$6:$G$12&lt;=A13)*(Supuestos!$H$6:$H$12&gt;=A13)*Supuestos!$I$6:$I$12)/Supuestos!$B$43+IF(AND(A13&gt;=Supuestos!$B$46,A13&lt;=EDATE(Supuestos!$B$46,Supuestos!$B$43-1)),Supuestos!$B$45/Supuestos!$B$43,0)</f>
        <v>4597375</v>
      </c>
      <c r="L13" s="17" t="n">
        <f aca="false">I13-J13-K13</f>
        <v>-2062107.23757242</v>
      </c>
      <c r="M13" s="15" t="n">
        <f aca="false">M12+L13</f>
        <v>-18513561.7587678</v>
      </c>
      <c r="N13" s="17" t="n">
        <f aca="false">I13-J13</f>
        <v>2535267.76242758</v>
      </c>
      <c r="O13" s="15" t="n">
        <f aca="false">O12+N13</f>
        <v>15808513.2412322</v>
      </c>
      <c r="P13" s="15" t="n">
        <f aca="false">K13-IF(A13=Supuestos!$F$35,Supuestos!$F$28,0)</f>
        <v>4597375</v>
      </c>
      <c r="Q13" s="15" t="n">
        <f aca="false">Q12+P13</f>
        <v>34322075</v>
      </c>
      <c r="R13" s="15" t="n">
        <f aca="false">R12+(G13-MAX(0,G13)*Supuestos!$B$29)</f>
        <v>26715720</v>
      </c>
      <c r="S13" s="15" t="n">
        <f aca="false">S12+(G13-MAX(0,G13)*Supuestos!$B$30)</f>
        <v>23747306.6666667</v>
      </c>
      <c r="T13" s="15" t="n">
        <f aca="false">T12+(G13-MAX(0,G13)*Supuestos!$B$31)</f>
        <v>20778893.3333333</v>
      </c>
    </row>
    <row r="14" customFormat="false" ht="15" hidden="false" customHeight="false" outlineLevel="0" collapsed="false">
      <c r="A14" s="21" t="n">
        <f aca="false">EDATE(A13,1)</f>
        <v>46539</v>
      </c>
      <c r="B14" s="19" t="n">
        <f aca="false">SUMPRODUCT(--(Supuestos!$D$6:$D$12&lt;=A14))</f>
        <v>6</v>
      </c>
      <c r="C14" s="15" t="n">
        <f aca="false">SUMPRODUCT((Supuestos!$D$6:$D$12&lt;=A14)*Supuestos!$C$6:$C$12)+IF(A14&gt;=Supuestos!$F$31,B14*Supuestos!$F$30*Supuestos!$F$29*Supuestos!$F$32,0)</f>
        <v>7818000</v>
      </c>
      <c r="D14" s="15" t="n">
        <f aca="false">IF(B14=0,0,Supuestos!$B$22+(Supuestos!$C$22-Supuestos!$B$22)*(B14-1)/(Supuestos!$F$33-1))-IF(A14&gt;=Supuestos!$B$46,Supuestos!$B$47,0)</f>
        <v>1595000</v>
      </c>
      <c r="E14" s="15" t="n">
        <f aca="false">Supuestos!$C$23*B14/Supuestos!$F$33</f>
        <v>1300000</v>
      </c>
      <c r="F14" s="15" t="n">
        <f aca="false">Supuestos!$C$24</f>
        <v>100000</v>
      </c>
      <c r="G14" s="15" t="n">
        <f aca="false">C14-D14-E14-F14</f>
        <v>4823000</v>
      </c>
      <c r="H14" s="15" t="n">
        <f aca="false">MAX(0,G14)*Supuestos!$B$28</f>
        <v>964600</v>
      </c>
      <c r="I14" s="17" t="n">
        <f aca="false">G14-H14</f>
        <v>3858400</v>
      </c>
      <c r="J14" s="15" t="n">
        <f aca="false">IFERROR(INDEX(Préstamo!$G$18:$G$57,MATCH(A14,Préstamo!$C$18:$C$57,0)),0)</f>
        <v>1323132.23757242</v>
      </c>
      <c r="K14" s="15" t="n">
        <f aca="false">SUMPRODUCT((Supuestos!$G$6:$G$12&lt;=A14)*(Supuestos!$H$6:$H$12&gt;=A14)*Supuestos!$I$6:$I$12)/Supuestos!$B$43+IF(AND(A14&gt;=Supuestos!$B$46,A14&lt;=EDATE(Supuestos!$B$46,Supuestos!$B$43-1)),Supuestos!$B$45/Supuestos!$B$43,0)</f>
        <v>3275900</v>
      </c>
      <c r="L14" s="17" t="n">
        <f aca="false">I14-J14-K14</f>
        <v>-740632.237572417</v>
      </c>
      <c r="M14" s="15" t="n">
        <f aca="false">M13+L14</f>
        <v>-19254193.9963403</v>
      </c>
      <c r="N14" s="17" t="n">
        <f aca="false">I14-J14</f>
        <v>2535267.76242758</v>
      </c>
      <c r="O14" s="15" t="n">
        <f aca="false">O13+N14</f>
        <v>18343781.0036598</v>
      </c>
      <c r="P14" s="15" t="n">
        <f aca="false">K14-IF(A14=Supuestos!$F$35,Supuestos!$F$28,0)</f>
        <v>3275900</v>
      </c>
      <c r="Q14" s="15" t="n">
        <f aca="false">Q13+P14</f>
        <v>37597975</v>
      </c>
      <c r="R14" s="15" t="n">
        <f aca="false">R13+(G14-MAX(0,G14)*Supuestos!$B$29)</f>
        <v>31056420</v>
      </c>
      <c r="S14" s="15" t="n">
        <f aca="false">S13+(G14-MAX(0,G14)*Supuestos!$B$30)</f>
        <v>27605706.6666667</v>
      </c>
      <c r="T14" s="15" t="n">
        <f aca="false">T13+(G14-MAX(0,G14)*Supuestos!$B$31)</f>
        <v>24154993.3333333</v>
      </c>
    </row>
    <row r="15" customFormat="false" ht="15" hidden="false" customHeight="false" outlineLevel="0" collapsed="false">
      <c r="A15" s="21" t="n">
        <f aca="false">EDATE(A14,1)</f>
        <v>46569</v>
      </c>
      <c r="B15" s="19" t="n">
        <f aca="false">SUMPRODUCT(--(Supuestos!$D$6:$D$12&lt;=A15))</f>
        <v>6</v>
      </c>
      <c r="C15" s="15" t="n">
        <f aca="false">SUMPRODUCT((Supuestos!$D$6:$D$12&lt;=A15)*Supuestos!$C$6:$C$12)+IF(A15&gt;=Supuestos!$F$31,B15*Supuestos!$F$30*Supuestos!$F$29*Supuestos!$F$32,0)</f>
        <v>7818000</v>
      </c>
      <c r="D15" s="15" t="n">
        <f aca="false">IF(B15=0,0,Supuestos!$B$22+(Supuestos!$C$22-Supuestos!$B$22)*(B15-1)/(Supuestos!$F$33-1))-IF(A15&gt;=Supuestos!$B$46,Supuestos!$B$47,0)</f>
        <v>1595000</v>
      </c>
      <c r="E15" s="15" t="n">
        <f aca="false">Supuestos!$C$23*B15/Supuestos!$F$33</f>
        <v>1300000</v>
      </c>
      <c r="F15" s="15" t="n">
        <f aca="false">Supuestos!$C$24</f>
        <v>100000</v>
      </c>
      <c r="G15" s="15" t="n">
        <f aca="false">C15-D15-E15-F15</f>
        <v>4823000</v>
      </c>
      <c r="H15" s="15" t="n">
        <f aca="false">MAX(0,G15)*Supuestos!$B$28</f>
        <v>964600</v>
      </c>
      <c r="I15" s="17" t="n">
        <f aca="false">G15-H15</f>
        <v>3858400</v>
      </c>
      <c r="J15" s="15" t="n">
        <f aca="false">IFERROR(INDEX(Préstamo!$G$18:$G$57,MATCH(A15,Préstamo!$C$18:$C$57,0)),0)</f>
        <v>1323132.23757242</v>
      </c>
      <c r="K15" s="15" t="n">
        <f aca="false">SUMPRODUCT((Supuestos!$G$6:$G$12&lt;=A15)*(Supuestos!$H$6:$H$12&gt;=A15)*Supuestos!$I$6:$I$12)/Supuestos!$B$43+IF(AND(A15&gt;=Supuestos!$B$46,A15&lt;=EDATE(Supuestos!$B$46,Supuestos!$B$43-1)),Supuestos!$B$45/Supuestos!$B$43,0)</f>
        <v>2456925</v>
      </c>
      <c r="L15" s="17" t="n">
        <f aca="false">I15-J15-K15</f>
        <v>78342.7624275833</v>
      </c>
      <c r="M15" s="15" t="n">
        <f aca="false">M14+L15</f>
        <v>-19175851.2339127</v>
      </c>
      <c r="N15" s="17" t="n">
        <f aca="false">I15-J15</f>
        <v>2535267.76242758</v>
      </c>
      <c r="O15" s="15" t="n">
        <f aca="false">O14+N15</f>
        <v>20879048.7660873</v>
      </c>
      <c r="P15" s="15" t="n">
        <f aca="false">K15-IF(A15=Supuestos!$F$35,Supuestos!$F$28,0)</f>
        <v>2456925</v>
      </c>
      <c r="Q15" s="15" t="n">
        <f aca="false">Q14+P15</f>
        <v>40054900</v>
      </c>
      <c r="R15" s="15" t="n">
        <f aca="false">R14+(G15-MAX(0,G15)*Supuestos!$B$29)</f>
        <v>35397120</v>
      </c>
      <c r="S15" s="15" t="n">
        <f aca="false">S14+(G15-MAX(0,G15)*Supuestos!$B$30)</f>
        <v>31464106.6666667</v>
      </c>
      <c r="T15" s="15" t="n">
        <f aca="false">T14+(G15-MAX(0,G15)*Supuestos!$B$31)</f>
        <v>27531093.3333333</v>
      </c>
    </row>
    <row r="16" customFormat="false" ht="15" hidden="false" customHeight="false" outlineLevel="0" collapsed="false">
      <c r="A16" s="21" t="n">
        <f aca="false">EDATE(A15,1)</f>
        <v>46600</v>
      </c>
      <c r="B16" s="19" t="n">
        <f aca="false">SUMPRODUCT(--(Supuestos!$D$6:$D$12&lt;=A16))</f>
        <v>6</v>
      </c>
      <c r="C16" s="15" t="n">
        <f aca="false">SUMPRODUCT((Supuestos!$D$6:$D$12&lt;=A16)*Supuestos!$C$6:$C$12)+IF(A16&gt;=Supuestos!$F$31,B16*Supuestos!$F$30*Supuestos!$F$29*Supuestos!$F$32,0)</f>
        <v>7818000</v>
      </c>
      <c r="D16" s="15" t="n">
        <f aca="false">IF(B16=0,0,Supuestos!$B$22+(Supuestos!$C$22-Supuestos!$B$22)*(B16-1)/(Supuestos!$F$33-1))-IF(A16&gt;=Supuestos!$B$46,Supuestos!$B$47,0)</f>
        <v>1595000</v>
      </c>
      <c r="E16" s="15" t="n">
        <f aca="false">Supuestos!$C$23*B16/Supuestos!$F$33</f>
        <v>1300000</v>
      </c>
      <c r="F16" s="15" t="n">
        <f aca="false">Supuestos!$C$24</f>
        <v>100000</v>
      </c>
      <c r="G16" s="15" t="n">
        <f aca="false">C16-D16-E16-F16</f>
        <v>4823000</v>
      </c>
      <c r="H16" s="15" t="n">
        <f aca="false">MAX(0,G16)*Supuestos!$B$28</f>
        <v>964600</v>
      </c>
      <c r="I16" s="17" t="n">
        <f aca="false">G16-H16</f>
        <v>3858400</v>
      </c>
      <c r="J16" s="15" t="n">
        <f aca="false">IFERROR(INDEX(Préstamo!$G$18:$G$57,MATCH(A16,Préstamo!$C$18:$C$57,0)),0)</f>
        <v>1323132.23757242</v>
      </c>
      <c r="K16" s="15" t="n">
        <f aca="false">SUMPRODUCT((Supuestos!$G$6:$G$12&lt;=A16)*(Supuestos!$H$6:$H$12&gt;=A16)*Supuestos!$I$6:$I$12)/Supuestos!$B$43+IF(AND(A16&gt;=Supuestos!$B$46,A16&lt;=EDATE(Supuestos!$B$46,Supuestos!$B$43-1)),Supuestos!$B$45/Supuestos!$B$43,0)</f>
        <v>1637950</v>
      </c>
      <c r="L16" s="17" t="n">
        <f aca="false">I16-J16-K16</f>
        <v>897317.762427583</v>
      </c>
      <c r="M16" s="15" t="n">
        <f aca="false">M15+L16</f>
        <v>-18278533.4714851</v>
      </c>
      <c r="N16" s="17" t="n">
        <f aca="false">I16-J16</f>
        <v>2535267.76242758</v>
      </c>
      <c r="O16" s="15" t="n">
        <f aca="false">O15+N16</f>
        <v>23414316.5285149</v>
      </c>
      <c r="P16" s="15" t="n">
        <f aca="false">K16-IF(A16=Supuestos!$F$35,Supuestos!$F$28,0)</f>
        <v>1637950</v>
      </c>
      <c r="Q16" s="15" t="n">
        <f aca="false">Q15+P16</f>
        <v>41692850</v>
      </c>
      <c r="R16" s="15" t="n">
        <f aca="false">R15+(G16-MAX(0,G16)*Supuestos!$B$29)</f>
        <v>39737820</v>
      </c>
      <c r="S16" s="15" t="n">
        <f aca="false">S15+(G16-MAX(0,G16)*Supuestos!$B$30)</f>
        <v>35322506.6666667</v>
      </c>
      <c r="T16" s="15" t="n">
        <f aca="false">T15+(G16-MAX(0,G16)*Supuestos!$B$31)</f>
        <v>30907193.3333333</v>
      </c>
    </row>
    <row r="17" customFormat="false" ht="15" hidden="false" customHeight="false" outlineLevel="0" collapsed="false">
      <c r="A17" s="53" t="n">
        <f aca="false">EDATE(A16,1)</f>
        <v>46631</v>
      </c>
      <c r="B17" s="54" t="n">
        <f aca="false">SUMPRODUCT(--(Supuestos!$D$6:$D$12&lt;=A17))</f>
        <v>6</v>
      </c>
      <c r="C17" s="55" t="n">
        <f aca="false">SUMPRODUCT((Supuestos!$D$6:$D$12&lt;=A17)*Supuestos!$C$6:$C$12)+IF(A17&gt;=Supuestos!$F$31,B17*Supuestos!$F$30*Supuestos!$F$29*Supuestos!$F$32,0)</f>
        <v>7818000</v>
      </c>
      <c r="D17" s="55" t="n">
        <f aca="false">IF(B17=0,0,Supuestos!$B$22+(Supuestos!$C$22-Supuestos!$B$22)*(B17-1)/(Supuestos!$F$33-1))-IF(A17&gt;=Supuestos!$B$46,Supuestos!$B$47,0)</f>
        <v>1595000</v>
      </c>
      <c r="E17" s="55" t="n">
        <f aca="false">Supuestos!$C$23*B17/Supuestos!$F$33</f>
        <v>1300000</v>
      </c>
      <c r="F17" s="55" t="n">
        <f aca="false">Supuestos!$C$24</f>
        <v>100000</v>
      </c>
      <c r="G17" s="55" t="n">
        <f aca="false">C17-D17-E17-F17</f>
        <v>4823000</v>
      </c>
      <c r="H17" s="55" t="n">
        <f aca="false">MAX(0,G17)*Supuestos!$B$28</f>
        <v>964600</v>
      </c>
      <c r="I17" s="56" t="n">
        <f aca="false">G17-H17</f>
        <v>3858400</v>
      </c>
      <c r="J17" s="55" t="n">
        <f aca="false">IFERROR(INDEX(Préstamo!$G$18:$G$57,MATCH(A17,Préstamo!$C$18:$C$57,0)),0)</f>
        <v>1323132.23757242</v>
      </c>
      <c r="K17" s="55" t="n">
        <f aca="false">SUMPRODUCT((Supuestos!$G$6:$G$12&lt;=A17)*(Supuestos!$H$6:$H$12&gt;=A17)*Supuestos!$I$6:$I$12)/Supuestos!$B$43+IF(AND(A17&gt;=Supuestos!$B$46,A17&lt;=EDATE(Supuestos!$B$46,Supuestos!$B$43-1)),Supuestos!$B$45/Supuestos!$B$43,0)</f>
        <v>818975</v>
      </c>
      <c r="L17" s="56" t="n">
        <f aca="false">I17-J17-K17</f>
        <v>1716292.76242758</v>
      </c>
      <c r="M17" s="55" t="n">
        <f aca="false">M16+L17</f>
        <v>-16562240.7090575</v>
      </c>
      <c r="N17" s="56" t="n">
        <f aca="false">I17-J17</f>
        <v>2535267.76242758</v>
      </c>
      <c r="O17" s="55" t="n">
        <f aca="false">O16+N17</f>
        <v>25949584.2909425</v>
      </c>
      <c r="P17" s="55" t="n">
        <f aca="false">K17-IF(A17=Supuestos!$F$35,Supuestos!$F$28,0)</f>
        <v>818975</v>
      </c>
      <c r="Q17" s="55" t="n">
        <f aca="false">Q16+P17</f>
        <v>42511825</v>
      </c>
      <c r="R17" s="55" t="n">
        <f aca="false">R16+(G17-MAX(0,G17)*Supuestos!$B$29)</f>
        <v>44078520</v>
      </c>
      <c r="S17" s="55" t="n">
        <f aca="false">S16+(G17-MAX(0,G17)*Supuestos!$B$30)</f>
        <v>39180906.6666667</v>
      </c>
      <c r="T17" s="55" t="n">
        <f aca="false">T16+(G17-MAX(0,G17)*Supuestos!$B$31)</f>
        <v>34283293.3333333</v>
      </c>
    </row>
    <row r="18" customFormat="false" ht="15" hidden="false" customHeight="false" outlineLevel="0" collapsed="false">
      <c r="A18" s="21" t="n">
        <f aca="false">EDATE(A17,1)</f>
        <v>46661</v>
      </c>
      <c r="B18" s="19" t="n">
        <f aca="false">SUMPRODUCT(--(Supuestos!$D$6:$D$12&lt;=A18))</f>
        <v>6</v>
      </c>
      <c r="C18" s="15" t="n">
        <f aca="false">SUMPRODUCT((Supuestos!$D$6:$D$12&lt;=A18)*Supuestos!$C$6:$C$12)+IF(A18&gt;=Supuestos!$F$31,B18*Supuestos!$F$30*Supuestos!$F$29*Supuestos!$F$32,0)</f>
        <v>7818000</v>
      </c>
      <c r="D18" s="15" t="n">
        <f aca="false">IF(B18=0,0,Supuestos!$B$22+(Supuestos!$C$22-Supuestos!$B$22)*(B18-1)/(Supuestos!$F$33-1))-IF(A18&gt;=Supuestos!$B$46,Supuestos!$B$47,0)</f>
        <v>1595000</v>
      </c>
      <c r="E18" s="15" t="n">
        <f aca="false">Supuestos!$C$23*B18/Supuestos!$F$33</f>
        <v>1300000</v>
      </c>
      <c r="F18" s="15" t="n">
        <f aca="false">Supuestos!$C$24</f>
        <v>100000</v>
      </c>
      <c r="G18" s="15" t="n">
        <f aca="false">C18-D18-E18-F18</f>
        <v>4823000</v>
      </c>
      <c r="H18" s="15" t="n">
        <f aca="false">MAX(0,G18)*Supuestos!$B$28</f>
        <v>964600</v>
      </c>
      <c r="I18" s="17" t="n">
        <f aca="false">G18-H18</f>
        <v>3858400</v>
      </c>
      <c r="J18" s="15" t="n">
        <f aca="false">IFERROR(INDEX(Préstamo!$G$18:$G$57,MATCH(A18,Préstamo!$C$18:$C$57,0)),0)</f>
        <v>1323132.23757242</v>
      </c>
      <c r="K18" s="15" t="n">
        <f aca="false">SUMPRODUCT((Supuestos!$G$6:$G$12&lt;=A18)*(Supuestos!$H$6:$H$12&gt;=A18)*Supuestos!$I$6:$I$12)/Supuestos!$B$43+IF(AND(A18&gt;=Supuestos!$B$46,A18&lt;=EDATE(Supuestos!$B$46,Supuestos!$B$43-1)),Supuestos!$B$45/Supuestos!$B$43,0)</f>
        <v>0</v>
      </c>
      <c r="L18" s="17" t="n">
        <f aca="false">I18-J18-K18</f>
        <v>2535267.76242758</v>
      </c>
      <c r="M18" s="15" t="n">
        <f aca="false">M17+L18</f>
        <v>-14026972.9466299</v>
      </c>
      <c r="N18" s="17" t="n">
        <f aca="false">I18-J18</f>
        <v>2535267.76242758</v>
      </c>
      <c r="O18" s="15" t="n">
        <f aca="false">O17+N18</f>
        <v>28484852.0533701</v>
      </c>
      <c r="P18" s="15" t="n">
        <f aca="false">K18-IF(A18=Supuestos!$F$35,Supuestos!$F$28,0)</f>
        <v>0</v>
      </c>
      <c r="Q18" s="15" t="n">
        <f aca="false">Q17+P18</f>
        <v>42511825</v>
      </c>
      <c r="R18" s="15" t="n">
        <f aca="false">R17+(G18-MAX(0,G18)*Supuestos!$B$29)</f>
        <v>48419220</v>
      </c>
      <c r="S18" s="15" t="n">
        <f aca="false">S17+(G18-MAX(0,G18)*Supuestos!$B$30)</f>
        <v>43039306.6666667</v>
      </c>
      <c r="T18" s="15" t="n">
        <f aca="false">T17+(G18-MAX(0,G18)*Supuestos!$B$31)</f>
        <v>37659393.3333333</v>
      </c>
    </row>
    <row r="19" customFormat="false" ht="15" hidden="false" customHeight="false" outlineLevel="0" collapsed="false">
      <c r="A19" s="21" t="n">
        <f aca="false">EDATE(A18,1)</f>
        <v>46692</v>
      </c>
      <c r="B19" s="19" t="n">
        <f aca="false">SUMPRODUCT(--(Supuestos!$D$6:$D$12&lt;=A19))</f>
        <v>6</v>
      </c>
      <c r="C19" s="15" t="n">
        <f aca="false">SUMPRODUCT((Supuestos!$D$6:$D$12&lt;=A19)*Supuestos!$C$6:$C$12)+IF(A19&gt;=Supuestos!$F$31,B19*Supuestos!$F$30*Supuestos!$F$29*Supuestos!$F$32,0)</f>
        <v>7818000</v>
      </c>
      <c r="D19" s="15" t="n">
        <f aca="false">IF(B19=0,0,Supuestos!$B$22+(Supuestos!$C$22-Supuestos!$B$22)*(B19-1)/(Supuestos!$F$33-1))-IF(A19&gt;=Supuestos!$B$46,Supuestos!$B$47,0)</f>
        <v>1595000</v>
      </c>
      <c r="E19" s="15" t="n">
        <f aca="false">Supuestos!$C$23*B19/Supuestos!$F$33</f>
        <v>1300000</v>
      </c>
      <c r="F19" s="15" t="n">
        <f aca="false">Supuestos!$C$24</f>
        <v>100000</v>
      </c>
      <c r="G19" s="15" t="n">
        <f aca="false">C19-D19-E19-F19</f>
        <v>4823000</v>
      </c>
      <c r="H19" s="15" t="n">
        <f aca="false">MAX(0,G19)*Supuestos!$B$28</f>
        <v>964600</v>
      </c>
      <c r="I19" s="17" t="n">
        <f aca="false">G19-H19</f>
        <v>3858400</v>
      </c>
      <c r="J19" s="15" t="n">
        <f aca="false">IFERROR(INDEX(Préstamo!$G$18:$G$57,MATCH(A19,Préstamo!$C$18:$C$57,0)),0)</f>
        <v>1323132.23757242</v>
      </c>
      <c r="K19" s="15" t="n">
        <f aca="false">SUMPRODUCT((Supuestos!$G$6:$G$12&lt;=A19)*(Supuestos!$H$6:$H$12&gt;=A19)*Supuestos!$I$6:$I$12)/Supuestos!$B$43+IF(AND(A19&gt;=Supuestos!$B$46,A19&lt;=EDATE(Supuestos!$B$46,Supuestos!$B$43-1)),Supuestos!$B$45/Supuestos!$B$43,0)</f>
        <v>0</v>
      </c>
      <c r="L19" s="17" t="n">
        <f aca="false">I19-J19-K19</f>
        <v>2535267.76242758</v>
      </c>
      <c r="M19" s="15" t="n">
        <f aca="false">M18+L19</f>
        <v>-11491705.1842023</v>
      </c>
      <c r="N19" s="17" t="n">
        <f aca="false">I19-J19</f>
        <v>2535267.76242758</v>
      </c>
      <c r="O19" s="15" t="n">
        <f aca="false">O18+N19</f>
        <v>31020119.8157977</v>
      </c>
      <c r="P19" s="15" t="n">
        <f aca="false">K19-IF(A19=Supuestos!$F$35,Supuestos!$F$28,0)</f>
        <v>0</v>
      </c>
      <c r="Q19" s="15" t="n">
        <f aca="false">Q18+P19</f>
        <v>42511825</v>
      </c>
      <c r="R19" s="15" t="n">
        <f aca="false">R18+(G19-MAX(0,G19)*Supuestos!$B$29)</f>
        <v>52759920</v>
      </c>
      <c r="S19" s="15" t="n">
        <f aca="false">S18+(G19-MAX(0,G19)*Supuestos!$B$30)</f>
        <v>46897706.6666667</v>
      </c>
      <c r="T19" s="15" t="n">
        <f aca="false">T18+(G19-MAX(0,G19)*Supuestos!$B$31)</f>
        <v>41035493.3333333</v>
      </c>
    </row>
    <row r="20" customFormat="false" ht="15" hidden="false" customHeight="false" outlineLevel="0" collapsed="false">
      <c r="A20" s="21" t="n">
        <f aca="false">EDATE(A19,1)</f>
        <v>46722</v>
      </c>
      <c r="B20" s="19" t="n">
        <f aca="false">SUMPRODUCT(--(Supuestos!$D$6:$D$12&lt;=A20))</f>
        <v>6</v>
      </c>
      <c r="C20" s="15" t="n">
        <f aca="false">SUMPRODUCT((Supuestos!$D$6:$D$12&lt;=A20)*Supuestos!$C$6:$C$12)+IF(A20&gt;=Supuestos!$F$31,B20*Supuestos!$F$30*Supuestos!$F$29*Supuestos!$F$32,0)</f>
        <v>7818000</v>
      </c>
      <c r="D20" s="15" t="n">
        <f aca="false">IF(B20=0,0,Supuestos!$B$22+(Supuestos!$C$22-Supuestos!$B$22)*(B20-1)/(Supuestos!$F$33-1))-IF(A20&gt;=Supuestos!$B$46,Supuestos!$B$47,0)</f>
        <v>1595000</v>
      </c>
      <c r="E20" s="15" t="n">
        <f aca="false">Supuestos!$C$23*B20/Supuestos!$F$33</f>
        <v>1300000</v>
      </c>
      <c r="F20" s="15" t="n">
        <f aca="false">Supuestos!$C$24</f>
        <v>100000</v>
      </c>
      <c r="G20" s="15" t="n">
        <f aca="false">C20-D20-E20-F20</f>
        <v>4823000</v>
      </c>
      <c r="H20" s="15" t="n">
        <f aca="false">MAX(0,G20)*Supuestos!$B$28</f>
        <v>964600</v>
      </c>
      <c r="I20" s="17" t="n">
        <f aca="false">G20-H20</f>
        <v>3858400</v>
      </c>
      <c r="J20" s="15" t="n">
        <f aca="false">IFERROR(INDEX(Préstamo!$G$18:$G$57,MATCH(A20,Préstamo!$C$18:$C$57,0)),0)</f>
        <v>1323132.23757242</v>
      </c>
      <c r="K20" s="15" t="n">
        <f aca="false">SUMPRODUCT((Supuestos!$G$6:$G$12&lt;=A20)*(Supuestos!$H$6:$H$12&gt;=A20)*Supuestos!$I$6:$I$12)/Supuestos!$B$43+IF(AND(A20&gt;=Supuestos!$B$46,A20&lt;=EDATE(Supuestos!$B$46,Supuestos!$B$43-1)),Supuestos!$B$45/Supuestos!$B$43,0)</f>
        <v>0</v>
      </c>
      <c r="L20" s="17" t="n">
        <f aca="false">I20-J20-K20</f>
        <v>2535267.76242758</v>
      </c>
      <c r="M20" s="15" t="n">
        <f aca="false">M19+L20</f>
        <v>-8956437.42177475</v>
      </c>
      <c r="N20" s="17" t="n">
        <f aca="false">I20-J20</f>
        <v>2535267.76242758</v>
      </c>
      <c r="O20" s="15" t="n">
        <f aca="false">O19+N20</f>
        <v>33555387.5782253</v>
      </c>
      <c r="P20" s="15" t="n">
        <f aca="false">K20-IF(A20=Supuestos!$F$35,Supuestos!$F$28,0)</f>
        <v>0</v>
      </c>
      <c r="Q20" s="15" t="n">
        <f aca="false">Q19+P20</f>
        <v>42511825</v>
      </c>
      <c r="R20" s="15" t="n">
        <f aca="false">R19+(G20-MAX(0,G20)*Supuestos!$B$29)</f>
        <v>57100620</v>
      </c>
      <c r="S20" s="15" t="n">
        <f aca="false">S19+(G20-MAX(0,G20)*Supuestos!$B$30)</f>
        <v>50756106.6666667</v>
      </c>
      <c r="T20" s="15" t="n">
        <f aca="false">T19+(G20-MAX(0,G20)*Supuestos!$B$31)</f>
        <v>44411593.3333333</v>
      </c>
    </row>
    <row r="21" customFormat="false" ht="15" hidden="false" customHeight="false" outlineLevel="0" collapsed="false">
      <c r="A21" s="21" t="n">
        <f aca="false">EDATE(A20,1)</f>
        <v>46753</v>
      </c>
      <c r="B21" s="19" t="n">
        <f aca="false">SUMPRODUCT(--(Supuestos!$D$6:$D$12&lt;=A21))</f>
        <v>6</v>
      </c>
      <c r="C21" s="15" t="n">
        <f aca="false">SUMPRODUCT((Supuestos!$D$6:$D$12&lt;=A21)*Supuestos!$C$6:$C$12)+IF(A21&gt;=Supuestos!$F$31,B21*Supuestos!$F$30*Supuestos!$F$29*Supuestos!$F$32,0)</f>
        <v>7818000</v>
      </c>
      <c r="D21" s="15" t="n">
        <f aca="false">IF(B21=0,0,Supuestos!$B$22+(Supuestos!$C$22-Supuestos!$B$22)*(B21-1)/(Supuestos!$F$33-1))-IF(A21&gt;=Supuestos!$B$46,Supuestos!$B$47,0)</f>
        <v>1595000</v>
      </c>
      <c r="E21" s="15" t="n">
        <f aca="false">Supuestos!$C$23*B21/Supuestos!$F$33</f>
        <v>1300000</v>
      </c>
      <c r="F21" s="15" t="n">
        <f aca="false">Supuestos!$C$24</f>
        <v>100000</v>
      </c>
      <c r="G21" s="15" t="n">
        <f aca="false">C21-D21-E21-F21</f>
        <v>4823000</v>
      </c>
      <c r="H21" s="15" t="n">
        <f aca="false">MAX(0,G21)*Supuestos!$B$28</f>
        <v>964600</v>
      </c>
      <c r="I21" s="17" t="n">
        <f aca="false">G21-H21</f>
        <v>3858400</v>
      </c>
      <c r="J21" s="15" t="n">
        <f aca="false">IFERROR(INDEX(Préstamo!$G$18:$G$57,MATCH(A21,Préstamo!$C$18:$C$57,0)),0)</f>
        <v>1323132.23757242</v>
      </c>
      <c r="K21" s="15" t="n">
        <f aca="false">SUMPRODUCT((Supuestos!$G$6:$G$12&lt;=A21)*(Supuestos!$H$6:$H$12&gt;=A21)*Supuestos!$I$6:$I$12)/Supuestos!$B$43+IF(AND(A21&gt;=Supuestos!$B$46,A21&lt;=EDATE(Supuestos!$B$46,Supuestos!$B$43-1)),Supuestos!$B$45/Supuestos!$B$43,0)</f>
        <v>0</v>
      </c>
      <c r="L21" s="17" t="n">
        <f aca="false">I21-J21-K21</f>
        <v>2535267.76242758</v>
      </c>
      <c r="M21" s="15" t="n">
        <f aca="false">M20+L21</f>
        <v>-6421169.65934717</v>
      </c>
      <c r="N21" s="17" t="n">
        <f aca="false">I21-J21</f>
        <v>2535267.76242758</v>
      </c>
      <c r="O21" s="15" t="n">
        <f aca="false">O20+N21</f>
        <v>36090655.3406528</v>
      </c>
      <c r="P21" s="15" t="n">
        <f aca="false">K21-IF(A21=Supuestos!$F$35,Supuestos!$F$28,0)</f>
        <v>0</v>
      </c>
      <c r="Q21" s="15" t="n">
        <f aca="false">Q20+P21</f>
        <v>42511825</v>
      </c>
      <c r="R21" s="15" t="n">
        <f aca="false">R20+(G21-MAX(0,G21)*Supuestos!$B$29)</f>
        <v>61441320</v>
      </c>
      <c r="S21" s="15" t="n">
        <f aca="false">S20+(G21-MAX(0,G21)*Supuestos!$B$30)</f>
        <v>54614506.6666667</v>
      </c>
      <c r="T21" s="15" t="n">
        <f aca="false">T20+(G21-MAX(0,G21)*Supuestos!$B$31)</f>
        <v>47787693.3333333</v>
      </c>
    </row>
    <row r="22" customFormat="false" ht="15" hidden="false" customHeight="false" outlineLevel="0" collapsed="false">
      <c r="A22" s="21" t="n">
        <f aca="false">EDATE(A21,1)</f>
        <v>46784</v>
      </c>
      <c r="B22" s="19" t="n">
        <f aca="false">SUMPRODUCT(--(Supuestos!$D$6:$D$12&lt;=A22))</f>
        <v>6</v>
      </c>
      <c r="C22" s="15" t="n">
        <f aca="false">SUMPRODUCT((Supuestos!$D$6:$D$12&lt;=A22)*Supuestos!$C$6:$C$12)+IF(A22&gt;=Supuestos!$F$31,B22*Supuestos!$F$30*Supuestos!$F$29*Supuestos!$F$32,0)</f>
        <v>7818000</v>
      </c>
      <c r="D22" s="15" t="n">
        <f aca="false">IF(B22=0,0,Supuestos!$B$22+(Supuestos!$C$22-Supuestos!$B$22)*(B22-1)/(Supuestos!$F$33-1))-IF(A22&gt;=Supuestos!$B$46,Supuestos!$B$47,0)</f>
        <v>1595000</v>
      </c>
      <c r="E22" s="15" t="n">
        <f aca="false">Supuestos!$C$23*B22/Supuestos!$F$33</f>
        <v>1300000</v>
      </c>
      <c r="F22" s="15" t="n">
        <f aca="false">Supuestos!$C$24</f>
        <v>100000</v>
      </c>
      <c r="G22" s="15" t="n">
        <f aca="false">C22-D22-E22-F22</f>
        <v>4823000</v>
      </c>
      <c r="H22" s="15" t="n">
        <f aca="false">MAX(0,G22)*Supuestos!$B$28</f>
        <v>964600</v>
      </c>
      <c r="I22" s="17" t="n">
        <f aca="false">G22-H22</f>
        <v>3858400</v>
      </c>
      <c r="J22" s="15" t="n">
        <f aca="false">IFERROR(INDEX(Préstamo!$G$18:$G$57,MATCH(A22,Préstamo!$C$18:$C$57,0)),0)</f>
        <v>1323132.23757242</v>
      </c>
      <c r="K22" s="15" t="n">
        <f aca="false">SUMPRODUCT((Supuestos!$G$6:$G$12&lt;=A22)*(Supuestos!$H$6:$H$12&gt;=A22)*Supuestos!$I$6:$I$12)/Supuestos!$B$43+IF(AND(A22&gt;=Supuestos!$B$46,A22&lt;=EDATE(Supuestos!$B$46,Supuestos!$B$43-1)),Supuestos!$B$45/Supuestos!$B$43,0)</f>
        <v>0</v>
      </c>
      <c r="L22" s="17" t="n">
        <f aca="false">I22-J22-K22</f>
        <v>2535267.76242758</v>
      </c>
      <c r="M22" s="15" t="n">
        <f aca="false">M21+L22</f>
        <v>-3885901.89691958</v>
      </c>
      <c r="N22" s="17" t="n">
        <f aca="false">I22-J22</f>
        <v>2535267.76242758</v>
      </c>
      <c r="O22" s="15" t="n">
        <f aca="false">O21+N22</f>
        <v>38625923.1030804</v>
      </c>
      <c r="P22" s="15" t="n">
        <f aca="false">K22-IF(A22=Supuestos!$F$35,Supuestos!$F$28,0)</f>
        <v>0</v>
      </c>
      <c r="Q22" s="15" t="n">
        <f aca="false">Q21+P22</f>
        <v>42511825</v>
      </c>
      <c r="R22" s="15" t="n">
        <f aca="false">R21+(G22-MAX(0,G22)*Supuestos!$B$29)</f>
        <v>65782020</v>
      </c>
      <c r="S22" s="15" t="n">
        <f aca="false">S21+(G22-MAX(0,G22)*Supuestos!$B$30)</f>
        <v>58472906.6666667</v>
      </c>
      <c r="T22" s="15" t="n">
        <f aca="false">T21+(G22-MAX(0,G22)*Supuestos!$B$31)</f>
        <v>51163793.3333333</v>
      </c>
    </row>
    <row r="23" customFormat="false" ht="15" hidden="false" customHeight="false" outlineLevel="0" collapsed="false">
      <c r="A23" s="21" t="n">
        <f aca="false">EDATE(A22,1)</f>
        <v>46813</v>
      </c>
      <c r="B23" s="19" t="n">
        <f aca="false">SUMPRODUCT(--(Supuestos!$D$6:$D$12&lt;=A23))</f>
        <v>6</v>
      </c>
      <c r="C23" s="15" t="n">
        <f aca="false">SUMPRODUCT((Supuestos!$D$6:$D$12&lt;=A23)*Supuestos!$C$6:$C$12)+IF(A23&gt;=Supuestos!$F$31,B23*Supuestos!$F$30*Supuestos!$F$29*Supuestos!$F$32,0)</f>
        <v>7818000</v>
      </c>
      <c r="D23" s="15" t="n">
        <f aca="false">IF(B23=0,0,Supuestos!$B$22+(Supuestos!$C$22-Supuestos!$B$22)*(B23-1)/(Supuestos!$F$33-1))-IF(A23&gt;=Supuestos!$B$46,Supuestos!$B$47,0)</f>
        <v>1595000</v>
      </c>
      <c r="E23" s="15" t="n">
        <f aca="false">Supuestos!$C$23*B23/Supuestos!$F$33</f>
        <v>1300000</v>
      </c>
      <c r="F23" s="15" t="n">
        <f aca="false">Supuestos!$C$24</f>
        <v>100000</v>
      </c>
      <c r="G23" s="15" t="n">
        <f aca="false">C23-D23-E23-F23</f>
        <v>4823000</v>
      </c>
      <c r="H23" s="15" t="n">
        <f aca="false">MAX(0,G23)*Supuestos!$B$28</f>
        <v>964600</v>
      </c>
      <c r="I23" s="17" t="n">
        <f aca="false">G23-H23</f>
        <v>3858400</v>
      </c>
      <c r="J23" s="15" t="n">
        <f aca="false">IFERROR(INDEX(Préstamo!$G$18:$G$57,MATCH(A23,Préstamo!$C$18:$C$57,0)),0)</f>
        <v>1323132.23757242</v>
      </c>
      <c r="K23" s="15" t="n">
        <f aca="false">SUMPRODUCT((Supuestos!$G$6:$G$12&lt;=A23)*(Supuestos!$H$6:$H$12&gt;=A23)*Supuestos!$I$6:$I$12)/Supuestos!$B$43+IF(AND(A23&gt;=Supuestos!$B$46,A23&lt;=EDATE(Supuestos!$B$46,Supuestos!$B$43-1)),Supuestos!$B$45/Supuestos!$B$43,0)</f>
        <v>0</v>
      </c>
      <c r="L23" s="17" t="n">
        <f aca="false">I23-J23-K23</f>
        <v>2535267.76242758</v>
      </c>
      <c r="M23" s="15" t="n">
        <f aca="false">M22+L23</f>
        <v>-1350634.134492</v>
      </c>
      <c r="N23" s="17" t="n">
        <f aca="false">I23-J23</f>
        <v>2535267.76242758</v>
      </c>
      <c r="O23" s="15" t="n">
        <f aca="false">O22+N23</f>
        <v>41161190.865508</v>
      </c>
      <c r="P23" s="15" t="n">
        <f aca="false">K23-IF(A23=Supuestos!$F$35,Supuestos!$F$28,0)</f>
        <v>0</v>
      </c>
      <c r="Q23" s="15" t="n">
        <f aca="false">Q22+P23</f>
        <v>42511825</v>
      </c>
      <c r="R23" s="15" t="n">
        <f aca="false">R22+(G23-MAX(0,G23)*Supuestos!$B$29)</f>
        <v>70122720</v>
      </c>
      <c r="S23" s="15" t="n">
        <f aca="false">S22+(G23-MAX(0,G23)*Supuestos!$B$30)</f>
        <v>62331306.6666667</v>
      </c>
      <c r="T23" s="15" t="n">
        <f aca="false">T22+(G23-MAX(0,G23)*Supuestos!$B$31)</f>
        <v>54539893.3333333</v>
      </c>
    </row>
    <row r="24" customFormat="false" ht="15" hidden="false" customHeight="false" outlineLevel="0" collapsed="false">
      <c r="A24" s="21" t="n">
        <f aca="false">EDATE(A23,1)</f>
        <v>46844</v>
      </c>
      <c r="B24" s="19" t="n">
        <f aca="false">SUMPRODUCT(--(Supuestos!$D$6:$D$12&lt;=A24))</f>
        <v>7</v>
      </c>
      <c r="C24" s="15" t="n">
        <f aca="false">SUMPRODUCT((Supuestos!$D$6:$D$12&lt;=A24)*Supuestos!$C$6:$C$12)+IF(A24&gt;=Supuestos!$F$31,B24*Supuestos!$F$30*Supuestos!$F$29*Supuestos!$F$32,0)</f>
        <v>9246000</v>
      </c>
      <c r="D24" s="15" t="n">
        <f aca="false">IF(B24=0,0,Supuestos!$B$22+(Supuestos!$C$22-Supuestos!$B$22)*(B24-1)/(Supuestos!$F$33-1))-IF(A24&gt;=Supuestos!$B$46,Supuestos!$B$47,0)</f>
        <v>1801800</v>
      </c>
      <c r="E24" s="15" t="n">
        <f aca="false">Supuestos!$C$23*B24/Supuestos!$F$33</f>
        <v>1516666.66666667</v>
      </c>
      <c r="F24" s="15" t="n">
        <f aca="false">Supuestos!$C$24</f>
        <v>100000</v>
      </c>
      <c r="G24" s="15" t="n">
        <f aca="false">C24-D24-E24-F24</f>
        <v>5827533.33333333</v>
      </c>
      <c r="H24" s="15" t="n">
        <f aca="false">MAX(0,G24)*Supuestos!$B$28</f>
        <v>1165506.66666667</v>
      </c>
      <c r="I24" s="17" t="n">
        <f aca="false">G24-H24</f>
        <v>4662026.66666667</v>
      </c>
      <c r="J24" s="15" t="n">
        <f aca="false">IFERROR(INDEX(Préstamo!$G$18:$G$57,MATCH(A24,Préstamo!$C$18:$C$57,0)),0)</f>
        <v>1323132.23757242</v>
      </c>
      <c r="K24" s="15" t="n">
        <f aca="false">SUMPRODUCT((Supuestos!$G$6:$G$12&lt;=A24)*(Supuestos!$H$6:$H$12&gt;=A24)*Supuestos!$I$6:$I$12)/Supuestos!$B$43+IF(AND(A24&gt;=Supuestos!$B$46,A24&lt;=EDATE(Supuestos!$B$46,Supuestos!$B$43-1)),Supuestos!$B$45/Supuestos!$B$43,0)</f>
        <v>818975</v>
      </c>
      <c r="L24" s="17" t="n">
        <f aca="false">I24-J24-K24</f>
        <v>2519919.42909425</v>
      </c>
      <c r="M24" s="15" t="n">
        <f aca="false">M23+L24</f>
        <v>1169285.29460225</v>
      </c>
      <c r="N24" s="17" t="n">
        <f aca="false">I24-J24</f>
        <v>3338894.42909425</v>
      </c>
      <c r="O24" s="15" t="n">
        <f aca="false">O23+N24</f>
        <v>44500085.2946023</v>
      </c>
      <c r="P24" s="15" t="n">
        <f aca="false">K24-IF(A24=Supuestos!$F$35,Supuestos!$F$28,0)</f>
        <v>818975</v>
      </c>
      <c r="Q24" s="15" t="n">
        <f aca="false">Q23+P24</f>
        <v>43330800</v>
      </c>
      <c r="R24" s="15" t="n">
        <f aca="false">R23+(G24-MAX(0,G24)*Supuestos!$B$29)</f>
        <v>75367500</v>
      </c>
      <c r="S24" s="15" t="n">
        <f aca="false">S23+(G24-MAX(0,G24)*Supuestos!$B$30)</f>
        <v>66993333.3333333</v>
      </c>
      <c r="T24" s="15" t="n">
        <f aca="false">T23+(G24-MAX(0,G24)*Supuestos!$B$31)</f>
        <v>58619166.6666667</v>
      </c>
    </row>
    <row r="25" customFormat="false" ht="15" hidden="false" customHeight="false" outlineLevel="0" collapsed="false">
      <c r="A25" s="21" t="n">
        <f aca="false">EDATE(A24,1)</f>
        <v>46874</v>
      </c>
      <c r="B25" s="19" t="n">
        <f aca="false">SUMPRODUCT(--(Supuestos!$D$6:$D$12&lt;=A25))</f>
        <v>7</v>
      </c>
      <c r="C25" s="15" t="n">
        <f aca="false">SUMPRODUCT((Supuestos!$D$6:$D$12&lt;=A25)*Supuestos!$C$6:$C$12)+IF(A25&gt;=Supuestos!$F$31,B25*Supuestos!$F$30*Supuestos!$F$29*Supuestos!$F$32,0)</f>
        <v>9246000</v>
      </c>
      <c r="D25" s="15" t="n">
        <f aca="false">IF(B25=0,0,Supuestos!$B$22+(Supuestos!$C$22-Supuestos!$B$22)*(B25-1)/(Supuestos!$F$33-1))-IF(A25&gt;=Supuestos!$B$46,Supuestos!$B$47,0)</f>
        <v>1801800</v>
      </c>
      <c r="E25" s="15" t="n">
        <f aca="false">Supuestos!$C$23*B25/Supuestos!$F$33</f>
        <v>1516666.66666667</v>
      </c>
      <c r="F25" s="15" t="n">
        <f aca="false">Supuestos!$C$24</f>
        <v>100000</v>
      </c>
      <c r="G25" s="15" t="n">
        <f aca="false">C25-D25-E25-F25</f>
        <v>5827533.33333333</v>
      </c>
      <c r="H25" s="15" t="n">
        <f aca="false">MAX(0,G25)*Supuestos!$B$28</f>
        <v>1165506.66666667</v>
      </c>
      <c r="I25" s="17" t="n">
        <f aca="false">G25-H25</f>
        <v>4662026.66666667</v>
      </c>
      <c r="J25" s="15" t="n">
        <f aca="false">IFERROR(INDEX(Préstamo!$G$18:$G$57,MATCH(A25,Préstamo!$C$18:$C$57,0)),0)</f>
        <v>1323132.23757242</v>
      </c>
      <c r="K25" s="15" t="n">
        <f aca="false">SUMPRODUCT((Supuestos!$G$6:$G$12&lt;=A25)*(Supuestos!$H$6:$H$12&gt;=A25)*Supuestos!$I$6:$I$12)/Supuestos!$B$43+IF(AND(A25&gt;=Supuestos!$B$46,A25&lt;=EDATE(Supuestos!$B$46,Supuestos!$B$43-1)),Supuestos!$B$45/Supuestos!$B$43,0)</f>
        <v>818975</v>
      </c>
      <c r="L25" s="17" t="n">
        <f aca="false">I25-J25-K25</f>
        <v>2519919.42909425</v>
      </c>
      <c r="M25" s="15" t="n">
        <f aca="false">M24+L25</f>
        <v>3689204.7236965</v>
      </c>
      <c r="N25" s="17" t="n">
        <f aca="false">I25-J25</f>
        <v>3338894.42909425</v>
      </c>
      <c r="O25" s="15" t="n">
        <f aca="false">O24+N25</f>
        <v>47838979.7236965</v>
      </c>
      <c r="P25" s="15" t="n">
        <f aca="false">K25-IF(A25=Supuestos!$F$35,Supuestos!$F$28,0)</f>
        <v>818975</v>
      </c>
      <c r="Q25" s="15" t="n">
        <f aca="false">Q24+P25</f>
        <v>44149775</v>
      </c>
      <c r="R25" s="15" t="n">
        <f aca="false">R24+(G25-MAX(0,G25)*Supuestos!$B$29)</f>
        <v>80612280</v>
      </c>
      <c r="S25" s="15" t="n">
        <f aca="false">S24+(G25-MAX(0,G25)*Supuestos!$B$30)</f>
        <v>71655360</v>
      </c>
      <c r="T25" s="15" t="n">
        <f aca="false">T24+(G25-MAX(0,G25)*Supuestos!$B$31)</f>
        <v>62698440</v>
      </c>
    </row>
    <row r="26" customFormat="false" ht="15" hidden="false" customHeight="false" outlineLevel="0" collapsed="false">
      <c r="A26" s="21" t="n">
        <f aca="false">EDATE(A25,1)</f>
        <v>46905</v>
      </c>
      <c r="B26" s="19" t="n">
        <f aca="false">SUMPRODUCT(--(Supuestos!$D$6:$D$12&lt;=A26))</f>
        <v>7</v>
      </c>
      <c r="C26" s="15" t="n">
        <f aca="false">SUMPRODUCT((Supuestos!$D$6:$D$12&lt;=A26)*Supuestos!$C$6:$C$12)+IF(A26&gt;=Supuestos!$F$31,B26*Supuestos!$F$30*Supuestos!$F$29*Supuestos!$F$32,0)</f>
        <v>9246000</v>
      </c>
      <c r="D26" s="15" t="n">
        <f aca="false">IF(B26=0,0,Supuestos!$B$22+(Supuestos!$C$22-Supuestos!$B$22)*(B26-1)/(Supuestos!$F$33-1))-IF(A26&gt;=Supuestos!$B$46,Supuestos!$B$47,0)</f>
        <v>1801800</v>
      </c>
      <c r="E26" s="15" t="n">
        <f aca="false">Supuestos!$C$23*B26/Supuestos!$F$33</f>
        <v>1516666.66666667</v>
      </c>
      <c r="F26" s="15" t="n">
        <f aca="false">Supuestos!$C$24</f>
        <v>100000</v>
      </c>
      <c r="G26" s="15" t="n">
        <f aca="false">C26-D26-E26-F26</f>
        <v>5827533.33333333</v>
      </c>
      <c r="H26" s="15" t="n">
        <f aca="false">MAX(0,G26)*Supuestos!$B$28</f>
        <v>1165506.66666667</v>
      </c>
      <c r="I26" s="17" t="n">
        <f aca="false">G26-H26</f>
        <v>4662026.66666667</v>
      </c>
      <c r="J26" s="15" t="n">
        <f aca="false">IFERROR(INDEX(Préstamo!$G$18:$G$57,MATCH(A26,Préstamo!$C$18:$C$57,0)),0)</f>
        <v>1323132.23757242</v>
      </c>
      <c r="K26" s="15" t="n">
        <f aca="false">SUMPRODUCT((Supuestos!$G$6:$G$12&lt;=A26)*(Supuestos!$H$6:$H$12&gt;=A26)*Supuestos!$I$6:$I$12)/Supuestos!$B$43+IF(AND(A26&gt;=Supuestos!$B$46,A26&lt;=EDATE(Supuestos!$B$46,Supuestos!$B$43-1)),Supuestos!$B$45/Supuestos!$B$43,0)</f>
        <v>818975</v>
      </c>
      <c r="L26" s="17" t="n">
        <f aca="false">I26-J26-K26</f>
        <v>2519919.42909425</v>
      </c>
      <c r="M26" s="15" t="n">
        <f aca="false">M25+L26</f>
        <v>6209124.15279075</v>
      </c>
      <c r="N26" s="17" t="n">
        <f aca="false">I26-J26</f>
        <v>3338894.42909425</v>
      </c>
      <c r="O26" s="15" t="n">
        <f aca="false">O25+N26</f>
        <v>51177874.1527908</v>
      </c>
      <c r="P26" s="15" t="n">
        <f aca="false">K26-IF(A26=Supuestos!$F$35,Supuestos!$F$28,0)</f>
        <v>818975</v>
      </c>
      <c r="Q26" s="15" t="n">
        <f aca="false">Q25+P26</f>
        <v>44968750</v>
      </c>
      <c r="R26" s="15" t="n">
        <f aca="false">R25+(G26-MAX(0,G26)*Supuestos!$B$29)</f>
        <v>85857060</v>
      </c>
      <c r="S26" s="15" t="n">
        <f aca="false">S25+(G26-MAX(0,G26)*Supuestos!$B$30)</f>
        <v>76317386.6666667</v>
      </c>
      <c r="T26" s="15" t="n">
        <f aca="false">T25+(G26-MAX(0,G26)*Supuestos!$B$31)</f>
        <v>66777713.3333333</v>
      </c>
    </row>
    <row r="27" customFormat="false" ht="15" hidden="false" customHeight="false" outlineLevel="0" collapsed="false">
      <c r="A27" s="21" t="n">
        <f aca="false">EDATE(A26,1)</f>
        <v>46935</v>
      </c>
      <c r="B27" s="19" t="n">
        <f aca="false">SUMPRODUCT(--(Supuestos!$D$6:$D$12&lt;=A27))</f>
        <v>7</v>
      </c>
      <c r="C27" s="15" t="n">
        <f aca="false">SUMPRODUCT((Supuestos!$D$6:$D$12&lt;=A27)*Supuestos!$C$6:$C$12)+IF(A27&gt;=Supuestos!$F$31,B27*Supuestos!$F$30*Supuestos!$F$29*Supuestos!$F$32,0)</f>
        <v>9246000</v>
      </c>
      <c r="D27" s="15" t="n">
        <f aca="false">IF(B27=0,0,Supuestos!$B$22+(Supuestos!$C$22-Supuestos!$B$22)*(B27-1)/(Supuestos!$F$33-1))-IF(A27&gt;=Supuestos!$B$46,Supuestos!$B$47,0)</f>
        <v>1801800</v>
      </c>
      <c r="E27" s="15" t="n">
        <f aca="false">Supuestos!$C$23*B27/Supuestos!$F$33</f>
        <v>1516666.66666667</v>
      </c>
      <c r="F27" s="15" t="n">
        <f aca="false">Supuestos!$C$24</f>
        <v>100000</v>
      </c>
      <c r="G27" s="15" t="n">
        <f aca="false">C27-D27-E27-F27</f>
        <v>5827533.33333333</v>
      </c>
      <c r="H27" s="15" t="n">
        <f aca="false">MAX(0,G27)*Supuestos!$B$28</f>
        <v>1165506.66666667</v>
      </c>
      <c r="I27" s="17" t="n">
        <f aca="false">G27-H27</f>
        <v>4662026.66666667</v>
      </c>
      <c r="J27" s="15" t="n">
        <f aca="false">IFERROR(INDEX(Préstamo!$G$18:$G$57,MATCH(A27,Préstamo!$C$18:$C$57,0)),0)</f>
        <v>1323132.23757242</v>
      </c>
      <c r="K27" s="15" t="n">
        <f aca="false">SUMPRODUCT((Supuestos!$G$6:$G$12&lt;=A27)*(Supuestos!$H$6:$H$12&gt;=A27)*Supuestos!$I$6:$I$12)/Supuestos!$B$43+IF(AND(A27&gt;=Supuestos!$B$46,A27&lt;=EDATE(Supuestos!$B$46,Supuestos!$B$43-1)),Supuestos!$B$45/Supuestos!$B$43,0)</f>
        <v>818975</v>
      </c>
      <c r="L27" s="17" t="n">
        <f aca="false">I27-J27-K27</f>
        <v>2519919.42909425</v>
      </c>
      <c r="M27" s="15" t="n">
        <f aca="false">M26+L27</f>
        <v>8729043.581885</v>
      </c>
      <c r="N27" s="17" t="n">
        <f aca="false">I27-J27</f>
        <v>3338894.42909425</v>
      </c>
      <c r="O27" s="15" t="n">
        <f aca="false">O26+N27</f>
        <v>54516768.581885</v>
      </c>
      <c r="P27" s="15" t="n">
        <f aca="false">K27-IF(A27=Supuestos!$F$35,Supuestos!$F$28,0)</f>
        <v>818975</v>
      </c>
      <c r="Q27" s="15" t="n">
        <f aca="false">Q26+P27</f>
        <v>45787725</v>
      </c>
      <c r="R27" s="15" t="n">
        <f aca="false">R26+(G27-MAX(0,G27)*Supuestos!$B$29)</f>
        <v>91101840</v>
      </c>
      <c r="S27" s="15" t="n">
        <f aca="false">S26+(G27-MAX(0,G27)*Supuestos!$B$30)</f>
        <v>80979413.3333333</v>
      </c>
      <c r="T27" s="15" t="n">
        <f aca="false">T26+(G27-MAX(0,G27)*Supuestos!$B$31)</f>
        <v>70856986.6666667</v>
      </c>
    </row>
    <row r="28" customFormat="false" ht="15" hidden="false" customHeight="false" outlineLevel="0" collapsed="false">
      <c r="A28" s="21" t="n">
        <f aca="false">EDATE(A27,1)</f>
        <v>46966</v>
      </c>
      <c r="B28" s="19" t="n">
        <f aca="false">SUMPRODUCT(--(Supuestos!$D$6:$D$12&lt;=A28))</f>
        <v>7</v>
      </c>
      <c r="C28" s="15" t="n">
        <f aca="false">SUMPRODUCT((Supuestos!$D$6:$D$12&lt;=A28)*Supuestos!$C$6:$C$12)+IF(A28&gt;=Supuestos!$F$31,B28*Supuestos!$F$30*Supuestos!$F$29*Supuestos!$F$32,0)</f>
        <v>9246000</v>
      </c>
      <c r="D28" s="15" t="n">
        <f aca="false">IF(B28=0,0,Supuestos!$B$22+(Supuestos!$C$22-Supuestos!$B$22)*(B28-1)/(Supuestos!$F$33-1))-IF(A28&gt;=Supuestos!$B$46,Supuestos!$B$47,0)</f>
        <v>1801800</v>
      </c>
      <c r="E28" s="15" t="n">
        <f aca="false">Supuestos!$C$23*B28/Supuestos!$F$33</f>
        <v>1516666.66666667</v>
      </c>
      <c r="F28" s="15" t="n">
        <f aca="false">Supuestos!$C$24</f>
        <v>100000</v>
      </c>
      <c r="G28" s="15" t="n">
        <f aca="false">C28-D28-E28-F28</f>
        <v>5827533.33333333</v>
      </c>
      <c r="H28" s="15" t="n">
        <f aca="false">MAX(0,G28)*Supuestos!$B$28</f>
        <v>1165506.66666667</v>
      </c>
      <c r="I28" s="17" t="n">
        <f aca="false">G28-H28</f>
        <v>4662026.66666667</v>
      </c>
      <c r="J28" s="15" t="n">
        <f aca="false">IFERROR(INDEX(Préstamo!$G$18:$G$57,MATCH(A28,Préstamo!$C$18:$C$57,0)),0)</f>
        <v>1323132.23757242</v>
      </c>
      <c r="K28" s="15" t="n">
        <f aca="false">SUMPRODUCT((Supuestos!$G$6:$G$12&lt;=A28)*(Supuestos!$H$6:$H$12&gt;=A28)*Supuestos!$I$6:$I$12)/Supuestos!$B$43+IF(AND(A28&gt;=Supuestos!$B$46,A28&lt;=EDATE(Supuestos!$B$46,Supuestos!$B$43-1)),Supuestos!$B$45/Supuestos!$B$43,0)</f>
        <v>818975</v>
      </c>
      <c r="L28" s="17" t="n">
        <f aca="false">I28-J28-K28</f>
        <v>2519919.42909425</v>
      </c>
      <c r="M28" s="15" t="n">
        <f aca="false">M27+L28</f>
        <v>11248963.0109792</v>
      </c>
      <c r="N28" s="17" t="n">
        <f aca="false">I28-J28</f>
        <v>3338894.42909425</v>
      </c>
      <c r="O28" s="15" t="n">
        <f aca="false">O27+N28</f>
        <v>57855663.0109792</v>
      </c>
      <c r="P28" s="15" t="n">
        <f aca="false">K28-IF(A28=Supuestos!$F$35,Supuestos!$F$28,0)</f>
        <v>818975</v>
      </c>
      <c r="Q28" s="15" t="n">
        <f aca="false">Q27+P28</f>
        <v>46606700</v>
      </c>
      <c r="R28" s="15" t="n">
        <f aca="false">R27+(G28-MAX(0,G28)*Supuestos!$B$29)</f>
        <v>96346620</v>
      </c>
      <c r="S28" s="15" t="n">
        <f aca="false">S27+(G28-MAX(0,G28)*Supuestos!$B$30)</f>
        <v>85641440</v>
      </c>
      <c r="T28" s="15" t="n">
        <f aca="false">T27+(G28-MAX(0,G28)*Supuestos!$B$31)</f>
        <v>74936260</v>
      </c>
    </row>
    <row r="29" customFormat="false" ht="15" hidden="false" customHeight="false" outlineLevel="0" collapsed="false">
      <c r="A29" s="53" t="n">
        <f aca="false">EDATE(A28,1)</f>
        <v>46997</v>
      </c>
      <c r="B29" s="54" t="n">
        <f aca="false">SUMPRODUCT(--(Supuestos!$D$6:$D$12&lt;=A29))</f>
        <v>7</v>
      </c>
      <c r="C29" s="55" t="n">
        <f aca="false">SUMPRODUCT((Supuestos!$D$6:$D$12&lt;=A29)*Supuestos!$C$6:$C$12)+IF(A29&gt;=Supuestos!$F$31,B29*Supuestos!$F$30*Supuestos!$F$29*Supuestos!$F$32,0)</f>
        <v>9246000</v>
      </c>
      <c r="D29" s="55" t="n">
        <f aca="false">IF(B29=0,0,Supuestos!$B$22+(Supuestos!$C$22-Supuestos!$B$22)*(B29-1)/(Supuestos!$F$33-1))-IF(A29&gt;=Supuestos!$B$46,Supuestos!$B$47,0)</f>
        <v>1801800</v>
      </c>
      <c r="E29" s="55" t="n">
        <f aca="false">Supuestos!$C$23*B29/Supuestos!$F$33</f>
        <v>1516666.66666667</v>
      </c>
      <c r="F29" s="55" t="n">
        <f aca="false">Supuestos!$C$24</f>
        <v>100000</v>
      </c>
      <c r="G29" s="55" t="n">
        <f aca="false">C29-D29-E29-F29</f>
        <v>5827533.33333333</v>
      </c>
      <c r="H29" s="55" t="n">
        <f aca="false">MAX(0,G29)*Supuestos!$B$28</f>
        <v>1165506.66666667</v>
      </c>
      <c r="I29" s="56" t="n">
        <f aca="false">G29-H29</f>
        <v>4662026.66666667</v>
      </c>
      <c r="J29" s="55" t="n">
        <f aca="false">IFERROR(INDEX(Préstamo!$G$18:$G$57,MATCH(A29,Préstamo!$C$18:$C$57,0)),0)</f>
        <v>1323132.23757242</v>
      </c>
      <c r="K29" s="55" t="n">
        <f aca="false">SUMPRODUCT((Supuestos!$G$6:$G$12&lt;=A29)*(Supuestos!$H$6:$H$12&gt;=A29)*Supuestos!$I$6:$I$12)/Supuestos!$B$43+IF(AND(A29&gt;=Supuestos!$B$46,A29&lt;=EDATE(Supuestos!$B$46,Supuestos!$B$43-1)),Supuestos!$B$45/Supuestos!$B$43,0)</f>
        <v>818975</v>
      </c>
      <c r="L29" s="56" t="n">
        <f aca="false">I29-J29-K29</f>
        <v>2519919.42909425</v>
      </c>
      <c r="M29" s="55" t="n">
        <f aca="false">M28+L29</f>
        <v>13768882.4400735</v>
      </c>
      <c r="N29" s="56" t="n">
        <f aca="false">I29-J29</f>
        <v>3338894.42909425</v>
      </c>
      <c r="O29" s="55" t="n">
        <f aca="false">O28+N29</f>
        <v>61194557.4400735</v>
      </c>
      <c r="P29" s="55" t="n">
        <f aca="false">K29-IF(A29=Supuestos!$F$35,Supuestos!$F$28,0)</f>
        <v>818975</v>
      </c>
      <c r="Q29" s="55" t="n">
        <f aca="false">Q28+P29</f>
        <v>47425675</v>
      </c>
      <c r="R29" s="55" t="n">
        <f aca="false">R28+(G29-MAX(0,G29)*Supuestos!$B$29)</f>
        <v>101591400</v>
      </c>
      <c r="S29" s="55" t="n">
        <f aca="false">S28+(G29-MAX(0,G29)*Supuestos!$B$30)</f>
        <v>90303466.6666667</v>
      </c>
      <c r="T29" s="55" t="n">
        <f aca="false">T28+(G29-MAX(0,G29)*Supuestos!$B$31)</f>
        <v>79015533.3333333</v>
      </c>
    </row>
    <row r="30" customFormat="false" ht="15" hidden="false" customHeight="false" outlineLevel="0" collapsed="false">
      <c r="A30" s="21" t="n">
        <f aca="false">EDATE(A29,1)</f>
        <v>47027</v>
      </c>
      <c r="B30" s="19" t="n">
        <f aca="false">SUMPRODUCT(--(Supuestos!$D$6:$D$12&lt;=A30))</f>
        <v>7</v>
      </c>
      <c r="C30" s="15" t="n">
        <f aca="false">SUMPRODUCT((Supuestos!$D$6:$D$12&lt;=A30)*Supuestos!$C$6:$C$12)+IF(A30&gt;=Supuestos!$F$31,B30*Supuestos!$F$30*Supuestos!$F$29*Supuestos!$F$32,0)</f>
        <v>9246000</v>
      </c>
      <c r="D30" s="15" t="n">
        <f aca="false">IF(B30=0,0,Supuestos!$B$22+(Supuestos!$C$22-Supuestos!$B$22)*(B30-1)/(Supuestos!$F$33-1))-IF(A30&gt;=Supuestos!$B$46,Supuestos!$B$47,0)</f>
        <v>1801800</v>
      </c>
      <c r="E30" s="15" t="n">
        <f aca="false">Supuestos!$C$23*B30/Supuestos!$F$33</f>
        <v>1516666.66666667</v>
      </c>
      <c r="F30" s="15" t="n">
        <f aca="false">Supuestos!$C$24</f>
        <v>100000</v>
      </c>
      <c r="G30" s="15" t="n">
        <f aca="false">C30-D30-E30-F30</f>
        <v>5827533.33333333</v>
      </c>
      <c r="H30" s="15" t="n">
        <f aca="false">MAX(0,G30)*Supuestos!$B$28</f>
        <v>1165506.66666667</v>
      </c>
      <c r="I30" s="17" t="n">
        <f aca="false">G30-H30</f>
        <v>4662026.66666667</v>
      </c>
      <c r="J30" s="15" t="n">
        <f aca="false">IFERROR(INDEX(Préstamo!$G$18:$G$57,MATCH(A30,Préstamo!$C$18:$C$57,0)),0)</f>
        <v>1323132.23757242</v>
      </c>
      <c r="K30" s="15" t="n">
        <f aca="false">SUMPRODUCT((Supuestos!$G$6:$G$12&lt;=A30)*(Supuestos!$H$6:$H$12&gt;=A30)*Supuestos!$I$6:$I$12)/Supuestos!$B$43+IF(AND(A30&gt;=Supuestos!$B$46,A30&lt;=EDATE(Supuestos!$B$46,Supuestos!$B$43-1)),Supuestos!$B$45/Supuestos!$B$43,0)</f>
        <v>818975</v>
      </c>
      <c r="L30" s="17" t="n">
        <f aca="false">I30-J30-K30</f>
        <v>2519919.42909425</v>
      </c>
      <c r="M30" s="15" t="n">
        <f aca="false">M29+L30</f>
        <v>16288801.8691677</v>
      </c>
      <c r="N30" s="17" t="n">
        <f aca="false">I30-J30</f>
        <v>3338894.42909425</v>
      </c>
      <c r="O30" s="15" t="n">
        <f aca="false">O29+N30</f>
        <v>64533451.8691677</v>
      </c>
      <c r="P30" s="15" t="n">
        <f aca="false">K30-IF(A30=Supuestos!$F$35,Supuestos!$F$28,0)</f>
        <v>818975</v>
      </c>
      <c r="Q30" s="15" t="n">
        <f aca="false">Q29+P30</f>
        <v>48244650</v>
      </c>
      <c r="R30" s="15" t="n">
        <f aca="false">R29+(G30-MAX(0,G30)*Supuestos!$B$29)</f>
        <v>106836180</v>
      </c>
      <c r="S30" s="15" t="n">
        <f aca="false">S29+(G30-MAX(0,G30)*Supuestos!$B$30)</f>
        <v>94965493.3333334</v>
      </c>
      <c r="T30" s="15" t="n">
        <f aca="false">T29+(G30-MAX(0,G30)*Supuestos!$B$31)</f>
        <v>83094806.6666667</v>
      </c>
    </row>
    <row r="31" customFormat="false" ht="15" hidden="false" customHeight="false" outlineLevel="0" collapsed="false">
      <c r="A31" s="21" t="n">
        <f aca="false">EDATE(A30,1)</f>
        <v>47058</v>
      </c>
      <c r="B31" s="19" t="n">
        <f aca="false">SUMPRODUCT(--(Supuestos!$D$6:$D$12&lt;=A31))</f>
        <v>7</v>
      </c>
      <c r="C31" s="15" t="n">
        <f aca="false">SUMPRODUCT((Supuestos!$D$6:$D$12&lt;=A31)*Supuestos!$C$6:$C$12)+IF(A31&gt;=Supuestos!$F$31,B31*Supuestos!$F$30*Supuestos!$F$29*Supuestos!$F$32,0)</f>
        <v>9246000</v>
      </c>
      <c r="D31" s="15" t="n">
        <f aca="false">IF(B31=0,0,Supuestos!$B$22+(Supuestos!$C$22-Supuestos!$B$22)*(B31-1)/(Supuestos!$F$33-1))-IF(A31&gt;=Supuestos!$B$46,Supuestos!$B$47,0)</f>
        <v>1801800</v>
      </c>
      <c r="E31" s="15" t="n">
        <f aca="false">Supuestos!$C$23*B31/Supuestos!$F$33</f>
        <v>1516666.66666667</v>
      </c>
      <c r="F31" s="15" t="n">
        <f aca="false">Supuestos!$C$24</f>
        <v>100000</v>
      </c>
      <c r="G31" s="15" t="n">
        <f aca="false">C31-D31-E31-F31</f>
        <v>5827533.33333333</v>
      </c>
      <c r="H31" s="15" t="n">
        <f aca="false">MAX(0,G31)*Supuestos!$B$28</f>
        <v>1165506.66666667</v>
      </c>
      <c r="I31" s="17" t="n">
        <f aca="false">G31-H31</f>
        <v>4662026.66666667</v>
      </c>
      <c r="J31" s="15" t="n">
        <f aca="false">IFERROR(INDEX(Préstamo!$G$18:$G$57,MATCH(A31,Préstamo!$C$18:$C$57,0)),0)</f>
        <v>1323132.23757242</v>
      </c>
      <c r="K31" s="15" t="n">
        <f aca="false">SUMPRODUCT((Supuestos!$G$6:$G$12&lt;=A31)*(Supuestos!$H$6:$H$12&gt;=A31)*Supuestos!$I$6:$I$12)/Supuestos!$B$43+IF(AND(A31&gt;=Supuestos!$B$46,A31&lt;=EDATE(Supuestos!$B$46,Supuestos!$B$43-1)),Supuestos!$B$45/Supuestos!$B$43,0)</f>
        <v>818975</v>
      </c>
      <c r="L31" s="17" t="n">
        <f aca="false">I31-J31-K31</f>
        <v>2519919.42909425</v>
      </c>
      <c r="M31" s="15" t="n">
        <f aca="false">M30+L31</f>
        <v>18808721.298262</v>
      </c>
      <c r="N31" s="17" t="n">
        <f aca="false">I31-J31</f>
        <v>3338894.42909425</v>
      </c>
      <c r="O31" s="15" t="n">
        <f aca="false">O30+N31</f>
        <v>67872346.298262</v>
      </c>
      <c r="P31" s="15" t="n">
        <f aca="false">K31-IF(A31=Supuestos!$F$35,Supuestos!$F$28,0)</f>
        <v>818975</v>
      </c>
      <c r="Q31" s="15" t="n">
        <f aca="false">Q30+P31</f>
        <v>49063625</v>
      </c>
      <c r="R31" s="15" t="n">
        <f aca="false">R30+(G31-MAX(0,G31)*Supuestos!$B$29)</f>
        <v>112080960</v>
      </c>
      <c r="S31" s="15" t="n">
        <f aca="false">S30+(G31-MAX(0,G31)*Supuestos!$B$30)</f>
        <v>99627520</v>
      </c>
      <c r="T31" s="15" t="n">
        <f aca="false">T30+(G31-MAX(0,G31)*Supuestos!$B$31)</f>
        <v>87174080</v>
      </c>
    </row>
    <row r="32" customFormat="false" ht="15" hidden="false" customHeight="false" outlineLevel="0" collapsed="false">
      <c r="A32" s="21" t="n">
        <f aca="false">EDATE(A31,1)</f>
        <v>47088</v>
      </c>
      <c r="B32" s="19" t="n">
        <f aca="false">SUMPRODUCT(--(Supuestos!$D$6:$D$12&lt;=A32))</f>
        <v>7</v>
      </c>
      <c r="C32" s="15" t="n">
        <f aca="false">SUMPRODUCT((Supuestos!$D$6:$D$12&lt;=A32)*Supuestos!$C$6:$C$12)+IF(A32&gt;=Supuestos!$F$31,B32*Supuestos!$F$30*Supuestos!$F$29*Supuestos!$F$32,0)</f>
        <v>9246000</v>
      </c>
      <c r="D32" s="15" t="n">
        <f aca="false">IF(B32=0,0,Supuestos!$B$22+(Supuestos!$C$22-Supuestos!$B$22)*(B32-1)/(Supuestos!$F$33-1))-IF(A32&gt;=Supuestos!$B$46,Supuestos!$B$47,0)</f>
        <v>1801800</v>
      </c>
      <c r="E32" s="15" t="n">
        <f aca="false">Supuestos!$C$23*B32/Supuestos!$F$33</f>
        <v>1516666.66666667</v>
      </c>
      <c r="F32" s="15" t="n">
        <f aca="false">Supuestos!$C$24</f>
        <v>100000</v>
      </c>
      <c r="G32" s="15" t="n">
        <f aca="false">C32-D32-E32-F32</f>
        <v>5827533.33333333</v>
      </c>
      <c r="H32" s="15" t="n">
        <f aca="false">MAX(0,G32)*Supuestos!$B$28</f>
        <v>1165506.66666667</v>
      </c>
      <c r="I32" s="17" t="n">
        <f aca="false">G32-H32</f>
        <v>4662026.66666667</v>
      </c>
      <c r="J32" s="15" t="n">
        <f aca="false">IFERROR(INDEX(Préstamo!$G$18:$G$57,MATCH(A32,Préstamo!$C$18:$C$57,0)),0)</f>
        <v>1323132.23757242</v>
      </c>
      <c r="K32" s="15" t="n">
        <f aca="false">SUMPRODUCT((Supuestos!$G$6:$G$12&lt;=A32)*(Supuestos!$H$6:$H$12&gt;=A32)*Supuestos!$I$6:$I$12)/Supuestos!$B$43+IF(AND(A32&gt;=Supuestos!$B$46,A32&lt;=EDATE(Supuestos!$B$46,Supuestos!$B$43-1)),Supuestos!$B$45/Supuestos!$B$43,0)</f>
        <v>0</v>
      </c>
      <c r="L32" s="17" t="n">
        <f aca="false">I32-J32-K32</f>
        <v>3338894.42909425</v>
      </c>
      <c r="M32" s="15" t="n">
        <f aca="false">M31+L32</f>
        <v>22147615.7273562</v>
      </c>
      <c r="N32" s="17" t="n">
        <f aca="false">I32-J32</f>
        <v>3338894.42909425</v>
      </c>
      <c r="O32" s="15" t="n">
        <f aca="false">O31+N32</f>
        <v>71211240.7273562</v>
      </c>
      <c r="P32" s="15" t="n">
        <f aca="false">K32-IF(A32=Supuestos!$F$35,Supuestos!$F$28,0)</f>
        <v>0</v>
      </c>
      <c r="Q32" s="15" t="n">
        <f aca="false">Q31+P32</f>
        <v>49063625</v>
      </c>
      <c r="R32" s="15" t="n">
        <f aca="false">R31+(G32-MAX(0,G32)*Supuestos!$B$29)</f>
        <v>117325740</v>
      </c>
      <c r="S32" s="15" t="n">
        <f aca="false">S31+(G32-MAX(0,G32)*Supuestos!$B$30)</f>
        <v>104289546.666667</v>
      </c>
      <c r="T32" s="15" t="n">
        <f aca="false">T31+(G32-MAX(0,G32)*Supuestos!$B$31)</f>
        <v>91253353.3333333</v>
      </c>
    </row>
    <row r="33" customFormat="false" ht="15" hidden="false" customHeight="false" outlineLevel="0" collapsed="false">
      <c r="A33" s="21" t="n">
        <f aca="false">EDATE(A32,1)</f>
        <v>47119</v>
      </c>
      <c r="B33" s="19" t="n">
        <f aca="false">SUMPRODUCT(--(Supuestos!$D$6:$D$12&lt;=A33))</f>
        <v>7</v>
      </c>
      <c r="C33" s="15" t="n">
        <f aca="false">SUMPRODUCT((Supuestos!$D$6:$D$12&lt;=A33)*Supuestos!$C$6:$C$12)+IF(A33&gt;=Supuestos!$F$31,B33*Supuestos!$F$30*Supuestos!$F$29*Supuestos!$F$32,0)</f>
        <v>9246000</v>
      </c>
      <c r="D33" s="15" t="n">
        <f aca="false">IF(B33=0,0,Supuestos!$B$22+(Supuestos!$C$22-Supuestos!$B$22)*(B33-1)/(Supuestos!$F$33-1))-IF(A33&gt;=Supuestos!$B$46,Supuestos!$B$47,0)</f>
        <v>1801800</v>
      </c>
      <c r="E33" s="15" t="n">
        <f aca="false">Supuestos!$C$23*B33/Supuestos!$F$33</f>
        <v>1516666.66666667</v>
      </c>
      <c r="F33" s="15" t="n">
        <f aca="false">Supuestos!$C$24</f>
        <v>100000</v>
      </c>
      <c r="G33" s="15" t="n">
        <f aca="false">C33-D33-E33-F33</f>
        <v>5827533.33333333</v>
      </c>
      <c r="H33" s="15" t="n">
        <f aca="false">MAX(0,G33)*Supuestos!$B$28</f>
        <v>1165506.66666667</v>
      </c>
      <c r="I33" s="17" t="n">
        <f aca="false">G33-H33</f>
        <v>4662026.66666667</v>
      </c>
      <c r="J33" s="15" t="n">
        <f aca="false">IFERROR(INDEX(Préstamo!$G$18:$G$57,MATCH(A33,Préstamo!$C$18:$C$57,0)),0)</f>
        <v>1323132.23757242</v>
      </c>
      <c r="K33" s="15" t="n">
        <f aca="false">SUMPRODUCT((Supuestos!$G$6:$G$12&lt;=A33)*(Supuestos!$H$6:$H$12&gt;=A33)*Supuestos!$I$6:$I$12)/Supuestos!$B$43+IF(AND(A33&gt;=Supuestos!$B$46,A33&lt;=EDATE(Supuestos!$B$46,Supuestos!$B$43-1)),Supuestos!$B$45/Supuestos!$B$43,0)</f>
        <v>0</v>
      </c>
      <c r="L33" s="17" t="n">
        <f aca="false">I33-J33-K33</f>
        <v>3338894.42909425</v>
      </c>
      <c r="M33" s="15" t="n">
        <f aca="false">M32+L33</f>
        <v>25486510.1564505</v>
      </c>
      <c r="N33" s="17" t="n">
        <f aca="false">I33-J33</f>
        <v>3338894.42909425</v>
      </c>
      <c r="O33" s="15" t="n">
        <f aca="false">O32+N33</f>
        <v>74550135.1564505</v>
      </c>
      <c r="P33" s="15" t="n">
        <f aca="false">K33-IF(A33=Supuestos!$F$35,Supuestos!$F$28,0)</f>
        <v>0</v>
      </c>
      <c r="Q33" s="15" t="n">
        <f aca="false">Q32+P33</f>
        <v>49063625</v>
      </c>
      <c r="R33" s="15" t="n">
        <f aca="false">R32+(G33-MAX(0,G33)*Supuestos!$B$29)</f>
        <v>122570520</v>
      </c>
      <c r="S33" s="15" t="n">
        <f aca="false">S32+(G33-MAX(0,G33)*Supuestos!$B$30)</f>
        <v>108951573.333333</v>
      </c>
      <c r="T33" s="15" t="n">
        <f aca="false">T32+(G33-MAX(0,G33)*Supuestos!$B$31)</f>
        <v>95332626.6666666</v>
      </c>
    </row>
    <row r="34" customFormat="false" ht="15" hidden="false" customHeight="false" outlineLevel="0" collapsed="false">
      <c r="A34" s="21" t="n">
        <f aca="false">EDATE(A33,1)</f>
        <v>47150</v>
      </c>
      <c r="B34" s="19" t="n">
        <f aca="false">SUMPRODUCT(--(Supuestos!$D$6:$D$12&lt;=A34))</f>
        <v>7</v>
      </c>
      <c r="C34" s="15" t="n">
        <f aca="false">SUMPRODUCT((Supuestos!$D$6:$D$12&lt;=A34)*Supuestos!$C$6:$C$12)+IF(A34&gt;=Supuestos!$F$31,B34*Supuestos!$F$30*Supuestos!$F$29*Supuestos!$F$32,0)</f>
        <v>9246000</v>
      </c>
      <c r="D34" s="15" t="n">
        <f aca="false">IF(B34=0,0,Supuestos!$B$22+(Supuestos!$C$22-Supuestos!$B$22)*(B34-1)/(Supuestos!$F$33-1))-IF(A34&gt;=Supuestos!$B$46,Supuestos!$B$47,0)</f>
        <v>1801800</v>
      </c>
      <c r="E34" s="15" t="n">
        <f aca="false">Supuestos!$C$23*B34/Supuestos!$F$33</f>
        <v>1516666.66666667</v>
      </c>
      <c r="F34" s="15" t="n">
        <f aca="false">Supuestos!$C$24</f>
        <v>100000</v>
      </c>
      <c r="G34" s="15" t="n">
        <f aca="false">C34-D34-E34-F34</f>
        <v>5827533.33333333</v>
      </c>
      <c r="H34" s="15" t="n">
        <f aca="false">MAX(0,G34)*Supuestos!$B$28</f>
        <v>1165506.66666667</v>
      </c>
      <c r="I34" s="17" t="n">
        <f aca="false">G34-H34</f>
        <v>4662026.66666667</v>
      </c>
      <c r="J34" s="15" t="n">
        <f aca="false">IFERROR(INDEX(Préstamo!$G$18:$G$57,MATCH(A34,Préstamo!$C$18:$C$57,0)),0)</f>
        <v>1323132.23757242</v>
      </c>
      <c r="K34" s="15" t="n">
        <f aca="false">SUMPRODUCT((Supuestos!$G$6:$G$12&lt;=A34)*(Supuestos!$H$6:$H$12&gt;=A34)*Supuestos!$I$6:$I$12)/Supuestos!$B$43+IF(AND(A34&gt;=Supuestos!$B$46,A34&lt;=EDATE(Supuestos!$B$46,Supuestos!$B$43-1)),Supuestos!$B$45/Supuestos!$B$43,0)</f>
        <v>0</v>
      </c>
      <c r="L34" s="17" t="n">
        <f aca="false">I34-J34-K34</f>
        <v>3338894.42909425</v>
      </c>
      <c r="M34" s="15" t="n">
        <f aca="false">M33+L34</f>
        <v>28825404.5855447</v>
      </c>
      <c r="N34" s="17" t="n">
        <f aca="false">I34-J34</f>
        <v>3338894.42909425</v>
      </c>
      <c r="O34" s="15" t="n">
        <f aca="false">O33+N34</f>
        <v>77889029.5855448</v>
      </c>
      <c r="P34" s="15" t="n">
        <f aca="false">K34-IF(A34=Supuestos!$F$35,Supuestos!$F$28,0)</f>
        <v>0</v>
      </c>
      <c r="Q34" s="15" t="n">
        <f aca="false">Q33+P34</f>
        <v>49063625</v>
      </c>
      <c r="R34" s="15" t="n">
        <f aca="false">R33+(G34-MAX(0,G34)*Supuestos!$B$29)</f>
        <v>127815300</v>
      </c>
      <c r="S34" s="15" t="n">
        <f aca="false">S33+(G34-MAX(0,G34)*Supuestos!$B$30)</f>
        <v>113613600</v>
      </c>
      <c r="T34" s="15" t="n">
        <f aca="false">T33+(G34-MAX(0,G34)*Supuestos!$B$31)</f>
        <v>99411900</v>
      </c>
    </row>
    <row r="35" customFormat="false" ht="15" hidden="false" customHeight="false" outlineLevel="0" collapsed="false">
      <c r="A35" s="21" t="n">
        <f aca="false">EDATE(A34,1)</f>
        <v>47178</v>
      </c>
      <c r="B35" s="19" t="n">
        <f aca="false">SUMPRODUCT(--(Supuestos!$D$6:$D$12&lt;=A35))</f>
        <v>7</v>
      </c>
      <c r="C35" s="15" t="n">
        <f aca="false">SUMPRODUCT((Supuestos!$D$6:$D$12&lt;=A35)*Supuestos!$C$6:$C$12)+IF(A35&gt;=Supuestos!$F$31,B35*Supuestos!$F$30*Supuestos!$F$29*Supuestos!$F$32,0)</f>
        <v>9246000</v>
      </c>
      <c r="D35" s="15" t="n">
        <f aca="false">IF(B35=0,0,Supuestos!$B$22+(Supuestos!$C$22-Supuestos!$B$22)*(B35-1)/(Supuestos!$F$33-1))-IF(A35&gt;=Supuestos!$B$46,Supuestos!$B$47,0)</f>
        <v>1801800</v>
      </c>
      <c r="E35" s="15" t="n">
        <f aca="false">Supuestos!$C$23*B35/Supuestos!$F$33</f>
        <v>1516666.66666667</v>
      </c>
      <c r="F35" s="15" t="n">
        <f aca="false">Supuestos!$C$24</f>
        <v>100000</v>
      </c>
      <c r="G35" s="15" t="n">
        <f aca="false">C35-D35-E35-F35</f>
        <v>5827533.33333333</v>
      </c>
      <c r="H35" s="15" t="n">
        <f aca="false">MAX(0,G35)*Supuestos!$B$28</f>
        <v>1165506.66666667</v>
      </c>
      <c r="I35" s="17" t="n">
        <f aca="false">G35-H35</f>
        <v>4662026.66666667</v>
      </c>
      <c r="J35" s="15" t="n">
        <f aca="false">IFERROR(INDEX(Préstamo!$G$18:$G$57,MATCH(A35,Préstamo!$C$18:$C$57,0)),0)</f>
        <v>1323132.23757242</v>
      </c>
      <c r="K35" s="15" t="n">
        <f aca="false">SUMPRODUCT((Supuestos!$G$6:$G$12&lt;=A35)*(Supuestos!$H$6:$H$12&gt;=A35)*Supuestos!$I$6:$I$12)/Supuestos!$B$43+IF(AND(A35&gt;=Supuestos!$B$46,A35&lt;=EDATE(Supuestos!$B$46,Supuestos!$B$43-1)),Supuestos!$B$45/Supuestos!$B$43,0)</f>
        <v>0</v>
      </c>
      <c r="L35" s="17" t="n">
        <f aca="false">I35-J35-K35</f>
        <v>3338894.42909425</v>
      </c>
      <c r="M35" s="15" t="n">
        <f aca="false">M34+L35</f>
        <v>32164299.014639</v>
      </c>
      <c r="N35" s="17" t="n">
        <f aca="false">I35-J35</f>
        <v>3338894.42909425</v>
      </c>
      <c r="O35" s="15" t="n">
        <f aca="false">O34+N35</f>
        <v>81227924.014639</v>
      </c>
      <c r="P35" s="15" t="n">
        <f aca="false">K35-IF(A35=Supuestos!$F$35,Supuestos!$F$28,0)</f>
        <v>0</v>
      </c>
      <c r="Q35" s="15" t="n">
        <f aca="false">Q34+P35</f>
        <v>49063625</v>
      </c>
      <c r="R35" s="15" t="n">
        <f aca="false">R34+(G35-MAX(0,G35)*Supuestos!$B$29)</f>
        <v>133060080</v>
      </c>
      <c r="S35" s="15" t="n">
        <f aca="false">S34+(G35-MAX(0,G35)*Supuestos!$B$30)</f>
        <v>118275626.666667</v>
      </c>
      <c r="T35" s="15" t="n">
        <f aca="false">T34+(G35-MAX(0,G35)*Supuestos!$B$31)</f>
        <v>103491173.333333</v>
      </c>
    </row>
    <row r="36" customFormat="false" ht="15" hidden="false" customHeight="false" outlineLevel="0" collapsed="false">
      <c r="A36" s="21" t="n">
        <f aca="false">EDATE(A35,1)</f>
        <v>47209</v>
      </c>
      <c r="B36" s="19" t="n">
        <f aca="false">SUMPRODUCT(--(Supuestos!$D$6:$D$12&lt;=A36))</f>
        <v>7</v>
      </c>
      <c r="C36" s="15" t="n">
        <f aca="false">SUMPRODUCT((Supuestos!$D$6:$D$12&lt;=A36)*Supuestos!$C$6:$C$12)+IF(A36&gt;=Supuestos!$F$31,B36*Supuestos!$F$30*Supuestos!$F$29*Supuestos!$F$32,0)</f>
        <v>9246000</v>
      </c>
      <c r="D36" s="15" t="n">
        <f aca="false">IF(B36=0,0,Supuestos!$B$22+(Supuestos!$C$22-Supuestos!$B$22)*(B36-1)/(Supuestos!$F$33-1))-IF(A36&gt;=Supuestos!$B$46,Supuestos!$B$47,0)</f>
        <v>1801800</v>
      </c>
      <c r="E36" s="15" t="n">
        <f aca="false">Supuestos!$C$23*B36/Supuestos!$F$33</f>
        <v>1516666.66666667</v>
      </c>
      <c r="F36" s="15" t="n">
        <f aca="false">Supuestos!$C$24</f>
        <v>100000</v>
      </c>
      <c r="G36" s="15" t="n">
        <f aca="false">C36-D36-E36-F36</f>
        <v>5827533.33333333</v>
      </c>
      <c r="H36" s="15" t="n">
        <f aca="false">MAX(0,G36)*Supuestos!$B$28</f>
        <v>1165506.66666667</v>
      </c>
      <c r="I36" s="17" t="n">
        <f aca="false">G36-H36</f>
        <v>4662026.66666667</v>
      </c>
      <c r="J36" s="15" t="n">
        <f aca="false">IFERROR(INDEX(Préstamo!$G$18:$G$57,MATCH(A36,Préstamo!$C$18:$C$57,0)),0)</f>
        <v>1323132.23757242</v>
      </c>
      <c r="K36" s="15" t="n">
        <f aca="false">SUMPRODUCT((Supuestos!$G$6:$G$12&lt;=A36)*(Supuestos!$H$6:$H$12&gt;=A36)*Supuestos!$I$6:$I$12)/Supuestos!$B$43+IF(AND(A36&gt;=Supuestos!$B$46,A36&lt;=EDATE(Supuestos!$B$46,Supuestos!$B$43-1)),Supuestos!$B$45/Supuestos!$B$43,0)</f>
        <v>0</v>
      </c>
      <c r="L36" s="17" t="n">
        <f aca="false">I36-J36-K36</f>
        <v>3338894.42909425</v>
      </c>
      <c r="M36" s="15" t="n">
        <f aca="false">M35+L36</f>
        <v>35503193.4437332</v>
      </c>
      <c r="N36" s="17" t="n">
        <f aca="false">I36-J36</f>
        <v>3338894.42909425</v>
      </c>
      <c r="O36" s="15" t="n">
        <f aca="false">O35+N36</f>
        <v>84566818.4437333</v>
      </c>
      <c r="P36" s="15" t="n">
        <f aca="false">K36-IF(A36=Supuestos!$F$35,Supuestos!$F$28,0)</f>
        <v>0</v>
      </c>
      <c r="Q36" s="15" t="n">
        <f aca="false">Q35+P36</f>
        <v>49063625</v>
      </c>
      <c r="R36" s="15" t="n">
        <f aca="false">R35+(G36-MAX(0,G36)*Supuestos!$B$29)</f>
        <v>138304860</v>
      </c>
      <c r="S36" s="15" t="n">
        <f aca="false">S35+(G36-MAX(0,G36)*Supuestos!$B$30)</f>
        <v>122937653.333333</v>
      </c>
      <c r="T36" s="15" t="n">
        <f aca="false">T35+(G36-MAX(0,G36)*Supuestos!$B$31)</f>
        <v>107570446.666667</v>
      </c>
    </row>
    <row r="37" customFormat="false" ht="15" hidden="false" customHeight="false" outlineLevel="0" collapsed="false">
      <c r="A37" s="21" t="n">
        <f aca="false">EDATE(A36,1)</f>
        <v>47239</v>
      </c>
      <c r="B37" s="19" t="n">
        <f aca="false">SUMPRODUCT(--(Supuestos!$D$6:$D$12&lt;=A37))</f>
        <v>7</v>
      </c>
      <c r="C37" s="15" t="n">
        <f aca="false">SUMPRODUCT((Supuestos!$D$6:$D$12&lt;=A37)*Supuestos!$C$6:$C$12)+IF(A37&gt;=Supuestos!$F$31,B37*Supuestos!$F$30*Supuestos!$F$29*Supuestos!$F$32,0)</f>
        <v>9246000</v>
      </c>
      <c r="D37" s="15" t="n">
        <f aca="false">IF(B37=0,0,Supuestos!$B$22+(Supuestos!$C$22-Supuestos!$B$22)*(B37-1)/(Supuestos!$F$33-1))-IF(A37&gt;=Supuestos!$B$46,Supuestos!$B$47,0)</f>
        <v>1801800</v>
      </c>
      <c r="E37" s="15" t="n">
        <f aca="false">Supuestos!$C$23*B37/Supuestos!$F$33</f>
        <v>1516666.66666667</v>
      </c>
      <c r="F37" s="15" t="n">
        <f aca="false">Supuestos!$C$24</f>
        <v>100000</v>
      </c>
      <c r="G37" s="15" t="n">
        <f aca="false">C37-D37-E37-F37</f>
        <v>5827533.33333333</v>
      </c>
      <c r="H37" s="15" t="n">
        <f aca="false">MAX(0,G37)*Supuestos!$B$28</f>
        <v>1165506.66666667</v>
      </c>
      <c r="I37" s="17" t="n">
        <f aca="false">G37-H37</f>
        <v>4662026.66666667</v>
      </c>
      <c r="J37" s="15" t="n">
        <f aca="false">IFERROR(INDEX(Préstamo!$G$18:$G$57,MATCH(A37,Préstamo!$C$18:$C$57,0)),0)</f>
        <v>1323132.23757242</v>
      </c>
      <c r="K37" s="15" t="n">
        <f aca="false">SUMPRODUCT((Supuestos!$G$6:$G$12&lt;=A37)*(Supuestos!$H$6:$H$12&gt;=A37)*Supuestos!$I$6:$I$12)/Supuestos!$B$43+IF(AND(A37&gt;=Supuestos!$B$46,A37&lt;=EDATE(Supuestos!$B$46,Supuestos!$B$43-1)),Supuestos!$B$45/Supuestos!$B$43,0)</f>
        <v>0</v>
      </c>
      <c r="L37" s="17" t="n">
        <f aca="false">I37-J37-K37</f>
        <v>3338894.42909425</v>
      </c>
      <c r="M37" s="15" t="n">
        <f aca="false">M36+L37</f>
        <v>38842087.8728275</v>
      </c>
      <c r="N37" s="17" t="n">
        <f aca="false">I37-J37</f>
        <v>3338894.42909425</v>
      </c>
      <c r="O37" s="15" t="n">
        <f aca="false">O36+N37</f>
        <v>87905712.8728275</v>
      </c>
      <c r="P37" s="15" t="n">
        <f aca="false">K37-IF(A37=Supuestos!$F$35,Supuestos!$F$28,0)</f>
        <v>0</v>
      </c>
      <c r="Q37" s="15" t="n">
        <f aca="false">Q36+P37</f>
        <v>49063625</v>
      </c>
      <c r="R37" s="15" t="n">
        <f aca="false">R36+(G37-MAX(0,G37)*Supuestos!$B$29)</f>
        <v>143549640</v>
      </c>
      <c r="S37" s="15" t="n">
        <f aca="false">S36+(G37-MAX(0,G37)*Supuestos!$B$30)</f>
        <v>127599680</v>
      </c>
      <c r="T37" s="15" t="n">
        <f aca="false">T36+(G37-MAX(0,G37)*Supuestos!$B$31)</f>
        <v>111649720</v>
      </c>
    </row>
    <row r="38" customFormat="false" ht="15" hidden="false" customHeight="false" outlineLevel="0" collapsed="false">
      <c r="A38" s="21" t="n">
        <f aca="false">EDATE(A37,1)</f>
        <v>47270</v>
      </c>
      <c r="B38" s="19" t="n">
        <f aca="false">SUMPRODUCT(--(Supuestos!$D$6:$D$12&lt;=A38))</f>
        <v>7</v>
      </c>
      <c r="C38" s="15" t="n">
        <f aca="false">SUMPRODUCT((Supuestos!$D$6:$D$12&lt;=A38)*Supuestos!$C$6:$C$12)+IF(A38&gt;=Supuestos!$F$31,B38*Supuestos!$F$30*Supuestos!$F$29*Supuestos!$F$32,0)</f>
        <v>9246000</v>
      </c>
      <c r="D38" s="15" t="n">
        <f aca="false">IF(B38=0,0,Supuestos!$B$22+(Supuestos!$C$22-Supuestos!$B$22)*(B38-1)/(Supuestos!$F$33-1))-IF(A38&gt;=Supuestos!$B$46,Supuestos!$B$47,0)</f>
        <v>1801800</v>
      </c>
      <c r="E38" s="15" t="n">
        <f aca="false">Supuestos!$C$23*B38/Supuestos!$F$33</f>
        <v>1516666.66666667</v>
      </c>
      <c r="F38" s="15" t="n">
        <f aca="false">Supuestos!$C$24</f>
        <v>100000</v>
      </c>
      <c r="G38" s="15" t="n">
        <f aca="false">C38-D38-E38-F38</f>
        <v>5827533.33333333</v>
      </c>
      <c r="H38" s="15" t="n">
        <f aca="false">MAX(0,G38)*Supuestos!$B$28</f>
        <v>1165506.66666667</v>
      </c>
      <c r="I38" s="17" t="n">
        <f aca="false">G38-H38</f>
        <v>4662026.66666667</v>
      </c>
      <c r="J38" s="15" t="n">
        <f aca="false">IFERROR(INDEX(Préstamo!$G$18:$G$57,MATCH(A38,Préstamo!$C$18:$C$57,0)),0)</f>
        <v>1323132.23757242</v>
      </c>
      <c r="K38" s="15" t="n">
        <f aca="false">SUMPRODUCT((Supuestos!$G$6:$G$12&lt;=A38)*(Supuestos!$H$6:$H$12&gt;=A38)*Supuestos!$I$6:$I$12)/Supuestos!$B$43+IF(AND(A38&gt;=Supuestos!$B$46,A38&lt;=EDATE(Supuestos!$B$46,Supuestos!$B$43-1)),Supuestos!$B$45/Supuestos!$B$43,0)</f>
        <v>0</v>
      </c>
      <c r="L38" s="17" t="n">
        <f aca="false">I38-J38-K38</f>
        <v>3338894.42909425</v>
      </c>
      <c r="M38" s="15" t="n">
        <f aca="false">M37+L38</f>
        <v>42180982.3019217</v>
      </c>
      <c r="N38" s="17" t="n">
        <f aca="false">I38-J38</f>
        <v>3338894.42909425</v>
      </c>
      <c r="O38" s="15" t="n">
        <f aca="false">O37+N38</f>
        <v>91244607.3019218</v>
      </c>
      <c r="P38" s="15" t="n">
        <f aca="false">K38-IF(A38=Supuestos!$F$35,Supuestos!$F$28,0)</f>
        <v>0</v>
      </c>
      <c r="Q38" s="15" t="n">
        <f aca="false">Q37+P38</f>
        <v>49063625</v>
      </c>
      <c r="R38" s="15" t="n">
        <f aca="false">R37+(G38-MAX(0,G38)*Supuestos!$B$29)</f>
        <v>148794420</v>
      </c>
      <c r="S38" s="15" t="n">
        <f aca="false">S37+(G38-MAX(0,G38)*Supuestos!$B$30)</f>
        <v>132261706.666667</v>
      </c>
      <c r="T38" s="15" t="n">
        <f aca="false">T37+(G38-MAX(0,G38)*Supuestos!$B$31)</f>
        <v>115728993.333333</v>
      </c>
    </row>
    <row r="39" customFormat="false" ht="15" hidden="false" customHeight="false" outlineLevel="0" collapsed="false">
      <c r="A39" s="21" t="n">
        <f aca="false">EDATE(A38,1)</f>
        <v>47300</v>
      </c>
      <c r="B39" s="19" t="n">
        <f aca="false">SUMPRODUCT(--(Supuestos!$D$6:$D$12&lt;=A39))</f>
        <v>7</v>
      </c>
      <c r="C39" s="15" t="n">
        <f aca="false">SUMPRODUCT((Supuestos!$D$6:$D$12&lt;=A39)*Supuestos!$C$6:$C$12)+IF(A39&gt;=Supuestos!$F$31,B39*Supuestos!$F$30*Supuestos!$F$29*Supuestos!$F$32,0)</f>
        <v>9246000</v>
      </c>
      <c r="D39" s="15" t="n">
        <f aca="false">IF(B39=0,0,Supuestos!$B$22+(Supuestos!$C$22-Supuestos!$B$22)*(B39-1)/(Supuestos!$F$33-1))-IF(A39&gt;=Supuestos!$B$46,Supuestos!$B$47,0)</f>
        <v>1801800</v>
      </c>
      <c r="E39" s="15" t="n">
        <f aca="false">Supuestos!$C$23*B39/Supuestos!$F$33</f>
        <v>1516666.66666667</v>
      </c>
      <c r="F39" s="15" t="n">
        <f aca="false">Supuestos!$C$24</f>
        <v>100000</v>
      </c>
      <c r="G39" s="15" t="n">
        <f aca="false">C39-D39-E39-F39</f>
        <v>5827533.33333333</v>
      </c>
      <c r="H39" s="15" t="n">
        <f aca="false">MAX(0,G39)*Supuestos!$B$28</f>
        <v>1165506.66666667</v>
      </c>
      <c r="I39" s="17" t="n">
        <f aca="false">G39-H39</f>
        <v>4662026.66666667</v>
      </c>
      <c r="J39" s="15" t="n">
        <f aca="false">IFERROR(INDEX(Préstamo!$G$18:$G$57,MATCH(A39,Préstamo!$C$18:$C$57,0)),0)</f>
        <v>1323132.23757242</v>
      </c>
      <c r="K39" s="15" t="n">
        <f aca="false">SUMPRODUCT((Supuestos!$G$6:$G$12&lt;=A39)*(Supuestos!$H$6:$H$12&gt;=A39)*Supuestos!$I$6:$I$12)/Supuestos!$B$43+IF(AND(A39&gt;=Supuestos!$B$46,A39&lt;=EDATE(Supuestos!$B$46,Supuestos!$B$43-1)),Supuestos!$B$45/Supuestos!$B$43,0)</f>
        <v>0</v>
      </c>
      <c r="L39" s="17" t="n">
        <f aca="false">I39-J39-K39</f>
        <v>3338894.42909425</v>
      </c>
      <c r="M39" s="15" t="n">
        <f aca="false">M38+L39</f>
        <v>45519876.731016</v>
      </c>
      <c r="N39" s="17" t="n">
        <f aca="false">I39-J39</f>
        <v>3338894.42909425</v>
      </c>
      <c r="O39" s="15" t="n">
        <f aca="false">O38+N39</f>
        <v>94583501.731016</v>
      </c>
      <c r="P39" s="15" t="n">
        <f aca="false">K39-IF(A39=Supuestos!$F$35,Supuestos!$F$28,0)</f>
        <v>0</v>
      </c>
      <c r="Q39" s="15" t="n">
        <f aca="false">Q38+P39</f>
        <v>49063625</v>
      </c>
      <c r="R39" s="15" t="n">
        <f aca="false">R38+(G39-MAX(0,G39)*Supuestos!$B$29)</f>
        <v>154039200</v>
      </c>
      <c r="S39" s="15" t="n">
        <f aca="false">S38+(G39-MAX(0,G39)*Supuestos!$B$30)</f>
        <v>136923733.333333</v>
      </c>
      <c r="T39" s="15" t="n">
        <f aca="false">T38+(G39-MAX(0,G39)*Supuestos!$B$31)</f>
        <v>119808266.666667</v>
      </c>
    </row>
    <row r="40" customFormat="false" ht="15" hidden="false" customHeight="false" outlineLevel="0" collapsed="false">
      <c r="A40" s="21" t="n">
        <f aca="false">EDATE(A39,1)</f>
        <v>47331</v>
      </c>
      <c r="B40" s="19" t="n">
        <f aca="false">SUMPRODUCT(--(Supuestos!$D$6:$D$12&lt;=A40))</f>
        <v>7</v>
      </c>
      <c r="C40" s="15" t="n">
        <f aca="false">SUMPRODUCT((Supuestos!$D$6:$D$12&lt;=A40)*Supuestos!$C$6:$C$12)+IF(A40&gt;=Supuestos!$F$31,B40*Supuestos!$F$30*Supuestos!$F$29*Supuestos!$F$32,0)</f>
        <v>9246000</v>
      </c>
      <c r="D40" s="15" t="n">
        <f aca="false">IF(B40=0,0,Supuestos!$B$22+(Supuestos!$C$22-Supuestos!$B$22)*(B40-1)/(Supuestos!$F$33-1))-IF(A40&gt;=Supuestos!$B$46,Supuestos!$B$47,0)</f>
        <v>1801800</v>
      </c>
      <c r="E40" s="15" t="n">
        <f aca="false">Supuestos!$C$23*B40/Supuestos!$F$33</f>
        <v>1516666.66666667</v>
      </c>
      <c r="F40" s="15" t="n">
        <f aca="false">Supuestos!$C$24</f>
        <v>100000</v>
      </c>
      <c r="G40" s="15" t="n">
        <f aca="false">C40-D40-E40-F40</f>
        <v>5827533.33333333</v>
      </c>
      <c r="H40" s="15" t="n">
        <f aca="false">MAX(0,G40)*Supuestos!$B$28</f>
        <v>1165506.66666667</v>
      </c>
      <c r="I40" s="17" t="n">
        <f aca="false">G40-H40</f>
        <v>4662026.66666667</v>
      </c>
      <c r="J40" s="15" t="n">
        <f aca="false">IFERROR(INDEX(Préstamo!$G$18:$G$57,MATCH(A40,Préstamo!$C$18:$C$57,0)),0)</f>
        <v>1323132.23757242</v>
      </c>
      <c r="K40" s="15" t="n">
        <f aca="false">SUMPRODUCT((Supuestos!$G$6:$G$12&lt;=A40)*(Supuestos!$H$6:$H$12&gt;=A40)*Supuestos!$I$6:$I$12)/Supuestos!$B$43+IF(AND(A40&gt;=Supuestos!$B$46,A40&lt;=EDATE(Supuestos!$B$46,Supuestos!$B$43-1)),Supuestos!$B$45/Supuestos!$B$43,0)</f>
        <v>0</v>
      </c>
      <c r="L40" s="17" t="n">
        <f aca="false">I40-J40-K40</f>
        <v>3338894.42909425</v>
      </c>
      <c r="M40" s="15" t="n">
        <f aca="false">M39+L40</f>
        <v>48858771.1601102</v>
      </c>
      <c r="N40" s="17" t="n">
        <f aca="false">I40-J40</f>
        <v>3338894.42909425</v>
      </c>
      <c r="O40" s="15" t="n">
        <f aca="false">O39+N40</f>
        <v>97922396.1601103</v>
      </c>
      <c r="P40" s="15" t="n">
        <f aca="false">K40-IF(A40=Supuestos!$F$35,Supuestos!$F$28,0)</f>
        <v>0</v>
      </c>
      <c r="Q40" s="15" t="n">
        <f aca="false">Q39+P40</f>
        <v>49063625</v>
      </c>
      <c r="R40" s="15" t="n">
        <f aca="false">R39+(G40-MAX(0,G40)*Supuestos!$B$29)</f>
        <v>159283980</v>
      </c>
      <c r="S40" s="15" t="n">
        <f aca="false">S39+(G40-MAX(0,G40)*Supuestos!$B$30)</f>
        <v>141585760</v>
      </c>
      <c r="T40" s="15" t="n">
        <f aca="false">T39+(G40-MAX(0,G40)*Supuestos!$B$31)</f>
        <v>123887540</v>
      </c>
    </row>
    <row r="41" customFormat="false" ht="15" hidden="false" customHeight="false" outlineLevel="0" collapsed="false">
      <c r="A41" s="53" t="n">
        <f aca="false">EDATE(A40,1)</f>
        <v>47362</v>
      </c>
      <c r="B41" s="54" t="n">
        <f aca="false">SUMPRODUCT(--(Supuestos!$D$6:$D$12&lt;=A41))</f>
        <v>7</v>
      </c>
      <c r="C41" s="55" t="n">
        <f aca="false">SUMPRODUCT((Supuestos!$D$6:$D$12&lt;=A41)*Supuestos!$C$6:$C$12)+IF(A41&gt;=Supuestos!$F$31,B41*Supuestos!$F$30*Supuestos!$F$29*Supuestos!$F$32,0)</f>
        <v>9246000</v>
      </c>
      <c r="D41" s="55" t="n">
        <f aca="false">IF(B41=0,0,Supuestos!$B$22+(Supuestos!$C$22-Supuestos!$B$22)*(B41-1)/(Supuestos!$F$33-1))-IF(A41&gt;=Supuestos!$B$46,Supuestos!$B$47,0)</f>
        <v>1801800</v>
      </c>
      <c r="E41" s="55" t="n">
        <f aca="false">Supuestos!$C$23*B41/Supuestos!$F$33</f>
        <v>1516666.66666667</v>
      </c>
      <c r="F41" s="55" t="n">
        <f aca="false">Supuestos!$C$24</f>
        <v>100000</v>
      </c>
      <c r="G41" s="55" t="n">
        <f aca="false">C41-D41-E41-F41</f>
        <v>5827533.33333333</v>
      </c>
      <c r="H41" s="55" t="n">
        <f aca="false">MAX(0,G41)*Supuestos!$B$28</f>
        <v>1165506.66666667</v>
      </c>
      <c r="I41" s="56" t="n">
        <f aca="false">G41-H41</f>
        <v>4662026.66666667</v>
      </c>
      <c r="J41" s="55" t="n">
        <f aca="false">IFERROR(INDEX(Préstamo!$G$18:$G$57,MATCH(A41,Préstamo!$C$18:$C$57,0)),0)</f>
        <v>1323132.23757242</v>
      </c>
      <c r="K41" s="55" t="n">
        <f aca="false">SUMPRODUCT((Supuestos!$G$6:$G$12&lt;=A41)*(Supuestos!$H$6:$H$12&gt;=A41)*Supuestos!$I$6:$I$12)/Supuestos!$B$43+IF(AND(A41&gt;=Supuestos!$B$46,A41&lt;=EDATE(Supuestos!$B$46,Supuestos!$B$43-1)),Supuestos!$B$45/Supuestos!$B$43,0)</f>
        <v>0</v>
      </c>
      <c r="L41" s="56" t="n">
        <f aca="false">I41-J41-K41</f>
        <v>3338894.42909425</v>
      </c>
      <c r="M41" s="55" t="n">
        <f aca="false">M40+L41</f>
        <v>52197665.5892045</v>
      </c>
      <c r="N41" s="56" t="n">
        <f aca="false">I41-J41</f>
        <v>3338894.42909425</v>
      </c>
      <c r="O41" s="55" t="n">
        <f aca="false">O40+N41</f>
        <v>101261290.589205</v>
      </c>
      <c r="P41" s="55" t="n">
        <f aca="false">K41-IF(A41=Supuestos!$F$35,Supuestos!$F$28,0)</f>
        <v>0</v>
      </c>
      <c r="Q41" s="55" t="n">
        <f aca="false">Q40+P41</f>
        <v>49063625</v>
      </c>
      <c r="R41" s="55" t="n">
        <f aca="false">R40+(G41-MAX(0,G41)*Supuestos!$B$29)</f>
        <v>164528760</v>
      </c>
      <c r="S41" s="55" t="n">
        <f aca="false">S40+(G41-MAX(0,G41)*Supuestos!$B$30)</f>
        <v>146247786.666667</v>
      </c>
      <c r="T41" s="55" t="n">
        <f aca="false">T40+(G41-MAX(0,G41)*Supuestos!$B$31)</f>
        <v>127966813.333333</v>
      </c>
    </row>
    <row r="42" customFormat="false" ht="15" hidden="false" customHeight="false" outlineLevel="0" collapsed="false">
      <c r="A42" s="21" t="n">
        <f aca="false">EDATE(A41,1)</f>
        <v>47392</v>
      </c>
      <c r="B42" s="19" t="n">
        <f aca="false">SUMPRODUCT(--(Supuestos!$D$6:$D$12&lt;=A42))</f>
        <v>7</v>
      </c>
      <c r="C42" s="15" t="n">
        <f aca="false">SUMPRODUCT((Supuestos!$D$6:$D$12&lt;=A42)*Supuestos!$C$6:$C$12)+IF(A42&gt;=Supuestos!$F$31,B42*Supuestos!$F$30*Supuestos!$F$29*Supuestos!$F$32,0)</f>
        <v>9246000</v>
      </c>
      <c r="D42" s="15" t="n">
        <f aca="false">IF(B42=0,0,Supuestos!$B$22+(Supuestos!$C$22-Supuestos!$B$22)*(B42-1)/(Supuestos!$F$33-1))-IF(A42&gt;=Supuestos!$B$46,Supuestos!$B$47,0)</f>
        <v>1801800</v>
      </c>
      <c r="E42" s="15" t="n">
        <f aca="false">Supuestos!$C$23*B42/Supuestos!$F$33</f>
        <v>1516666.66666667</v>
      </c>
      <c r="F42" s="15" t="n">
        <f aca="false">Supuestos!$C$24</f>
        <v>100000</v>
      </c>
      <c r="G42" s="15" t="n">
        <f aca="false">C42-D42-E42-F42</f>
        <v>5827533.33333333</v>
      </c>
      <c r="H42" s="15" t="n">
        <f aca="false">MAX(0,G42)*Supuestos!$B$28</f>
        <v>1165506.66666667</v>
      </c>
      <c r="I42" s="17" t="n">
        <f aca="false">G42-H42</f>
        <v>4662026.66666667</v>
      </c>
      <c r="J42" s="15" t="n">
        <f aca="false">IFERROR(INDEX(Préstamo!$G$18:$G$57,MATCH(A42,Préstamo!$C$18:$C$57,0)),0)</f>
        <v>1323132.23757242</v>
      </c>
      <c r="K42" s="15" t="n">
        <f aca="false">SUMPRODUCT((Supuestos!$G$6:$G$12&lt;=A42)*(Supuestos!$H$6:$H$12&gt;=A42)*Supuestos!$I$6:$I$12)/Supuestos!$B$43+IF(AND(A42&gt;=Supuestos!$B$46,A42&lt;=EDATE(Supuestos!$B$46,Supuestos!$B$43-1)),Supuestos!$B$45/Supuestos!$B$43,0)</f>
        <v>0</v>
      </c>
      <c r="L42" s="17" t="n">
        <f aca="false">I42-J42-K42</f>
        <v>3338894.42909425</v>
      </c>
      <c r="M42" s="15" t="n">
        <f aca="false">M41+L42</f>
        <v>55536560.0182987</v>
      </c>
      <c r="N42" s="17" t="n">
        <f aca="false">I42-J42</f>
        <v>3338894.42909425</v>
      </c>
      <c r="O42" s="15" t="n">
        <f aca="false">O41+N42</f>
        <v>104600185.018299</v>
      </c>
      <c r="P42" s="15" t="n">
        <f aca="false">K42-IF(A42=Supuestos!$F$35,Supuestos!$F$28,0)</f>
        <v>0</v>
      </c>
      <c r="Q42" s="15" t="n">
        <f aca="false">Q41+P42</f>
        <v>49063625</v>
      </c>
      <c r="R42" s="15" t="n">
        <f aca="false">R41+(G42-MAX(0,G42)*Supuestos!$B$29)</f>
        <v>169773540</v>
      </c>
      <c r="S42" s="15" t="n">
        <f aca="false">S41+(G42-MAX(0,G42)*Supuestos!$B$30)</f>
        <v>150909813.333333</v>
      </c>
      <c r="T42" s="15" t="n">
        <f aca="false">T41+(G42-MAX(0,G42)*Supuestos!$B$31)</f>
        <v>132046086.666667</v>
      </c>
    </row>
    <row r="43" customFormat="false" ht="15" hidden="false" customHeight="false" outlineLevel="0" collapsed="false">
      <c r="A43" s="21" t="n">
        <f aca="false">EDATE(A42,1)</f>
        <v>47423</v>
      </c>
      <c r="B43" s="19" t="n">
        <f aca="false">SUMPRODUCT(--(Supuestos!$D$6:$D$12&lt;=A43))</f>
        <v>7</v>
      </c>
      <c r="C43" s="15" t="n">
        <f aca="false">SUMPRODUCT((Supuestos!$D$6:$D$12&lt;=A43)*Supuestos!$C$6:$C$12)+IF(A43&gt;=Supuestos!$F$31,B43*Supuestos!$F$30*Supuestos!$F$29*Supuestos!$F$32,0)</f>
        <v>9246000</v>
      </c>
      <c r="D43" s="15" t="n">
        <f aca="false">IF(B43=0,0,Supuestos!$B$22+(Supuestos!$C$22-Supuestos!$B$22)*(B43-1)/(Supuestos!$F$33-1))-IF(A43&gt;=Supuestos!$B$46,Supuestos!$B$47,0)</f>
        <v>1801800</v>
      </c>
      <c r="E43" s="15" t="n">
        <f aca="false">Supuestos!$C$23*B43/Supuestos!$F$33</f>
        <v>1516666.66666667</v>
      </c>
      <c r="F43" s="15" t="n">
        <f aca="false">Supuestos!$C$24</f>
        <v>100000</v>
      </c>
      <c r="G43" s="15" t="n">
        <f aca="false">C43-D43-E43-F43</f>
        <v>5827533.33333333</v>
      </c>
      <c r="H43" s="15" t="n">
        <f aca="false">MAX(0,G43)*Supuestos!$B$28</f>
        <v>1165506.66666667</v>
      </c>
      <c r="I43" s="17" t="n">
        <f aca="false">G43-H43</f>
        <v>4662026.66666667</v>
      </c>
      <c r="J43" s="15" t="n">
        <f aca="false">IFERROR(INDEX(Préstamo!$G$18:$G$57,MATCH(A43,Préstamo!$C$18:$C$57,0)),0)</f>
        <v>1323132.23757242</v>
      </c>
      <c r="K43" s="15" t="n">
        <f aca="false">SUMPRODUCT((Supuestos!$G$6:$G$12&lt;=A43)*(Supuestos!$H$6:$H$12&gt;=A43)*Supuestos!$I$6:$I$12)/Supuestos!$B$43+IF(AND(A43&gt;=Supuestos!$B$46,A43&lt;=EDATE(Supuestos!$B$46,Supuestos!$B$43-1)),Supuestos!$B$45/Supuestos!$B$43,0)</f>
        <v>0</v>
      </c>
      <c r="L43" s="17" t="n">
        <f aca="false">I43-J43-K43</f>
        <v>3338894.42909425</v>
      </c>
      <c r="M43" s="15" t="n">
        <f aca="false">M42+L43</f>
        <v>58875454.447393</v>
      </c>
      <c r="N43" s="17" t="n">
        <f aca="false">I43-J43</f>
        <v>3338894.42909425</v>
      </c>
      <c r="O43" s="15" t="n">
        <f aca="false">O42+N43</f>
        <v>107939079.447393</v>
      </c>
      <c r="P43" s="15" t="n">
        <f aca="false">K43-IF(A43=Supuestos!$F$35,Supuestos!$F$28,0)</f>
        <v>0</v>
      </c>
      <c r="Q43" s="15" t="n">
        <f aca="false">Q42+P43</f>
        <v>49063625</v>
      </c>
      <c r="R43" s="15" t="n">
        <f aca="false">R42+(G43-MAX(0,G43)*Supuestos!$B$29)</f>
        <v>175018320</v>
      </c>
      <c r="S43" s="15" t="n">
        <f aca="false">S42+(G43-MAX(0,G43)*Supuestos!$B$30)</f>
        <v>155571840</v>
      </c>
      <c r="T43" s="15" t="n">
        <f aca="false">T42+(G43-MAX(0,G43)*Supuestos!$B$31)</f>
        <v>136125360</v>
      </c>
    </row>
    <row r="44" customFormat="false" ht="15" hidden="false" customHeight="false" outlineLevel="0" collapsed="false">
      <c r="A44" s="21" t="n">
        <f aca="false">EDATE(A43,1)</f>
        <v>47453</v>
      </c>
      <c r="B44" s="19" t="n">
        <f aca="false">SUMPRODUCT(--(Supuestos!$D$6:$D$12&lt;=A44))</f>
        <v>7</v>
      </c>
      <c r="C44" s="15" t="n">
        <f aca="false">SUMPRODUCT((Supuestos!$D$6:$D$12&lt;=A44)*Supuestos!$C$6:$C$12)+IF(A44&gt;=Supuestos!$F$31,B44*Supuestos!$F$30*Supuestos!$F$29*Supuestos!$F$32,0)</f>
        <v>9246000</v>
      </c>
      <c r="D44" s="15" t="n">
        <f aca="false">IF(B44=0,0,Supuestos!$B$22+(Supuestos!$C$22-Supuestos!$B$22)*(B44-1)/(Supuestos!$F$33-1))-IF(A44&gt;=Supuestos!$B$46,Supuestos!$B$47,0)</f>
        <v>1801800</v>
      </c>
      <c r="E44" s="15" t="n">
        <f aca="false">Supuestos!$C$23*B44/Supuestos!$F$33</f>
        <v>1516666.66666667</v>
      </c>
      <c r="F44" s="15" t="n">
        <f aca="false">Supuestos!$C$24</f>
        <v>100000</v>
      </c>
      <c r="G44" s="15" t="n">
        <f aca="false">C44-D44-E44-F44</f>
        <v>5827533.33333333</v>
      </c>
      <c r="H44" s="15" t="n">
        <f aca="false">MAX(0,G44)*Supuestos!$B$28</f>
        <v>1165506.66666667</v>
      </c>
      <c r="I44" s="17" t="n">
        <f aca="false">G44-H44</f>
        <v>4662026.66666667</v>
      </c>
      <c r="J44" s="15" t="n">
        <f aca="false">IFERROR(INDEX(Préstamo!$G$18:$G$57,MATCH(A44,Préstamo!$C$18:$C$57,0)),0)</f>
        <v>0</v>
      </c>
      <c r="K44" s="15" t="n">
        <f aca="false">SUMPRODUCT((Supuestos!$G$6:$G$12&lt;=A44)*(Supuestos!$H$6:$H$12&gt;=A44)*Supuestos!$I$6:$I$12)/Supuestos!$B$43+IF(AND(A44&gt;=Supuestos!$B$46,A44&lt;=EDATE(Supuestos!$B$46,Supuestos!$B$43-1)),Supuestos!$B$45/Supuestos!$B$43,0)</f>
        <v>0</v>
      </c>
      <c r="L44" s="17" t="n">
        <f aca="false">I44-J44-K44</f>
        <v>4662026.66666667</v>
      </c>
      <c r="M44" s="15" t="n">
        <f aca="false">M43+L44</f>
        <v>63537481.1140596</v>
      </c>
      <c r="N44" s="17" t="n">
        <f aca="false">I44-J44</f>
        <v>4662026.66666667</v>
      </c>
      <c r="O44" s="15" t="n">
        <f aca="false">O43+N44</f>
        <v>112601106.11406</v>
      </c>
      <c r="P44" s="15" t="n">
        <f aca="false">K44-IF(A44=Supuestos!$F$35,Supuestos!$F$28,0)</f>
        <v>0</v>
      </c>
      <c r="Q44" s="15" t="n">
        <f aca="false">Q43+P44</f>
        <v>49063625</v>
      </c>
      <c r="R44" s="15" t="n">
        <f aca="false">R43+(G44-MAX(0,G44)*Supuestos!$B$29)</f>
        <v>180263100</v>
      </c>
      <c r="S44" s="15" t="n">
        <f aca="false">S43+(G44-MAX(0,G44)*Supuestos!$B$30)</f>
        <v>160233866.666667</v>
      </c>
      <c r="T44" s="15" t="n">
        <f aca="false">T43+(G44-MAX(0,G44)*Supuestos!$B$31)</f>
        <v>140204633.333333</v>
      </c>
    </row>
    <row r="45" customFormat="false" ht="15" hidden="false" customHeight="false" outlineLevel="0" collapsed="false">
      <c r="A45" s="21" t="n">
        <f aca="false">EDATE(A44,1)</f>
        <v>47484</v>
      </c>
      <c r="B45" s="19" t="n">
        <f aca="false">SUMPRODUCT(--(Supuestos!$D$6:$D$12&lt;=A45))</f>
        <v>7</v>
      </c>
      <c r="C45" s="15" t="n">
        <f aca="false">SUMPRODUCT((Supuestos!$D$6:$D$12&lt;=A45)*Supuestos!$C$6:$C$12)+IF(A45&gt;=Supuestos!$F$31,B45*Supuestos!$F$30*Supuestos!$F$29*Supuestos!$F$32,0)</f>
        <v>9246000</v>
      </c>
      <c r="D45" s="15" t="n">
        <f aca="false">IF(B45=0,0,Supuestos!$B$22+(Supuestos!$C$22-Supuestos!$B$22)*(B45-1)/(Supuestos!$F$33-1))-IF(A45&gt;=Supuestos!$B$46,Supuestos!$B$47,0)</f>
        <v>1801800</v>
      </c>
      <c r="E45" s="15" t="n">
        <f aca="false">Supuestos!$C$23*B45/Supuestos!$F$33</f>
        <v>1516666.66666667</v>
      </c>
      <c r="F45" s="15" t="n">
        <f aca="false">Supuestos!$C$24</f>
        <v>100000</v>
      </c>
      <c r="G45" s="15" t="n">
        <f aca="false">C45-D45-E45-F45</f>
        <v>5827533.33333333</v>
      </c>
      <c r="H45" s="15" t="n">
        <f aca="false">MAX(0,G45)*Supuestos!$B$28</f>
        <v>1165506.66666667</v>
      </c>
      <c r="I45" s="17" t="n">
        <f aca="false">G45-H45</f>
        <v>4662026.66666667</v>
      </c>
      <c r="J45" s="15" t="n">
        <f aca="false">IFERROR(INDEX(Préstamo!$G$18:$G$57,MATCH(A45,Préstamo!$C$18:$C$57,0)),0)</f>
        <v>0</v>
      </c>
      <c r="K45" s="15" t="n">
        <f aca="false">SUMPRODUCT((Supuestos!$G$6:$G$12&lt;=A45)*(Supuestos!$H$6:$H$12&gt;=A45)*Supuestos!$I$6:$I$12)/Supuestos!$B$43+IF(AND(A45&gt;=Supuestos!$B$46,A45&lt;=EDATE(Supuestos!$B$46,Supuestos!$B$43-1)),Supuestos!$B$45/Supuestos!$B$43,0)</f>
        <v>0</v>
      </c>
      <c r="L45" s="17" t="n">
        <f aca="false">I45-J45-K45</f>
        <v>4662026.66666667</v>
      </c>
      <c r="M45" s="15" t="n">
        <f aca="false">M44+L45</f>
        <v>68199507.7807263</v>
      </c>
      <c r="N45" s="17" t="n">
        <f aca="false">I45-J45</f>
        <v>4662026.66666667</v>
      </c>
      <c r="O45" s="15" t="n">
        <f aca="false">O44+N45</f>
        <v>117263132.780726</v>
      </c>
      <c r="P45" s="15" t="n">
        <f aca="false">K45-IF(A45=Supuestos!$F$35,Supuestos!$F$28,0)</f>
        <v>0</v>
      </c>
      <c r="Q45" s="15" t="n">
        <f aca="false">Q44+P45</f>
        <v>49063625</v>
      </c>
      <c r="R45" s="15" t="n">
        <f aca="false">R44+(G45-MAX(0,G45)*Supuestos!$B$29)</f>
        <v>185507880</v>
      </c>
      <c r="S45" s="15" t="n">
        <f aca="false">S44+(G45-MAX(0,G45)*Supuestos!$B$30)</f>
        <v>164895893.333333</v>
      </c>
      <c r="T45" s="15" t="n">
        <f aca="false">T44+(G45-MAX(0,G45)*Supuestos!$B$31)</f>
        <v>144283906.666667</v>
      </c>
    </row>
    <row r="46" customFormat="false" ht="15" hidden="false" customHeight="false" outlineLevel="0" collapsed="false">
      <c r="A46" s="21" t="n">
        <f aca="false">EDATE(A45,1)</f>
        <v>47515</v>
      </c>
      <c r="B46" s="19" t="n">
        <f aca="false">SUMPRODUCT(--(Supuestos!$D$6:$D$12&lt;=A46))</f>
        <v>7</v>
      </c>
      <c r="C46" s="15" t="n">
        <f aca="false">SUMPRODUCT((Supuestos!$D$6:$D$12&lt;=A46)*Supuestos!$C$6:$C$12)+IF(A46&gt;=Supuestos!$F$31,B46*Supuestos!$F$30*Supuestos!$F$29*Supuestos!$F$32,0)</f>
        <v>9246000</v>
      </c>
      <c r="D46" s="15" t="n">
        <f aca="false">IF(B46=0,0,Supuestos!$B$22+(Supuestos!$C$22-Supuestos!$B$22)*(B46-1)/(Supuestos!$F$33-1))-IF(A46&gt;=Supuestos!$B$46,Supuestos!$B$47,0)</f>
        <v>1801800</v>
      </c>
      <c r="E46" s="15" t="n">
        <f aca="false">Supuestos!$C$23*B46/Supuestos!$F$33</f>
        <v>1516666.66666667</v>
      </c>
      <c r="F46" s="15" t="n">
        <f aca="false">Supuestos!$C$24</f>
        <v>100000</v>
      </c>
      <c r="G46" s="15" t="n">
        <f aca="false">C46-D46-E46-F46</f>
        <v>5827533.33333333</v>
      </c>
      <c r="H46" s="15" t="n">
        <f aca="false">MAX(0,G46)*Supuestos!$B$28</f>
        <v>1165506.66666667</v>
      </c>
      <c r="I46" s="17" t="n">
        <f aca="false">G46-H46</f>
        <v>4662026.66666667</v>
      </c>
      <c r="J46" s="15" t="n">
        <f aca="false">IFERROR(INDEX(Préstamo!$G$18:$G$57,MATCH(A46,Préstamo!$C$18:$C$57,0)),0)</f>
        <v>0</v>
      </c>
      <c r="K46" s="15" t="n">
        <f aca="false">SUMPRODUCT((Supuestos!$G$6:$G$12&lt;=A46)*(Supuestos!$H$6:$H$12&gt;=A46)*Supuestos!$I$6:$I$12)/Supuestos!$B$43+IF(AND(A46&gt;=Supuestos!$B$46,A46&lt;=EDATE(Supuestos!$B$46,Supuestos!$B$43-1)),Supuestos!$B$45/Supuestos!$B$43,0)</f>
        <v>0</v>
      </c>
      <c r="L46" s="17" t="n">
        <f aca="false">I46-J46-K46</f>
        <v>4662026.66666667</v>
      </c>
      <c r="M46" s="15" t="n">
        <f aca="false">M45+L46</f>
        <v>72861534.447393</v>
      </c>
      <c r="N46" s="17" t="n">
        <f aca="false">I46-J46</f>
        <v>4662026.66666667</v>
      </c>
      <c r="O46" s="15" t="n">
        <f aca="false">O45+N46</f>
        <v>121925159.447393</v>
      </c>
      <c r="P46" s="15" t="n">
        <f aca="false">K46-IF(A46=Supuestos!$F$35,Supuestos!$F$28,0)</f>
        <v>0</v>
      </c>
      <c r="Q46" s="15" t="n">
        <f aca="false">Q45+P46</f>
        <v>49063625</v>
      </c>
      <c r="R46" s="15" t="n">
        <f aca="false">R45+(G46-MAX(0,G46)*Supuestos!$B$29)</f>
        <v>190752660</v>
      </c>
      <c r="S46" s="15" t="n">
        <f aca="false">S45+(G46-MAX(0,G46)*Supuestos!$B$30)</f>
        <v>169557920</v>
      </c>
      <c r="T46" s="15" t="n">
        <f aca="false">T45+(G46-MAX(0,G46)*Supuestos!$B$31)</f>
        <v>148363180</v>
      </c>
    </row>
    <row r="47" customFormat="false" ht="15" hidden="false" customHeight="false" outlineLevel="0" collapsed="false">
      <c r="A47" s="21" t="n">
        <f aca="false">EDATE(A46,1)</f>
        <v>47543</v>
      </c>
      <c r="B47" s="19" t="n">
        <f aca="false">SUMPRODUCT(--(Supuestos!$D$6:$D$12&lt;=A47))</f>
        <v>7</v>
      </c>
      <c r="C47" s="15" t="n">
        <f aca="false">SUMPRODUCT((Supuestos!$D$6:$D$12&lt;=A47)*Supuestos!$C$6:$C$12)+IF(A47&gt;=Supuestos!$F$31,B47*Supuestos!$F$30*Supuestos!$F$29*Supuestos!$F$32,0)</f>
        <v>9246000</v>
      </c>
      <c r="D47" s="15" t="n">
        <f aca="false">IF(B47=0,0,Supuestos!$B$22+(Supuestos!$C$22-Supuestos!$B$22)*(B47-1)/(Supuestos!$F$33-1))-IF(A47&gt;=Supuestos!$B$46,Supuestos!$B$47,0)</f>
        <v>1801800</v>
      </c>
      <c r="E47" s="15" t="n">
        <f aca="false">Supuestos!$C$23*B47/Supuestos!$F$33</f>
        <v>1516666.66666667</v>
      </c>
      <c r="F47" s="15" t="n">
        <f aca="false">Supuestos!$C$24</f>
        <v>100000</v>
      </c>
      <c r="G47" s="15" t="n">
        <f aca="false">C47-D47-E47-F47</f>
        <v>5827533.33333333</v>
      </c>
      <c r="H47" s="15" t="n">
        <f aca="false">MAX(0,G47)*Supuestos!$B$28</f>
        <v>1165506.66666667</v>
      </c>
      <c r="I47" s="17" t="n">
        <f aca="false">G47-H47</f>
        <v>4662026.66666667</v>
      </c>
      <c r="J47" s="15" t="n">
        <f aca="false">IFERROR(INDEX(Préstamo!$G$18:$G$57,MATCH(A47,Préstamo!$C$18:$C$57,0)),0)</f>
        <v>0</v>
      </c>
      <c r="K47" s="15" t="n">
        <f aca="false">SUMPRODUCT((Supuestos!$G$6:$G$12&lt;=A47)*(Supuestos!$H$6:$H$12&gt;=A47)*Supuestos!$I$6:$I$12)/Supuestos!$B$43+IF(AND(A47&gt;=Supuestos!$B$46,A47&lt;=EDATE(Supuestos!$B$46,Supuestos!$B$43-1)),Supuestos!$B$45/Supuestos!$B$43,0)</f>
        <v>0</v>
      </c>
      <c r="L47" s="17" t="n">
        <f aca="false">I47-J47-K47</f>
        <v>4662026.66666667</v>
      </c>
      <c r="M47" s="15" t="n">
        <f aca="false">M46+L47</f>
        <v>77523561.1140596</v>
      </c>
      <c r="N47" s="17" t="n">
        <f aca="false">I47-J47</f>
        <v>4662026.66666667</v>
      </c>
      <c r="O47" s="15" t="n">
        <f aca="false">O46+N47</f>
        <v>126587186.11406</v>
      </c>
      <c r="P47" s="15" t="n">
        <f aca="false">K47-IF(A47=Supuestos!$F$35,Supuestos!$F$28,0)</f>
        <v>0</v>
      </c>
      <c r="Q47" s="15" t="n">
        <f aca="false">Q46+P47</f>
        <v>49063625</v>
      </c>
      <c r="R47" s="15" t="n">
        <f aca="false">R46+(G47-MAX(0,G47)*Supuestos!$B$29)</f>
        <v>195997440</v>
      </c>
      <c r="S47" s="15" t="n">
        <f aca="false">S46+(G47-MAX(0,G47)*Supuestos!$B$30)</f>
        <v>174219946.666667</v>
      </c>
      <c r="T47" s="15" t="n">
        <f aca="false">T46+(G47-MAX(0,G47)*Supuestos!$B$31)</f>
        <v>152442453.333333</v>
      </c>
    </row>
    <row r="48" customFormat="false" ht="15" hidden="false" customHeight="false" outlineLevel="0" collapsed="false">
      <c r="A48" s="21" t="n">
        <f aca="false">EDATE(A47,1)</f>
        <v>47574</v>
      </c>
      <c r="B48" s="19" t="n">
        <f aca="false">SUMPRODUCT(--(Supuestos!$D$6:$D$12&lt;=A48))</f>
        <v>7</v>
      </c>
      <c r="C48" s="15" t="n">
        <f aca="false">SUMPRODUCT((Supuestos!$D$6:$D$12&lt;=A48)*Supuestos!$C$6:$C$12)+IF(A48&gt;=Supuestos!$F$31,B48*Supuestos!$F$30*Supuestos!$F$29*Supuestos!$F$32,0)</f>
        <v>9246000</v>
      </c>
      <c r="D48" s="15" t="n">
        <f aca="false">IF(B48=0,0,Supuestos!$B$22+(Supuestos!$C$22-Supuestos!$B$22)*(B48-1)/(Supuestos!$F$33-1))-IF(A48&gt;=Supuestos!$B$46,Supuestos!$B$47,0)</f>
        <v>1801800</v>
      </c>
      <c r="E48" s="15" t="n">
        <f aca="false">Supuestos!$C$23*B48/Supuestos!$F$33</f>
        <v>1516666.66666667</v>
      </c>
      <c r="F48" s="15" t="n">
        <f aca="false">Supuestos!$C$24</f>
        <v>100000</v>
      </c>
      <c r="G48" s="15" t="n">
        <f aca="false">C48-D48-E48-F48</f>
        <v>5827533.33333333</v>
      </c>
      <c r="H48" s="15" t="n">
        <f aca="false">MAX(0,G48)*Supuestos!$B$28</f>
        <v>1165506.66666667</v>
      </c>
      <c r="I48" s="17" t="n">
        <f aca="false">G48-H48</f>
        <v>4662026.66666667</v>
      </c>
      <c r="J48" s="15" t="n">
        <f aca="false">IFERROR(INDEX(Préstamo!$G$18:$G$57,MATCH(A48,Préstamo!$C$18:$C$57,0)),0)</f>
        <v>0</v>
      </c>
      <c r="K48" s="15" t="n">
        <f aca="false">SUMPRODUCT((Supuestos!$G$6:$G$12&lt;=A48)*(Supuestos!$H$6:$H$12&gt;=A48)*Supuestos!$I$6:$I$12)/Supuestos!$B$43+IF(AND(A48&gt;=Supuestos!$B$46,A48&lt;=EDATE(Supuestos!$B$46,Supuestos!$B$43-1)),Supuestos!$B$45/Supuestos!$B$43,0)</f>
        <v>0</v>
      </c>
      <c r="L48" s="17" t="n">
        <f aca="false">I48-J48-K48</f>
        <v>4662026.66666667</v>
      </c>
      <c r="M48" s="15" t="n">
        <f aca="false">M47+L48</f>
        <v>82185587.7807263</v>
      </c>
      <c r="N48" s="17" t="n">
        <f aca="false">I48-J48</f>
        <v>4662026.66666667</v>
      </c>
      <c r="O48" s="15" t="n">
        <f aca="false">O47+N48</f>
        <v>131249212.780726</v>
      </c>
      <c r="P48" s="15" t="n">
        <f aca="false">K48-IF(A48=Supuestos!$F$35,Supuestos!$F$28,0)</f>
        <v>0</v>
      </c>
      <c r="Q48" s="15" t="n">
        <f aca="false">Q47+P48</f>
        <v>49063625</v>
      </c>
      <c r="R48" s="15" t="n">
        <f aca="false">R47+(G48-MAX(0,G48)*Supuestos!$B$29)</f>
        <v>201242220</v>
      </c>
      <c r="S48" s="15" t="n">
        <f aca="false">S47+(G48-MAX(0,G48)*Supuestos!$B$30)</f>
        <v>178881973.333333</v>
      </c>
      <c r="T48" s="15" t="n">
        <f aca="false">T47+(G48-MAX(0,G48)*Supuestos!$B$31)</f>
        <v>156521726.666667</v>
      </c>
    </row>
    <row r="49" customFormat="false" ht="15" hidden="false" customHeight="false" outlineLevel="0" collapsed="false">
      <c r="A49" s="21" t="n">
        <f aca="false">EDATE(A48,1)</f>
        <v>47604</v>
      </c>
      <c r="B49" s="19" t="n">
        <f aca="false">SUMPRODUCT(--(Supuestos!$D$6:$D$12&lt;=A49))</f>
        <v>7</v>
      </c>
      <c r="C49" s="15" t="n">
        <f aca="false">SUMPRODUCT((Supuestos!$D$6:$D$12&lt;=A49)*Supuestos!$C$6:$C$12)+IF(A49&gt;=Supuestos!$F$31,B49*Supuestos!$F$30*Supuestos!$F$29*Supuestos!$F$32,0)</f>
        <v>9246000</v>
      </c>
      <c r="D49" s="15" t="n">
        <f aca="false">IF(B49=0,0,Supuestos!$B$22+(Supuestos!$C$22-Supuestos!$B$22)*(B49-1)/(Supuestos!$F$33-1))-IF(A49&gt;=Supuestos!$B$46,Supuestos!$B$47,0)</f>
        <v>1801800</v>
      </c>
      <c r="E49" s="15" t="n">
        <f aca="false">Supuestos!$C$23*B49/Supuestos!$F$33</f>
        <v>1516666.66666667</v>
      </c>
      <c r="F49" s="15" t="n">
        <f aca="false">Supuestos!$C$24</f>
        <v>100000</v>
      </c>
      <c r="G49" s="15" t="n">
        <f aca="false">C49-D49-E49-F49</f>
        <v>5827533.33333333</v>
      </c>
      <c r="H49" s="15" t="n">
        <f aca="false">MAX(0,G49)*Supuestos!$B$28</f>
        <v>1165506.66666667</v>
      </c>
      <c r="I49" s="17" t="n">
        <f aca="false">G49-H49</f>
        <v>4662026.66666667</v>
      </c>
      <c r="J49" s="15" t="n">
        <f aca="false">IFERROR(INDEX(Préstamo!$G$18:$G$57,MATCH(A49,Préstamo!$C$18:$C$57,0)),0)</f>
        <v>0</v>
      </c>
      <c r="K49" s="15" t="n">
        <f aca="false">SUMPRODUCT((Supuestos!$G$6:$G$12&lt;=A49)*(Supuestos!$H$6:$H$12&gt;=A49)*Supuestos!$I$6:$I$12)/Supuestos!$B$43+IF(AND(A49&gt;=Supuestos!$B$46,A49&lt;=EDATE(Supuestos!$B$46,Supuestos!$B$43-1)),Supuestos!$B$45/Supuestos!$B$43,0)</f>
        <v>0</v>
      </c>
      <c r="L49" s="17" t="n">
        <f aca="false">I49-J49-K49</f>
        <v>4662026.66666667</v>
      </c>
      <c r="M49" s="15" t="n">
        <f aca="false">M48+L49</f>
        <v>86847614.447393</v>
      </c>
      <c r="N49" s="17" t="n">
        <f aca="false">I49-J49</f>
        <v>4662026.66666667</v>
      </c>
      <c r="O49" s="15" t="n">
        <f aca="false">O48+N49</f>
        <v>135911239.447393</v>
      </c>
      <c r="P49" s="15" t="n">
        <f aca="false">K49-IF(A49=Supuestos!$F$35,Supuestos!$F$28,0)</f>
        <v>0</v>
      </c>
      <c r="Q49" s="15" t="n">
        <f aca="false">Q48+P49</f>
        <v>49063625</v>
      </c>
      <c r="R49" s="15" t="n">
        <f aca="false">R48+(G49-MAX(0,G49)*Supuestos!$B$29)</f>
        <v>206487000</v>
      </c>
      <c r="S49" s="15" t="n">
        <f aca="false">S48+(G49-MAX(0,G49)*Supuestos!$B$30)</f>
        <v>183544000</v>
      </c>
      <c r="T49" s="15" t="n">
        <f aca="false">T48+(G49-MAX(0,G49)*Supuestos!$B$31)</f>
        <v>160601000</v>
      </c>
    </row>
    <row r="50" customFormat="false" ht="15" hidden="false" customHeight="false" outlineLevel="0" collapsed="false">
      <c r="A50" s="21" t="n">
        <f aca="false">EDATE(A49,1)</f>
        <v>47635</v>
      </c>
      <c r="B50" s="19" t="n">
        <f aca="false">SUMPRODUCT(--(Supuestos!$D$6:$D$12&lt;=A50))</f>
        <v>7</v>
      </c>
      <c r="C50" s="15" t="n">
        <f aca="false">SUMPRODUCT((Supuestos!$D$6:$D$12&lt;=A50)*Supuestos!$C$6:$C$12)+IF(A50&gt;=Supuestos!$F$31,B50*Supuestos!$F$30*Supuestos!$F$29*Supuestos!$F$32,0)</f>
        <v>9246000</v>
      </c>
      <c r="D50" s="15" t="n">
        <f aca="false">IF(B50=0,0,Supuestos!$B$22+(Supuestos!$C$22-Supuestos!$B$22)*(B50-1)/(Supuestos!$F$33-1))-IF(A50&gt;=Supuestos!$B$46,Supuestos!$B$47,0)</f>
        <v>1801800</v>
      </c>
      <c r="E50" s="15" t="n">
        <f aca="false">Supuestos!$C$23*B50/Supuestos!$F$33</f>
        <v>1516666.66666667</v>
      </c>
      <c r="F50" s="15" t="n">
        <f aca="false">Supuestos!$C$24</f>
        <v>100000</v>
      </c>
      <c r="G50" s="15" t="n">
        <f aca="false">C50-D50-E50-F50</f>
        <v>5827533.33333333</v>
      </c>
      <c r="H50" s="15" t="n">
        <f aca="false">MAX(0,G50)*Supuestos!$B$28</f>
        <v>1165506.66666667</v>
      </c>
      <c r="I50" s="17" t="n">
        <f aca="false">G50-H50</f>
        <v>4662026.66666667</v>
      </c>
      <c r="J50" s="15" t="n">
        <f aca="false">IFERROR(INDEX(Préstamo!$G$18:$G$57,MATCH(A50,Préstamo!$C$18:$C$57,0)),0)</f>
        <v>0</v>
      </c>
      <c r="K50" s="15" t="n">
        <f aca="false">SUMPRODUCT((Supuestos!$G$6:$G$12&lt;=A50)*(Supuestos!$H$6:$H$12&gt;=A50)*Supuestos!$I$6:$I$12)/Supuestos!$B$43+IF(AND(A50&gt;=Supuestos!$B$46,A50&lt;=EDATE(Supuestos!$B$46,Supuestos!$B$43-1)),Supuestos!$B$45/Supuestos!$B$43,0)</f>
        <v>0</v>
      </c>
      <c r="L50" s="17" t="n">
        <f aca="false">I50-J50-K50</f>
        <v>4662026.66666667</v>
      </c>
      <c r="M50" s="15" t="n">
        <f aca="false">M49+L50</f>
        <v>91509641.1140597</v>
      </c>
      <c r="N50" s="17" t="n">
        <f aca="false">I50-J50</f>
        <v>4662026.66666667</v>
      </c>
      <c r="O50" s="15" t="n">
        <f aca="false">O49+N50</f>
        <v>140573266.11406</v>
      </c>
      <c r="P50" s="15" t="n">
        <f aca="false">K50-IF(A50=Supuestos!$F$35,Supuestos!$F$28,0)</f>
        <v>0</v>
      </c>
      <c r="Q50" s="15" t="n">
        <f aca="false">Q49+P50</f>
        <v>49063625</v>
      </c>
      <c r="R50" s="15" t="n">
        <f aca="false">R49+(G50-MAX(0,G50)*Supuestos!$B$29)</f>
        <v>211731780</v>
      </c>
      <c r="S50" s="15" t="n">
        <f aca="false">S49+(G50-MAX(0,G50)*Supuestos!$B$30)</f>
        <v>188206026.666667</v>
      </c>
      <c r="T50" s="15" t="n">
        <f aca="false">T49+(G50-MAX(0,G50)*Supuestos!$B$31)</f>
        <v>164680273.333333</v>
      </c>
    </row>
    <row r="51" customFormat="false" ht="15" hidden="false" customHeight="false" outlineLevel="0" collapsed="false">
      <c r="A51" s="21" t="n">
        <f aca="false">EDATE(A50,1)</f>
        <v>47665</v>
      </c>
      <c r="B51" s="19" t="n">
        <f aca="false">SUMPRODUCT(--(Supuestos!$D$6:$D$12&lt;=A51))</f>
        <v>7</v>
      </c>
      <c r="C51" s="15" t="n">
        <f aca="false">SUMPRODUCT((Supuestos!$D$6:$D$12&lt;=A51)*Supuestos!$C$6:$C$12)+IF(A51&gt;=Supuestos!$F$31,B51*Supuestos!$F$30*Supuestos!$F$29*Supuestos!$F$32,0)</f>
        <v>9246000</v>
      </c>
      <c r="D51" s="15" t="n">
        <f aca="false">IF(B51=0,0,Supuestos!$B$22+(Supuestos!$C$22-Supuestos!$B$22)*(B51-1)/(Supuestos!$F$33-1))-IF(A51&gt;=Supuestos!$B$46,Supuestos!$B$47,0)</f>
        <v>1801800</v>
      </c>
      <c r="E51" s="15" t="n">
        <f aca="false">Supuestos!$C$23*B51/Supuestos!$F$33</f>
        <v>1516666.66666667</v>
      </c>
      <c r="F51" s="15" t="n">
        <f aca="false">Supuestos!$C$24</f>
        <v>100000</v>
      </c>
      <c r="G51" s="15" t="n">
        <f aca="false">C51-D51-E51-F51</f>
        <v>5827533.33333333</v>
      </c>
      <c r="H51" s="15" t="n">
        <f aca="false">MAX(0,G51)*Supuestos!$B$28</f>
        <v>1165506.66666667</v>
      </c>
      <c r="I51" s="17" t="n">
        <f aca="false">G51-H51</f>
        <v>4662026.66666667</v>
      </c>
      <c r="J51" s="15" t="n">
        <f aca="false">IFERROR(INDEX(Préstamo!$G$18:$G$57,MATCH(A51,Préstamo!$C$18:$C$57,0)),0)</f>
        <v>0</v>
      </c>
      <c r="K51" s="15" t="n">
        <f aca="false">SUMPRODUCT((Supuestos!$G$6:$G$12&lt;=A51)*(Supuestos!$H$6:$H$12&gt;=A51)*Supuestos!$I$6:$I$12)/Supuestos!$B$43+IF(AND(A51&gt;=Supuestos!$B$46,A51&lt;=EDATE(Supuestos!$B$46,Supuestos!$B$43-1)),Supuestos!$B$45/Supuestos!$B$43,0)</f>
        <v>0</v>
      </c>
      <c r="L51" s="17" t="n">
        <f aca="false">I51-J51-K51</f>
        <v>4662026.66666667</v>
      </c>
      <c r="M51" s="15" t="n">
        <f aca="false">M50+L51</f>
        <v>96171667.7807263</v>
      </c>
      <c r="N51" s="17" t="n">
        <f aca="false">I51-J51</f>
        <v>4662026.66666667</v>
      </c>
      <c r="O51" s="15" t="n">
        <f aca="false">O50+N51</f>
        <v>145235292.780726</v>
      </c>
      <c r="P51" s="15" t="n">
        <f aca="false">K51-IF(A51=Supuestos!$F$35,Supuestos!$F$28,0)</f>
        <v>0</v>
      </c>
      <c r="Q51" s="15" t="n">
        <f aca="false">Q50+P51</f>
        <v>49063625</v>
      </c>
      <c r="R51" s="15" t="n">
        <f aca="false">R50+(G51-MAX(0,G51)*Supuestos!$B$29)</f>
        <v>216976560</v>
      </c>
      <c r="S51" s="15" t="n">
        <f aca="false">S50+(G51-MAX(0,G51)*Supuestos!$B$30)</f>
        <v>192868053.333333</v>
      </c>
      <c r="T51" s="15" t="n">
        <f aca="false">T50+(G51-MAX(0,G51)*Supuestos!$B$31)</f>
        <v>168759546.666667</v>
      </c>
    </row>
    <row r="52" customFormat="false" ht="15" hidden="false" customHeight="false" outlineLevel="0" collapsed="false">
      <c r="A52" s="21" t="n">
        <f aca="false">EDATE(A51,1)</f>
        <v>47696</v>
      </c>
      <c r="B52" s="19" t="n">
        <f aca="false">SUMPRODUCT(--(Supuestos!$D$6:$D$12&lt;=A52))</f>
        <v>7</v>
      </c>
      <c r="C52" s="15" t="n">
        <f aca="false">SUMPRODUCT((Supuestos!$D$6:$D$12&lt;=A52)*Supuestos!$C$6:$C$12)+IF(A52&gt;=Supuestos!$F$31,B52*Supuestos!$F$30*Supuestos!$F$29*Supuestos!$F$32,0)</f>
        <v>9246000</v>
      </c>
      <c r="D52" s="15" t="n">
        <f aca="false">IF(B52=0,0,Supuestos!$B$22+(Supuestos!$C$22-Supuestos!$B$22)*(B52-1)/(Supuestos!$F$33-1))-IF(A52&gt;=Supuestos!$B$46,Supuestos!$B$47,0)</f>
        <v>1801800</v>
      </c>
      <c r="E52" s="15" t="n">
        <f aca="false">Supuestos!$C$23*B52/Supuestos!$F$33</f>
        <v>1516666.66666667</v>
      </c>
      <c r="F52" s="15" t="n">
        <f aca="false">Supuestos!$C$24</f>
        <v>100000</v>
      </c>
      <c r="G52" s="15" t="n">
        <f aca="false">C52-D52-E52-F52</f>
        <v>5827533.33333333</v>
      </c>
      <c r="H52" s="15" t="n">
        <f aca="false">MAX(0,G52)*Supuestos!$B$28</f>
        <v>1165506.66666667</v>
      </c>
      <c r="I52" s="17" t="n">
        <f aca="false">G52-H52</f>
        <v>4662026.66666667</v>
      </c>
      <c r="J52" s="15" t="n">
        <f aca="false">IFERROR(INDEX(Préstamo!$G$18:$G$57,MATCH(A52,Préstamo!$C$18:$C$57,0)),0)</f>
        <v>0</v>
      </c>
      <c r="K52" s="15" t="n">
        <f aca="false">SUMPRODUCT((Supuestos!$G$6:$G$12&lt;=A52)*(Supuestos!$H$6:$H$12&gt;=A52)*Supuestos!$I$6:$I$12)/Supuestos!$B$43+IF(AND(A52&gt;=Supuestos!$B$46,A52&lt;=EDATE(Supuestos!$B$46,Supuestos!$B$43-1)),Supuestos!$B$45/Supuestos!$B$43,0)</f>
        <v>0</v>
      </c>
      <c r="L52" s="17" t="n">
        <f aca="false">I52-J52-K52</f>
        <v>4662026.66666667</v>
      </c>
      <c r="M52" s="15" t="n">
        <f aca="false">M51+L52</f>
        <v>100833694.447393</v>
      </c>
      <c r="N52" s="17" t="n">
        <f aca="false">I52-J52</f>
        <v>4662026.66666667</v>
      </c>
      <c r="O52" s="15" t="n">
        <f aca="false">O51+N52</f>
        <v>149897319.447393</v>
      </c>
      <c r="P52" s="15" t="n">
        <f aca="false">K52-IF(A52=Supuestos!$F$35,Supuestos!$F$28,0)</f>
        <v>0</v>
      </c>
      <c r="Q52" s="15" t="n">
        <f aca="false">Q51+P52</f>
        <v>49063625</v>
      </c>
      <c r="R52" s="15" t="n">
        <f aca="false">R51+(G52-MAX(0,G52)*Supuestos!$B$29)</f>
        <v>222221340</v>
      </c>
      <c r="S52" s="15" t="n">
        <f aca="false">S51+(G52-MAX(0,G52)*Supuestos!$B$30)</f>
        <v>197530080</v>
      </c>
      <c r="T52" s="15" t="n">
        <f aca="false">T51+(G52-MAX(0,G52)*Supuestos!$B$31)</f>
        <v>172838820</v>
      </c>
    </row>
    <row r="53" customFormat="false" ht="15" hidden="false" customHeight="false" outlineLevel="0" collapsed="false">
      <c r="A53" s="53" t="n">
        <f aca="false">EDATE(A52,1)</f>
        <v>47727</v>
      </c>
      <c r="B53" s="54" t="n">
        <f aca="false">SUMPRODUCT(--(Supuestos!$D$6:$D$12&lt;=A53))</f>
        <v>7</v>
      </c>
      <c r="C53" s="55" t="n">
        <f aca="false">SUMPRODUCT((Supuestos!$D$6:$D$12&lt;=A53)*Supuestos!$C$6:$C$12)+IF(A53&gt;=Supuestos!$F$31,B53*Supuestos!$F$30*Supuestos!$F$29*Supuestos!$F$32,0)</f>
        <v>9246000</v>
      </c>
      <c r="D53" s="55" t="n">
        <f aca="false">IF(B53=0,0,Supuestos!$B$22+(Supuestos!$C$22-Supuestos!$B$22)*(B53-1)/(Supuestos!$F$33-1))-IF(A53&gt;=Supuestos!$B$46,Supuestos!$B$47,0)</f>
        <v>1801800</v>
      </c>
      <c r="E53" s="55" t="n">
        <f aca="false">Supuestos!$C$23*B53/Supuestos!$F$33</f>
        <v>1516666.66666667</v>
      </c>
      <c r="F53" s="55" t="n">
        <f aca="false">Supuestos!$C$24</f>
        <v>100000</v>
      </c>
      <c r="G53" s="55" t="n">
        <f aca="false">C53-D53-E53-F53</f>
        <v>5827533.33333333</v>
      </c>
      <c r="H53" s="55" t="n">
        <f aca="false">MAX(0,G53)*Supuestos!$B$28</f>
        <v>1165506.66666667</v>
      </c>
      <c r="I53" s="56" t="n">
        <f aca="false">G53-H53</f>
        <v>4662026.66666667</v>
      </c>
      <c r="J53" s="55" t="n">
        <f aca="false">IFERROR(INDEX(Préstamo!$G$18:$G$57,MATCH(A53,Préstamo!$C$18:$C$57,0)),0)</f>
        <v>0</v>
      </c>
      <c r="K53" s="55" t="n">
        <f aca="false">SUMPRODUCT((Supuestos!$G$6:$G$12&lt;=A53)*(Supuestos!$H$6:$H$12&gt;=A53)*Supuestos!$I$6:$I$12)/Supuestos!$B$43+IF(AND(A53&gt;=Supuestos!$B$46,A53&lt;=EDATE(Supuestos!$B$46,Supuestos!$B$43-1)),Supuestos!$B$45/Supuestos!$B$43,0)</f>
        <v>0</v>
      </c>
      <c r="L53" s="56" t="n">
        <f aca="false">I53-J53-K53</f>
        <v>4662026.66666667</v>
      </c>
      <c r="M53" s="55" t="n">
        <f aca="false">M52+L53</f>
        <v>105495721.11406</v>
      </c>
      <c r="N53" s="56" t="n">
        <f aca="false">I53-J53</f>
        <v>4662026.66666667</v>
      </c>
      <c r="O53" s="55" t="n">
        <f aca="false">O52+N53</f>
        <v>154559346.11406</v>
      </c>
      <c r="P53" s="55" t="n">
        <f aca="false">K53-IF(A53=Supuestos!$F$35,Supuestos!$F$28,0)</f>
        <v>0</v>
      </c>
      <c r="Q53" s="55" t="n">
        <f aca="false">Q52+P53</f>
        <v>49063625</v>
      </c>
      <c r="R53" s="55" t="n">
        <f aca="false">R52+(G53-MAX(0,G53)*Supuestos!$B$29)</f>
        <v>227466120</v>
      </c>
      <c r="S53" s="55" t="n">
        <f aca="false">S52+(G53-MAX(0,G53)*Supuestos!$B$30)</f>
        <v>202192106.666667</v>
      </c>
      <c r="T53" s="55" t="n">
        <f aca="false">T52+(G53-MAX(0,G53)*Supuestos!$B$31)</f>
        <v>176918093.333333</v>
      </c>
    </row>
    <row r="54" customFormat="false" ht="15" hidden="false" customHeight="false" outlineLevel="0" collapsed="false">
      <c r="A54" s="21" t="n">
        <f aca="false">EDATE(A53,1)</f>
        <v>47757</v>
      </c>
      <c r="B54" s="19" t="n">
        <f aca="false">SUMPRODUCT(--(Supuestos!$D$6:$D$12&lt;=A54))</f>
        <v>7</v>
      </c>
      <c r="C54" s="15" t="n">
        <f aca="false">SUMPRODUCT((Supuestos!$D$6:$D$12&lt;=A54)*Supuestos!$C$6:$C$12)+IF(A54&gt;=Supuestos!$F$31,B54*Supuestos!$F$30*Supuestos!$F$29*Supuestos!$F$32,0)</f>
        <v>9246000</v>
      </c>
      <c r="D54" s="15" t="n">
        <f aca="false">IF(B54=0,0,Supuestos!$B$22+(Supuestos!$C$22-Supuestos!$B$22)*(B54-1)/(Supuestos!$F$33-1))-IF(A54&gt;=Supuestos!$B$46,Supuestos!$B$47,0)</f>
        <v>1801800</v>
      </c>
      <c r="E54" s="15" t="n">
        <f aca="false">Supuestos!$C$23*B54/Supuestos!$F$33</f>
        <v>1516666.66666667</v>
      </c>
      <c r="F54" s="15" t="n">
        <f aca="false">Supuestos!$C$24</f>
        <v>100000</v>
      </c>
      <c r="G54" s="15" t="n">
        <f aca="false">C54-D54-E54-F54</f>
        <v>5827533.33333333</v>
      </c>
      <c r="H54" s="15" t="n">
        <f aca="false">MAX(0,G54)*Supuestos!$B$28</f>
        <v>1165506.66666667</v>
      </c>
      <c r="I54" s="17" t="n">
        <f aca="false">G54-H54</f>
        <v>4662026.66666667</v>
      </c>
      <c r="J54" s="15" t="n">
        <f aca="false">IFERROR(INDEX(Préstamo!$G$18:$G$57,MATCH(A54,Préstamo!$C$18:$C$57,0)),0)</f>
        <v>0</v>
      </c>
      <c r="K54" s="15" t="n">
        <f aca="false">SUMPRODUCT((Supuestos!$G$6:$G$12&lt;=A54)*(Supuestos!$H$6:$H$12&gt;=A54)*Supuestos!$I$6:$I$12)/Supuestos!$B$43+IF(AND(A54&gt;=Supuestos!$B$46,A54&lt;=EDATE(Supuestos!$B$46,Supuestos!$B$43-1)),Supuestos!$B$45/Supuestos!$B$43,0)</f>
        <v>0</v>
      </c>
      <c r="L54" s="17" t="n">
        <f aca="false">I54-J54-K54</f>
        <v>4662026.66666667</v>
      </c>
      <c r="M54" s="15" t="n">
        <f aca="false">M53+L54</f>
        <v>110157747.780726</v>
      </c>
      <c r="N54" s="17" t="n">
        <f aca="false">I54-J54</f>
        <v>4662026.66666667</v>
      </c>
      <c r="O54" s="15" t="n">
        <f aca="false">O53+N54</f>
        <v>159221372.780726</v>
      </c>
      <c r="P54" s="15" t="n">
        <f aca="false">K54-IF(A54=Supuestos!$F$35,Supuestos!$F$28,0)</f>
        <v>0</v>
      </c>
      <c r="Q54" s="15" t="n">
        <f aca="false">Q53+P54</f>
        <v>49063625</v>
      </c>
      <c r="R54" s="15" t="n">
        <f aca="false">R53+(G54-MAX(0,G54)*Supuestos!$B$29)</f>
        <v>232710900</v>
      </c>
      <c r="S54" s="15" t="n">
        <f aca="false">S53+(G54-MAX(0,G54)*Supuestos!$B$30)</f>
        <v>206854133.333333</v>
      </c>
      <c r="T54" s="15" t="n">
        <f aca="false">T53+(G54-MAX(0,G54)*Supuestos!$B$31)</f>
        <v>180997366.666667</v>
      </c>
    </row>
    <row r="55" customFormat="false" ht="15" hidden="false" customHeight="false" outlineLevel="0" collapsed="false">
      <c r="A55" s="21" t="n">
        <f aca="false">EDATE(A54,1)</f>
        <v>47788</v>
      </c>
      <c r="B55" s="19" t="n">
        <f aca="false">SUMPRODUCT(--(Supuestos!$D$6:$D$12&lt;=A55))</f>
        <v>7</v>
      </c>
      <c r="C55" s="15" t="n">
        <f aca="false">SUMPRODUCT((Supuestos!$D$6:$D$12&lt;=A55)*Supuestos!$C$6:$C$12)+IF(A55&gt;=Supuestos!$F$31,B55*Supuestos!$F$30*Supuestos!$F$29*Supuestos!$F$32,0)</f>
        <v>9246000</v>
      </c>
      <c r="D55" s="15" t="n">
        <f aca="false">IF(B55=0,0,Supuestos!$B$22+(Supuestos!$C$22-Supuestos!$B$22)*(B55-1)/(Supuestos!$F$33-1))-IF(A55&gt;=Supuestos!$B$46,Supuestos!$B$47,0)</f>
        <v>1801800</v>
      </c>
      <c r="E55" s="15" t="n">
        <f aca="false">Supuestos!$C$23*B55/Supuestos!$F$33</f>
        <v>1516666.66666667</v>
      </c>
      <c r="F55" s="15" t="n">
        <f aca="false">Supuestos!$C$24</f>
        <v>100000</v>
      </c>
      <c r="G55" s="15" t="n">
        <f aca="false">C55-D55-E55-F55</f>
        <v>5827533.33333333</v>
      </c>
      <c r="H55" s="15" t="n">
        <f aca="false">MAX(0,G55)*Supuestos!$B$28</f>
        <v>1165506.66666667</v>
      </c>
      <c r="I55" s="17" t="n">
        <f aca="false">G55-H55</f>
        <v>4662026.66666667</v>
      </c>
      <c r="J55" s="15" t="n">
        <f aca="false">IFERROR(INDEX(Préstamo!$G$18:$G$57,MATCH(A55,Préstamo!$C$18:$C$57,0)),0)</f>
        <v>0</v>
      </c>
      <c r="K55" s="15" t="n">
        <f aca="false">SUMPRODUCT((Supuestos!$G$6:$G$12&lt;=A55)*(Supuestos!$H$6:$H$12&gt;=A55)*Supuestos!$I$6:$I$12)/Supuestos!$B$43+IF(AND(A55&gt;=Supuestos!$B$46,A55&lt;=EDATE(Supuestos!$B$46,Supuestos!$B$43-1)),Supuestos!$B$45/Supuestos!$B$43,0)</f>
        <v>0</v>
      </c>
      <c r="L55" s="17" t="n">
        <f aca="false">I55-J55-K55</f>
        <v>4662026.66666667</v>
      </c>
      <c r="M55" s="15" t="n">
        <f aca="false">M54+L55</f>
        <v>114819774.447393</v>
      </c>
      <c r="N55" s="17" t="n">
        <f aca="false">I55-J55</f>
        <v>4662026.66666667</v>
      </c>
      <c r="O55" s="15" t="n">
        <f aca="false">O54+N55</f>
        <v>163883399.447393</v>
      </c>
      <c r="P55" s="15" t="n">
        <f aca="false">K55-IF(A55=Supuestos!$F$35,Supuestos!$F$28,0)</f>
        <v>0</v>
      </c>
      <c r="Q55" s="15" t="n">
        <f aca="false">Q54+P55</f>
        <v>49063625</v>
      </c>
      <c r="R55" s="15" t="n">
        <f aca="false">R54+(G55-MAX(0,G55)*Supuestos!$B$29)</f>
        <v>237955680</v>
      </c>
      <c r="S55" s="15" t="n">
        <f aca="false">S54+(G55-MAX(0,G55)*Supuestos!$B$30)</f>
        <v>211516160</v>
      </c>
      <c r="T55" s="15" t="n">
        <f aca="false">T54+(G55-MAX(0,G55)*Supuestos!$B$31)</f>
        <v>185076640</v>
      </c>
    </row>
    <row r="56" customFormat="false" ht="15" hidden="false" customHeight="false" outlineLevel="0" collapsed="false">
      <c r="A56" s="21" t="n">
        <f aca="false">EDATE(A55,1)</f>
        <v>47818</v>
      </c>
      <c r="B56" s="19" t="n">
        <f aca="false">SUMPRODUCT(--(Supuestos!$D$6:$D$12&lt;=A56))</f>
        <v>7</v>
      </c>
      <c r="C56" s="15" t="n">
        <f aca="false">SUMPRODUCT((Supuestos!$D$6:$D$12&lt;=A56)*Supuestos!$C$6:$C$12)+IF(A56&gt;=Supuestos!$F$31,B56*Supuestos!$F$30*Supuestos!$F$29*Supuestos!$F$32,0)</f>
        <v>9246000</v>
      </c>
      <c r="D56" s="15" t="n">
        <f aca="false">IF(B56=0,0,Supuestos!$B$22+(Supuestos!$C$22-Supuestos!$B$22)*(B56-1)/(Supuestos!$F$33-1))-IF(A56&gt;=Supuestos!$B$46,Supuestos!$B$47,0)</f>
        <v>1801800</v>
      </c>
      <c r="E56" s="15" t="n">
        <f aca="false">Supuestos!$C$23*B56/Supuestos!$F$33</f>
        <v>1516666.66666667</v>
      </c>
      <c r="F56" s="15" t="n">
        <f aca="false">Supuestos!$C$24</f>
        <v>100000</v>
      </c>
      <c r="G56" s="15" t="n">
        <f aca="false">C56-D56-E56-F56</f>
        <v>5827533.33333333</v>
      </c>
      <c r="H56" s="15" t="n">
        <f aca="false">MAX(0,G56)*Supuestos!$B$28</f>
        <v>1165506.66666667</v>
      </c>
      <c r="I56" s="17" t="n">
        <f aca="false">G56-H56</f>
        <v>4662026.66666667</v>
      </c>
      <c r="J56" s="15" t="n">
        <f aca="false">IFERROR(INDEX(Préstamo!$G$18:$G$57,MATCH(A56,Préstamo!$C$18:$C$57,0)),0)</f>
        <v>0</v>
      </c>
      <c r="K56" s="15" t="n">
        <f aca="false">SUMPRODUCT((Supuestos!$G$6:$G$12&lt;=A56)*(Supuestos!$H$6:$H$12&gt;=A56)*Supuestos!$I$6:$I$12)/Supuestos!$B$43+IF(AND(A56&gt;=Supuestos!$B$46,A56&lt;=EDATE(Supuestos!$B$46,Supuestos!$B$43-1)),Supuestos!$B$45/Supuestos!$B$43,0)</f>
        <v>0</v>
      </c>
      <c r="L56" s="17" t="n">
        <f aca="false">I56-J56-K56</f>
        <v>4662026.66666667</v>
      </c>
      <c r="M56" s="15" t="n">
        <f aca="false">M55+L56</f>
        <v>119481801.11406</v>
      </c>
      <c r="N56" s="17" t="n">
        <f aca="false">I56-J56</f>
        <v>4662026.66666667</v>
      </c>
      <c r="O56" s="15" t="n">
        <f aca="false">O55+N56</f>
        <v>168545426.11406</v>
      </c>
      <c r="P56" s="15" t="n">
        <f aca="false">K56-IF(A56=Supuestos!$F$35,Supuestos!$F$28,0)</f>
        <v>0</v>
      </c>
      <c r="Q56" s="15" t="n">
        <f aca="false">Q55+P56</f>
        <v>49063625</v>
      </c>
      <c r="R56" s="15" t="n">
        <f aca="false">R55+(G56-MAX(0,G56)*Supuestos!$B$29)</f>
        <v>243200460</v>
      </c>
      <c r="S56" s="15" t="n">
        <f aca="false">S55+(G56-MAX(0,G56)*Supuestos!$B$30)</f>
        <v>216178186.666667</v>
      </c>
      <c r="T56" s="15" t="n">
        <f aca="false">T55+(G56-MAX(0,G56)*Supuestos!$B$31)</f>
        <v>189155913.333333</v>
      </c>
    </row>
    <row r="57" customFormat="false" ht="15" hidden="false" customHeight="false" outlineLevel="0" collapsed="false">
      <c r="A57" s="21" t="n">
        <f aca="false">EDATE(A56,1)</f>
        <v>47849</v>
      </c>
      <c r="B57" s="19" t="n">
        <f aca="false">SUMPRODUCT(--(Supuestos!$D$6:$D$12&lt;=A57))</f>
        <v>7</v>
      </c>
      <c r="C57" s="15" t="n">
        <f aca="false">SUMPRODUCT((Supuestos!$D$6:$D$12&lt;=A57)*Supuestos!$C$6:$C$12)+IF(A57&gt;=Supuestos!$F$31,B57*Supuestos!$F$30*Supuestos!$F$29*Supuestos!$F$32,0)</f>
        <v>9246000</v>
      </c>
      <c r="D57" s="15" t="n">
        <f aca="false">IF(B57=0,0,Supuestos!$B$22+(Supuestos!$C$22-Supuestos!$B$22)*(B57-1)/(Supuestos!$F$33-1))-IF(A57&gt;=Supuestos!$B$46,Supuestos!$B$47,0)</f>
        <v>1801800</v>
      </c>
      <c r="E57" s="15" t="n">
        <f aca="false">Supuestos!$C$23*B57/Supuestos!$F$33</f>
        <v>1516666.66666667</v>
      </c>
      <c r="F57" s="15" t="n">
        <f aca="false">Supuestos!$C$24</f>
        <v>100000</v>
      </c>
      <c r="G57" s="15" t="n">
        <f aca="false">C57-D57-E57-F57</f>
        <v>5827533.33333333</v>
      </c>
      <c r="H57" s="15" t="n">
        <f aca="false">MAX(0,G57)*Supuestos!$B$28</f>
        <v>1165506.66666667</v>
      </c>
      <c r="I57" s="17" t="n">
        <f aca="false">G57-H57</f>
        <v>4662026.66666667</v>
      </c>
      <c r="J57" s="15" t="n">
        <f aca="false">IFERROR(INDEX(Préstamo!$G$18:$G$57,MATCH(A57,Préstamo!$C$18:$C$57,0)),0)</f>
        <v>0</v>
      </c>
      <c r="K57" s="15" t="n">
        <f aca="false">SUMPRODUCT((Supuestos!$G$6:$G$12&lt;=A57)*(Supuestos!$H$6:$H$12&gt;=A57)*Supuestos!$I$6:$I$12)/Supuestos!$B$43+IF(AND(A57&gt;=Supuestos!$B$46,A57&lt;=EDATE(Supuestos!$B$46,Supuestos!$B$43-1)),Supuestos!$B$45/Supuestos!$B$43,0)</f>
        <v>0</v>
      </c>
      <c r="L57" s="17" t="n">
        <f aca="false">I57-J57-K57</f>
        <v>4662026.66666667</v>
      </c>
      <c r="M57" s="15" t="n">
        <f aca="false">M56+L57</f>
        <v>124143827.780726</v>
      </c>
      <c r="N57" s="17" t="n">
        <f aca="false">I57-J57</f>
        <v>4662026.66666667</v>
      </c>
      <c r="O57" s="15" t="n">
        <f aca="false">O56+N57</f>
        <v>173207452.780726</v>
      </c>
      <c r="P57" s="15" t="n">
        <f aca="false">K57-IF(A57=Supuestos!$F$35,Supuestos!$F$28,0)</f>
        <v>0</v>
      </c>
      <c r="Q57" s="15" t="n">
        <f aca="false">Q56+P57</f>
        <v>49063625</v>
      </c>
      <c r="R57" s="15" t="n">
        <f aca="false">R56+(G57-MAX(0,G57)*Supuestos!$B$29)</f>
        <v>248445240</v>
      </c>
      <c r="S57" s="15" t="n">
        <f aca="false">S56+(G57-MAX(0,G57)*Supuestos!$B$30)</f>
        <v>220840213.333333</v>
      </c>
      <c r="T57" s="15" t="n">
        <f aca="false">T56+(G57-MAX(0,G57)*Supuestos!$B$31)</f>
        <v>193235186.666667</v>
      </c>
    </row>
    <row r="58" customFormat="false" ht="15" hidden="false" customHeight="false" outlineLevel="0" collapsed="false">
      <c r="A58" s="21" t="n">
        <f aca="false">EDATE(A57,1)</f>
        <v>47880</v>
      </c>
      <c r="B58" s="19" t="n">
        <f aca="false">SUMPRODUCT(--(Supuestos!$D$6:$D$12&lt;=A58))</f>
        <v>7</v>
      </c>
      <c r="C58" s="15" t="n">
        <f aca="false">SUMPRODUCT((Supuestos!$D$6:$D$12&lt;=A58)*Supuestos!$C$6:$C$12)+IF(A58&gt;=Supuestos!$F$31,B58*Supuestos!$F$30*Supuestos!$F$29*Supuestos!$F$32,0)</f>
        <v>9246000</v>
      </c>
      <c r="D58" s="15" t="n">
        <f aca="false">IF(B58=0,0,Supuestos!$B$22+(Supuestos!$C$22-Supuestos!$B$22)*(B58-1)/(Supuestos!$F$33-1))-IF(A58&gt;=Supuestos!$B$46,Supuestos!$B$47,0)</f>
        <v>1801800</v>
      </c>
      <c r="E58" s="15" t="n">
        <f aca="false">Supuestos!$C$23*B58/Supuestos!$F$33</f>
        <v>1516666.66666667</v>
      </c>
      <c r="F58" s="15" t="n">
        <f aca="false">Supuestos!$C$24</f>
        <v>100000</v>
      </c>
      <c r="G58" s="15" t="n">
        <f aca="false">C58-D58-E58-F58</f>
        <v>5827533.33333333</v>
      </c>
      <c r="H58" s="15" t="n">
        <f aca="false">MAX(0,G58)*Supuestos!$B$28</f>
        <v>1165506.66666667</v>
      </c>
      <c r="I58" s="17" t="n">
        <f aca="false">G58-H58</f>
        <v>4662026.66666667</v>
      </c>
      <c r="J58" s="15" t="n">
        <f aca="false">IFERROR(INDEX(Préstamo!$G$18:$G$57,MATCH(A58,Préstamo!$C$18:$C$57,0)),0)</f>
        <v>0</v>
      </c>
      <c r="K58" s="15" t="n">
        <f aca="false">SUMPRODUCT((Supuestos!$G$6:$G$12&lt;=A58)*(Supuestos!$H$6:$H$12&gt;=A58)*Supuestos!$I$6:$I$12)/Supuestos!$B$43+IF(AND(A58&gt;=Supuestos!$B$46,A58&lt;=EDATE(Supuestos!$B$46,Supuestos!$B$43-1)),Supuestos!$B$45/Supuestos!$B$43,0)</f>
        <v>0</v>
      </c>
      <c r="L58" s="17" t="n">
        <f aca="false">I58-J58-K58</f>
        <v>4662026.66666667</v>
      </c>
      <c r="M58" s="15" t="n">
        <f aca="false">M57+L58</f>
        <v>128805854.447393</v>
      </c>
      <c r="N58" s="17" t="n">
        <f aca="false">I58-J58</f>
        <v>4662026.66666667</v>
      </c>
      <c r="O58" s="15" t="n">
        <f aca="false">O57+N58</f>
        <v>177869479.447393</v>
      </c>
      <c r="P58" s="15" t="n">
        <f aca="false">K58-IF(A58=Supuestos!$F$35,Supuestos!$F$28,0)</f>
        <v>0</v>
      </c>
      <c r="Q58" s="15" t="n">
        <f aca="false">Q57+P58</f>
        <v>49063625</v>
      </c>
      <c r="R58" s="15" t="n">
        <f aca="false">R57+(G58-MAX(0,G58)*Supuestos!$B$29)</f>
        <v>253690020</v>
      </c>
      <c r="S58" s="15" t="n">
        <f aca="false">S57+(G58-MAX(0,G58)*Supuestos!$B$30)</f>
        <v>225502240</v>
      </c>
      <c r="T58" s="15" t="n">
        <f aca="false">T57+(G58-MAX(0,G58)*Supuestos!$B$31)</f>
        <v>197314460</v>
      </c>
    </row>
    <row r="59" customFormat="false" ht="15" hidden="false" customHeight="false" outlineLevel="0" collapsed="false">
      <c r="A59" s="21" t="n">
        <f aca="false">EDATE(A58,1)</f>
        <v>47908</v>
      </c>
      <c r="B59" s="19" t="n">
        <f aca="false">SUMPRODUCT(--(Supuestos!$D$6:$D$12&lt;=A59))</f>
        <v>7</v>
      </c>
      <c r="C59" s="15" t="n">
        <f aca="false">SUMPRODUCT((Supuestos!$D$6:$D$12&lt;=A59)*Supuestos!$C$6:$C$12)+IF(A59&gt;=Supuestos!$F$31,B59*Supuestos!$F$30*Supuestos!$F$29*Supuestos!$F$32,0)</f>
        <v>9246000</v>
      </c>
      <c r="D59" s="15" t="n">
        <f aca="false">IF(B59=0,0,Supuestos!$B$22+(Supuestos!$C$22-Supuestos!$B$22)*(B59-1)/(Supuestos!$F$33-1))-IF(A59&gt;=Supuestos!$B$46,Supuestos!$B$47,0)</f>
        <v>1801800</v>
      </c>
      <c r="E59" s="15" t="n">
        <f aca="false">Supuestos!$C$23*B59/Supuestos!$F$33</f>
        <v>1516666.66666667</v>
      </c>
      <c r="F59" s="15" t="n">
        <f aca="false">Supuestos!$C$24</f>
        <v>100000</v>
      </c>
      <c r="G59" s="15" t="n">
        <f aca="false">C59-D59-E59-F59</f>
        <v>5827533.33333333</v>
      </c>
      <c r="H59" s="15" t="n">
        <f aca="false">MAX(0,G59)*Supuestos!$B$28</f>
        <v>1165506.66666667</v>
      </c>
      <c r="I59" s="17" t="n">
        <f aca="false">G59-H59</f>
        <v>4662026.66666667</v>
      </c>
      <c r="J59" s="15" t="n">
        <f aca="false">IFERROR(INDEX(Préstamo!$G$18:$G$57,MATCH(A59,Préstamo!$C$18:$C$57,0)),0)</f>
        <v>0</v>
      </c>
      <c r="K59" s="15" t="n">
        <f aca="false">SUMPRODUCT((Supuestos!$G$6:$G$12&lt;=A59)*(Supuestos!$H$6:$H$12&gt;=A59)*Supuestos!$I$6:$I$12)/Supuestos!$B$43+IF(AND(A59&gt;=Supuestos!$B$46,A59&lt;=EDATE(Supuestos!$B$46,Supuestos!$B$43-1)),Supuestos!$B$45/Supuestos!$B$43,0)</f>
        <v>0</v>
      </c>
      <c r="L59" s="17" t="n">
        <f aca="false">I59-J59-K59</f>
        <v>4662026.66666667</v>
      </c>
      <c r="M59" s="15" t="n">
        <f aca="false">M58+L59</f>
        <v>133467881.11406</v>
      </c>
      <c r="N59" s="17" t="n">
        <f aca="false">I59-J59</f>
        <v>4662026.66666667</v>
      </c>
      <c r="O59" s="15" t="n">
        <f aca="false">O58+N59</f>
        <v>182531506.11406</v>
      </c>
      <c r="P59" s="15" t="n">
        <f aca="false">K59-IF(A59=Supuestos!$F$35,Supuestos!$F$28,0)</f>
        <v>0</v>
      </c>
      <c r="Q59" s="15" t="n">
        <f aca="false">Q58+P59</f>
        <v>49063625</v>
      </c>
      <c r="R59" s="15" t="n">
        <f aca="false">R58+(G59-MAX(0,G59)*Supuestos!$B$29)</f>
        <v>258934800</v>
      </c>
      <c r="S59" s="15" t="n">
        <f aca="false">S58+(G59-MAX(0,G59)*Supuestos!$B$30)</f>
        <v>230164266.666667</v>
      </c>
      <c r="T59" s="15" t="n">
        <f aca="false">T58+(G59-MAX(0,G59)*Supuestos!$B$31)</f>
        <v>201393733.333333</v>
      </c>
    </row>
    <row r="60" customFormat="false" ht="15" hidden="false" customHeight="false" outlineLevel="0" collapsed="false">
      <c r="A60" s="21" t="n">
        <f aca="false">EDATE(A59,1)</f>
        <v>47939</v>
      </c>
      <c r="B60" s="19" t="n">
        <f aca="false">SUMPRODUCT(--(Supuestos!$D$6:$D$12&lt;=A60))</f>
        <v>7</v>
      </c>
      <c r="C60" s="15" t="n">
        <f aca="false">SUMPRODUCT((Supuestos!$D$6:$D$12&lt;=A60)*Supuestos!$C$6:$C$12)+IF(A60&gt;=Supuestos!$F$31,B60*Supuestos!$F$30*Supuestos!$F$29*Supuestos!$F$32,0)</f>
        <v>9246000</v>
      </c>
      <c r="D60" s="15" t="n">
        <f aca="false">IF(B60=0,0,Supuestos!$B$22+(Supuestos!$C$22-Supuestos!$B$22)*(B60-1)/(Supuestos!$F$33-1))-IF(A60&gt;=Supuestos!$B$46,Supuestos!$B$47,0)</f>
        <v>1801800</v>
      </c>
      <c r="E60" s="15" t="n">
        <f aca="false">Supuestos!$C$23*B60/Supuestos!$F$33</f>
        <v>1516666.66666667</v>
      </c>
      <c r="F60" s="15" t="n">
        <f aca="false">Supuestos!$C$24</f>
        <v>100000</v>
      </c>
      <c r="G60" s="15" t="n">
        <f aca="false">C60-D60-E60-F60</f>
        <v>5827533.33333333</v>
      </c>
      <c r="H60" s="15" t="n">
        <f aca="false">MAX(0,G60)*Supuestos!$B$28</f>
        <v>1165506.66666667</v>
      </c>
      <c r="I60" s="17" t="n">
        <f aca="false">G60-H60</f>
        <v>4662026.66666667</v>
      </c>
      <c r="J60" s="15" t="n">
        <f aca="false">IFERROR(INDEX(Préstamo!$G$18:$G$57,MATCH(A60,Préstamo!$C$18:$C$57,0)),0)</f>
        <v>0</v>
      </c>
      <c r="K60" s="15" t="n">
        <f aca="false">SUMPRODUCT((Supuestos!$G$6:$G$12&lt;=A60)*(Supuestos!$H$6:$H$12&gt;=A60)*Supuestos!$I$6:$I$12)/Supuestos!$B$43+IF(AND(A60&gt;=Supuestos!$B$46,A60&lt;=EDATE(Supuestos!$B$46,Supuestos!$B$43-1)),Supuestos!$B$45/Supuestos!$B$43,0)</f>
        <v>0</v>
      </c>
      <c r="L60" s="17" t="n">
        <f aca="false">I60-J60-K60</f>
        <v>4662026.66666667</v>
      </c>
      <c r="M60" s="15" t="n">
        <f aca="false">M59+L60</f>
        <v>138129907.780726</v>
      </c>
      <c r="N60" s="17" t="n">
        <f aca="false">I60-J60</f>
        <v>4662026.66666667</v>
      </c>
      <c r="O60" s="15" t="n">
        <f aca="false">O59+N60</f>
        <v>187193532.780726</v>
      </c>
      <c r="P60" s="15" t="n">
        <f aca="false">K60-IF(A60=Supuestos!$F$35,Supuestos!$F$28,0)</f>
        <v>0</v>
      </c>
      <c r="Q60" s="15" t="n">
        <f aca="false">Q59+P60</f>
        <v>49063625</v>
      </c>
      <c r="R60" s="15" t="n">
        <f aca="false">R59+(G60-MAX(0,G60)*Supuestos!$B$29)</f>
        <v>264179580</v>
      </c>
      <c r="S60" s="15" t="n">
        <f aca="false">S59+(G60-MAX(0,G60)*Supuestos!$B$30)</f>
        <v>234826293.333333</v>
      </c>
      <c r="T60" s="15" t="n">
        <f aca="false">T59+(G60-MAX(0,G60)*Supuestos!$B$31)</f>
        <v>205473006.666667</v>
      </c>
    </row>
    <row r="61" customFormat="false" ht="15" hidden="false" customHeight="false" outlineLevel="0" collapsed="false">
      <c r="A61" s="21" t="n">
        <f aca="false">EDATE(A60,1)</f>
        <v>47969</v>
      </c>
      <c r="B61" s="19" t="n">
        <f aca="false">SUMPRODUCT(--(Supuestos!$D$6:$D$12&lt;=A61))</f>
        <v>7</v>
      </c>
      <c r="C61" s="15" t="n">
        <f aca="false">SUMPRODUCT((Supuestos!$D$6:$D$12&lt;=A61)*Supuestos!$C$6:$C$12)+IF(A61&gt;=Supuestos!$F$31,B61*Supuestos!$F$30*Supuestos!$F$29*Supuestos!$F$32,0)</f>
        <v>9246000</v>
      </c>
      <c r="D61" s="15" t="n">
        <f aca="false">IF(B61=0,0,Supuestos!$B$22+(Supuestos!$C$22-Supuestos!$B$22)*(B61-1)/(Supuestos!$F$33-1))-IF(A61&gt;=Supuestos!$B$46,Supuestos!$B$47,0)</f>
        <v>1801800</v>
      </c>
      <c r="E61" s="15" t="n">
        <f aca="false">Supuestos!$C$23*B61/Supuestos!$F$33</f>
        <v>1516666.66666667</v>
      </c>
      <c r="F61" s="15" t="n">
        <f aca="false">Supuestos!$C$24</f>
        <v>100000</v>
      </c>
      <c r="G61" s="15" t="n">
        <f aca="false">C61-D61-E61-F61</f>
        <v>5827533.33333333</v>
      </c>
      <c r="H61" s="15" t="n">
        <f aca="false">MAX(0,G61)*Supuestos!$B$28</f>
        <v>1165506.66666667</v>
      </c>
      <c r="I61" s="17" t="n">
        <f aca="false">G61-H61</f>
        <v>4662026.66666667</v>
      </c>
      <c r="J61" s="15" t="n">
        <f aca="false">IFERROR(INDEX(Préstamo!$G$18:$G$57,MATCH(A61,Préstamo!$C$18:$C$57,0)),0)</f>
        <v>0</v>
      </c>
      <c r="K61" s="15" t="n">
        <f aca="false">SUMPRODUCT((Supuestos!$G$6:$G$12&lt;=A61)*(Supuestos!$H$6:$H$12&gt;=A61)*Supuestos!$I$6:$I$12)/Supuestos!$B$43+IF(AND(A61&gt;=Supuestos!$B$46,A61&lt;=EDATE(Supuestos!$B$46,Supuestos!$B$43-1)),Supuestos!$B$45/Supuestos!$B$43,0)</f>
        <v>0</v>
      </c>
      <c r="L61" s="17" t="n">
        <f aca="false">I61-J61-K61</f>
        <v>4662026.66666667</v>
      </c>
      <c r="M61" s="15" t="n">
        <f aca="false">M60+L61</f>
        <v>142791934.447393</v>
      </c>
      <c r="N61" s="17" t="n">
        <f aca="false">I61-J61</f>
        <v>4662026.66666667</v>
      </c>
      <c r="O61" s="15" t="n">
        <f aca="false">O60+N61</f>
        <v>191855559.447393</v>
      </c>
      <c r="P61" s="15" t="n">
        <f aca="false">K61-IF(A61=Supuestos!$F$35,Supuestos!$F$28,0)</f>
        <v>0</v>
      </c>
      <c r="Q61" s="15" t="n">
        <f aca="false">Q60+P61</f>
        <v>49063625</v>
      </c>
      <c r="R61" s="15" t="n">
        <f aca="false">R60+(G61-MAX(0,G61)*Supuestos!$B$29)</f>
        <v>269424360</v>
      </c>
      <c r="S61" s="15" t="n">
        <f aca="false">S60+(G61-MAX(0,G61)*Supuestos!$B$30)</f>
        <v>239488320</v>
      </c>
      <c r="T61" s="15" t="n">
        <f aca="false">T60+(G61-MAX(0,G61)*Supuestos!$B$31)</f>
        <v>209552280</v>
      </c>
    </row>
    <row r="62" customFormat="false" ht="15" hidden="false" customHeight="false" outlineLevel="0" collapsed="false">
      <c r="A62" s="21" t="n">
        <f aca="false">EDATE(A61,1)</f>
        <v>48000</v>
      </c>
      <c r="B62" s="19" t="n">
        <f aca="false">SUMPRODUCT(--(Supuestos!$D$6:$D$12&lt;=A62))</f>
        <v>7</v>
      </c>
      <c r="C62" s="15" t="n">
        <f aca="false">SUMPRODUCT((Supuestos!$D$6:$D$12&lt;=A62)*Supuestos!$C$6:$C$12)+IF(A62&gt;=Supuestos!$F$31,B62*Supuestos!$F$30*Supuestos!$F$29*Supuestos!$F$32,0)</f>
        <v>9246000</v>
      </c>
      <c r="D62" s="15" t="n">
        <f aca="false">IF(B62=0,0,Supuestos!$B$22+(Supuestos!$C$22-Supuestos!$B$22)*(B62-1)/(Supuestos!$F$33-1))-IF(A62&gt;=Supuestos!$B$46,Supuestos!$B$47,0)</f>
        <v>1801800</v>
      </c>
      <c r="E62" s="15" t="n">
        <f aca="false">Supuestos!$C$23*B62/Supuestos!$F$33</f>
        <v>1516666.66666667</v>
      </c>
      <c r="F62" s="15" t="n">
        <f aca="false">Supuestos!$C$24</f>
        <v>100000</v>
      </c>
      <c r="G62" s="15" t="n">
        <f aca="false">C62-D62-E62-F62</f>
        <v>5827533.33333333</v>
      </c>
      <c r="H62" s="15" t="n">
        <f aca="false">MAX(0,G62)*Supuestos!$B$28</f>
        <v>1165506.66666667</v>
      </c>
      <c r="I62" s="17" t="n">
        <f aca="false">G62-H62</f>
        <v>4662026.66666667</v>
      </c>
      <c r="J62" s="15" t="n">
        <f aca="false">IFERROR(INDEX(Préstamo!$G$18:$G$57,MATCH(A62,Préstamo!$C$18:$C$57,0)),0)</f>
        <v>0</v>
      </c>
      <c r="K62" s="15" t="n">
        <f aca="false">SUMPRODUCT((Supuestos!$G$6:$G$12&lt;=A62)*(Supuestos!$H$6:$H$12&gt;=A62)*Supuestos!$I$6:$I$12)/Supuestos!$B$43+IF(AND(A62&gt;=Supuestos!$B$46,A62&lt;=EDATE(Supuestos!$B$46,Supuestos!$B$43-1)),Supuestos!$B$45/Supuestos!$B$43,0)</f>
        <v>0</v>
      </c>
      <c r="L62" s="17" t="n">
        <f aca="false">I62-J62-K62</f>
        <v>4662026.66666667</v>
      </c>
      <c r="M62" s="15" t="n">
        <f aca="false">M61+L62</f>
        <v>147453961.11406</v>
      </c>
      <c r="N62" s="17" t="n">
        <f aca="false">I62-J62</f>
        <v>4662026.66666667</v>
      </c>
      <c r="O62" s="15" t="n">
        <f aca="false">O61+N62</f>
        <v>196517586.11406</v>
      </c>
      <c r="P62" s="15" t="n">
        <f aca="false">K62-IF(A62=Supuestos!$F$35,Supuestos!$F$28,0)</f>
        <v>0</v>
      </c>
      <c r="Q62" s="15" t="n">
        <f aca="false">Q61+P62</f>
        <v>49063625</v>
      </c>
      <c r="R62" s="15" t="n">
        <f aca="false">R61+(G62-MAX(0,G62)*Supuestos!$B$29)</f>
        <v>274669140</v>
      </c>
      <c r="S62" s="15" t="n">
        <f aca="false">S61+(G62-MAX(0,G62)*Supuestos!$B$30)</f>
        <v>244150346.666667</v>
      </c>
      <c r="T62" s="15" t="n">
        <f aca="false">T61+(G62-MAX(0,G62)*Supuestos!$B$31)</f>
        <v>213631553.333333</v>
      </c>
    </row>
    <row r="63" customFormat="false" ht="15" hidden="false" customHeight="false" outlineLevel="0" collapsed="false">
      <c r="A63" s="21" t="n">
        <f aca="false">EDATE(A62,1)</f>
        <v>48030</v>
      </c>
      <c r="B63" s="19" t="n">
        <f aca="false">SUMPRODUCT(--(Supuestos!$D$6:$D$12&lt;=A63))</f>
        <v>7</v>
      </c>
      <c r="C63" s="15" t="n">
        <f aca="false">SUMPRODUCT((Supuestos!$D$6:$D$12&lt;=A63)*Supuestos!$C$6:$C$12)+IF(A63&gt;=Supuestos!$F$31,B63*Supuestos!$F$30*Supuestos!$F$29*Supuestos!$F$32,0)</f>
        <v>9246000</v>
      </c>
      <c r="D63" s="15" t="n">
        <f aca="false">IF(B63=0,0,Supuestos!$B$22+(Supuestos!$C$22-Supuestos!$B$22)*(B63-1)/(Supuestos!$F$33-1))-IF(A63&gt;=Supuestos!$B$46,Supuestos!$B$47,0)</f>
        <v>1801800</v>
      </c>
      <c r="E63" s="15" t="n">
        <f aca="false">Supuestos!$C$23*B63/Supuestos!$F$33</f>
        <v>1516666.66666667</v>
      </c>
      <c r="F63" s="15" t="n">
        <f aca="false">Supuestos!$C$24</f>
        <v>100000</v>
      </c>
      <c r="G63" s="15" t="n">
        <f aca="false">C63-D63-E63-F63</f>
        <v>5827533.33333333</v>
      </c>
      <c r="H63" s="15" t="n">
        <f aca="false">MAX(0,G63)*Supuestos!$B$28</f>
        <v>1165506.66666667</v>
      </c>
      <c r="I63" s="17" t="n">
        <f aca="false">G63-H63</f>
        <v>4662026.66666667</v>
      </c>
      <c r="J63" s="15" t="n">
        <f aca="false">IFERROR(INDEX(Préstamo!$G$18:$G$57,MATCH(A63,Préstamo!$C$18:$C$57,0)),0)</f>
        <v>0</v>
      </c>
      <c r="K63" s="15" t="n">
        <f aca="false">SUMPRODUCT((Supuestos!$G$6:$G$12&lt;=A63)*(Supuestos!$H$6:$H$12&gt;=A63)*Supuestos!$I$6:$I$12)/Supuestos!$B$43+IF(AND(A63&gt;=Supuestos!$B$46,A63&lt;=EDATE(Supuestos!$B$46,Supuestos!$B$43-1)),Supuestos!$B$45/Supuestos!$B$43,0)</f>
        <v>0</v>
      </c>
      <c r="L63" s="17" t="n">
        <f aca="false">I63-J63-K63</f>
        <v>4662026.66666667</v>
      </c>
      <c r="M63" s="15" t="n">
        <f aca="false">M62+L63</f>
        <v>152115987.780726</v>
      </c>
      <c r="N63" s="17" t="n">
        <f aca="false">I63-J63</f>
        <v>4662026.66666667</v>
      </c>
      <c r="O63" s="15" t="n">
        <f aca="false">O62+N63</f>
        <v>201179612.780726</v>
      </c>
      <c r="P63" s="15" t="n">
        <f aca="false">K63-IF(A63=Supuestos!$F$35,Supuestos!$F$28,0)</f>
        <v>0</v>
      </c>
      <c r="Q63" s="15" t="n">
        <f aca="false">Q62+P63</f>
        <v>49063625</v>
      </c>
      <c r="R63" s="15" t="n">
        <f aca="false">R62+(G63-MAX(0,G63)*Supuestos!$B$29)</f>
        <v>279913920</v>
      </c>
      <c r="S63" s="15" t="n">
        <f aca="false">S62+(G63-MAX(0,G63)*Supuestos!$B$30)</f>
        <v>248812373.333333</v>
      </c>
      <c r="T63" s="15" t="n">
        <f aca="false">T62+(G63-MAX(0,G63)*Supuestos!$B$31)</f>
        <v>217710826.666667</v>
      </c>
    </row>
    <row r="64" customFormat="false" ht="15" hidden="false" customHeight="false" outlineLevel="0" collapsed="false">
      <c r="A64" s="21" t="n">
        <f aca="false">EDATE(A63,1)</f>
        <v>48061</v>
      </c>
      <c r="B64" s="19" t="n">
        <f aca="false">SUMPRODUCT(--(Supuestos!$D$6:$D$12&lt;=A64))</f>
        <v>7</v>
      </c>
      <c r="C64" s="15" t="n">
        <f aca="false">SUMPRODUCT((Supuestos!$D$6:$D$12&lt;=A64)*Supuestos!$C$6:$C$12)+IF(A64&gt;=Supuestos!$F$31,B64*Supuestos!$F$30*Supuestos!$F$29*Supuestos!$F$32,0)</f>
        <v>9246000</v>
      </c>
      <c r="D64" s="15" t="n">
        <f aca="false">IF(B64=0,0,Supuestos!$B$22+(Supuestos!$C$22-Supuestos!$B$22)*(B64-1)/(Supuestos!$F$33-1))-IF(A64&gt;=Supuestos!$B$46,Supuestos!$B$47,0)</f>
        <v>1801800</v>
      </c>
      <c r="E64" s="15" t="n">
        <f aca="false">Supuestos!$C$23*B64/Supuestos!$F$33</f>
        <v>1516666.66666667</v>
      </c>
      <c r="F64" s="15" t="n">
        <f aca="false">Supuestos!$C$24</f>
        <v>100000</v>
      </c>
      <c r="G64" s="15" t="n">
        <f aca="false">C64-D64-E64-F64</f>
        <v>5827533.33333333</v>
      </c>
      <c r="H64" s="15" t="n">
        <f aca="false">MAX(0,G64)*Supuestos!$B$28</f>
        <v>1165506.66666667</v>
      </c>
      <c r="I64" s="17" t="n">
        <f aca="false">G64-H64</f>
        <v>4662026.66666667</v>
      </c>
      <c r="J64" s="15" t="n">
        <f aca="false">IFERROR(INDEX(Préstamo!$G$18:$G$57,MATCH(A64,Préstamo!$C$18:$C$57,0)),0)</f>
        <v>0</v>
      </c>
      <c r="K64" s="15" t="n">
        <f aca="false">SUMPRODUCT((Supuestos!$G$6:$G$12&lt;=A64)*(Supuestos!$H$6:$H$12&gt;=A64)*Supuestos!$I$6:$I$12)/Supuestos!$B$43+IF(AND(A64&gt;=Supuestos!$B$46,A64&lt;=EDATE(Supuestos!$B$46,Supuestos!$B$43-1)),Supuestos!$B$45/Supuestos!$B$43,0)</f>
        <v>0</v>
      </c>
      <c r="L64" s="17" t="n">
        <f aca="false">I64-J64-K64</f>
        <v>4662026.66666667</v>
      </c>
      <c r="M64" s="15" t="n">
        <f aca="false">M63+L64</f>
        <v>156778014.447393</v>
      </c>
      <c r="N64" s="17" t="n">
        <f aca="false">I64-J64</f>
        <v>4662026.66666667</v>
      </c>
      <c r="O64" s="15" t="n">
        <f aca="false">O63+N64</f>
        <v>205841639.447393</v>
      </c>
      <c r="P64" s="15" t="n">
        <f aca="false">K64-IF(A64=Supuestos!$F$35,Supuestos!$F$28,0)</f>
        <v>0</v>
      </c>
      <c r="Q64" s="15" t="n">
        <f aca="false">Q63+P64</f>
        <v>49063625</v>
      </c>
      <c r="R64" s="15" t="n">
        <f aca="false">R63+(G64-MAX(0,G64)*Supuestos!$B$29)</f>
        <v>285158700</v>
      </c>
      <c r="S64" s="15" t="n">
        <f aca="false">S63+(G64-MAX(0,G64)*Supuestos!$B$30)</f>
        <v>253474400</v>
      </c>
      <c r="T64" s="15" t="n">
        <f aca="false">T63+(G64-MAX(0,G64)*Supuestos!$B$31)</f>
        <v>221790100</v>
      </c>
    </row>
    <row r="65" customFormat="false" ht="15" hidden="false" customHeight="false" outlineLevel="0" collapsed="false">
      <c r="A65" s="53" t="n">
        <f aca="false">EDATE(A64,1)</f>
        <v>48092</v>
      </c>
      <c r="B65" s="54" t="n">
        <f aca="false">SUMPRODUCT(--(Supuestos!$D$6:$D$12&lt;=A65))</f>
        <v>7</v>
      </c>
      <c r="C65" s="55" t="n">
        <f aca="false">SUMPRODUCT((Supuestos!$D$6:$D$12&lt;=A65)*Supuestos!$C$6:$C$12)+IF(A65&gt;=Supuestos!$F$31,B65*Supuestos!$F$30*Supuestos!$F$29*Supuestos!$F$32,0)</f>
        <v>9246000</v>
      </c>
      <c r="D65" s="55" t="n">
        <f aca="false">IF(B65=0,0,Supuestos!$B$22+(Supuestos!$C$22-Supuestos!$B$22)*(B65-1)/(Supuestos!$F$33-1))-IF(A65&gt;=Supuestos!$B$46,Supuestos!$B$47,0)</f>
        <v>1801800</v>
      </c>
      <c r="E65" s="55" t="n">
        <f aca="false">Supuestos!$C$23*B65/Supuestos!$F$33</f>
        <v>1516666.66666667</v>
      </c>
      <c r="F65" s="55" t="n">
        <f aca="false">Supuestos!$C$24</f>
        <v>100000</v>
      </c>
      <c r="G65" s="55" t="n">
        <f aca="false">C65-D65-E65-F65</f>
        <v>5827533.33333333</v>
      </c>
      <c r="H65" s="55" t="n">
        <f aca="false">MAX(0,G65)*Supuestos!$B$28</f>
        <v>1165506.66666667</v>
      </c>
      <c r="I65" s="56" t="n">
        <f aca="false">G65-H65</f>
        <v>4662026.66666667</v>
      </c>
      <c r="J65" s="55" t="n">
        <f aca="false">IFERROR(INDEX(Préstamo!$G$18:$G$57,MATCH(A65,Préstamo!$C$18:$C$57,0)),0)</f>
        <v>0</v>
      </c>
      <c r="K65" s="55" t="n">
        <f aca="false">SUMPRODUCT((Supuestos!$G$6:$G$12&lt;=A65)*(Supuestos!$H$6:$H$12&gt;=A65)*Supuestos!$I$6:$I$12)/Supuestos!$B$43+IF(AND(A65&gt;=Supuestos!$B$46,A65&lt;=EDATE(Supuestos!$B$46,Supuestos!$B$43-1)),Supuestos!$B$45/Supuestos!$B$43,0)</f>
        <v>0</v>
      </c>
      <c r="L65" s="56" t="n">
        <f aca="false">I65-J65-K65</f>
        <v>4662026.66666667</v>
      </c>
      <c r="M65" s="55" t="n">
        <f aca="false">M64+L65</f>
        <v>161440041.11406</v>
      </c>
      <c r="N65" s="56" t="n">
        <f aca="false">I65-J65</f>
        <v>4662026.66666667</v>
      </c>
      <c r="O65" s="55" t="n">
        <f aca="false">O64+N65</f>
        <v>210503666.11406</v>
      </c>
      <c r="P65" s="55" t="n">
        <f aca="false">K65-IF(A65=Supuestos!$F$35,Supuestos!$F$28,0)</f>
        <v>0</v>
      </c>
      <c r="Q65" s="55" t="n">
        <f aca="false">Q64+P65</f>
        <v>49063625</v>
      </c>
      <c r="R65" s="55" t="n">
        <f aca="false">R64+(G65-MAX(0,G65)*Supuestos!$B$29)</f>
        <v>290403480</v>
      </c>
      <c r="S65" s="55" t="n">
        <f aca="false">S64+(G65-MAX(0,G65)*Supuestos!$B$30)</f>
        <v>258136426.666666</v>
      </c>
      <c r="T65" s="55" t="n">
        <f aca="false">T64+(G65-MAX(0,G65)*Supuestos!$B$31)</f>
        <v>225869373.333334</v>
      </c>
    </row>
    <row r="66" customFormat="false" ht="15" hidden="false" customHeight="false" outlineLevel="0" collapsed="false">
      <c r="A66" s="21" t="n">
        <f aca="false">EDATE(A65,1)</f>
        <v>48122</v>
      </c>
      <c r="B66" s="19" t="n">
        <f aca="false">SUMPRODUCT(--(Supuestos!$D$6:$D$12&lt;=A66))</f>
        <v>7</v>
      </c>
      <c r="C66" s="15" t="n">
        <f aca="false">SUMPRODUCT((Supuestos!$D$6:$D$12&lt;=A66)*Supuestos!$C$6:$C$12)+IF(A66&gt;=Supuestos!$F$31,B66*Supuestos!$F$30*Supuestos!$F$29*Supuestos!$F$32,0)</f>
        <v>9246000</v>
      </c>
      <c r="D66" s="15" t="n">
        <f aca="false">IF(B66=0,0,Supuestos!$B$22+(Supuestos!$C$22-Supuestos!$B$22)*(B66-1)/(Supuestos!$F$33-1))-IF(A66&gt;=Supuestos!$B$46,Supuestos!$B$47,0)</f>
        <v>1801800</v>
      </c>
      <c r="E66" s="15" t="n">
        <f aca="false">Supuestos!$C$23*B66/Supuestos!$F$33</f>
        <v>1516666.66666667</v>
      </c>
      <c r="F66" s="15" t="n">
        <f aca="false">Supuestos!$C$24</f>
        <v>100000</v>
      </c>
      <c r="G66" s="15" t="n">
        <f aca="false">C66-D66-E66-F66</f>
        <v>5827533.33333333</v>
      </c>
      <c r="H66" s="15" t="n">
        <f aca="false">MAX(0,G66)*Supuestos!$B$28</f>
        <v>1165506.66666667</v>
      </c>
      <c r="I66" s="17" t="n">
        <f aca="false">G66-H66</f>
        <v>4662026.66666667</v>
      </c>
      <c r="J66" s="15" t="n">
        <f aca="false">IFERROR(INDEX(Préstamo!$G$18:$G$57,MATCH(A66,Préstamo!$C$18:$C$57,0)),0)</f>
        <v>0</v>
      </c>
      <c r="K66" s="15" t="n">
        <f aca="false">SUMPRODUCT((Supuestos!$G$6:$G$12&lt;=A66)*(Supuestos!$H$6:$H$12&gt;=A66)*Supuestos!$I$6:$I$12)/Supuestos!$B$43+IF(AND(A66&gt;=Supuestos!$B$46,A66&lt;=EDATE(Supuestos!$B$46,Supuestos!$B$43-1)),Supuestos!$B$45/Supuestos!$B$43,0)</f>
        <v>0</v>
      </c>
      <c r="L66" s="17" t="n">
        <f aca="false">I66-J66-K66</f>
        <v>4662026.66666667</v>
      </c>
      <c r="M66" s="15" t="n">
        <f aca="false">M65+L66</f>
        <v>166102067.780726</v>
      </c>
      <c r="N66" s="17" t="n">
        <f aca="false">I66-J66</f>
        <v>4662026.66666667</v>
      </c>
      <c r="O66" s="15" t="n">
        <f aca="false">O65+N66</f>
        <v>215165692.780726</v>
      </c>
      <c r="P66" s="15" t="n">
        <f aca="false">K66-IF(A66=Supuestos!$F$35,Supuestos!$F$28,0)</f>
        <v>0</v>
      </c>
      <c r="Q66" s="15" t="n">
        <f aca="false">Q65+P66</f>
        <v>49063625</v>
      </c>
      <c r="R66" s="15" t="n">
        <f aca="false">R65+(G66-MAX(0,G66)*Supuestos!$B$29)</f>
        <v>295648260</v>
      </c>
      <c r="S66" s="15" t="n">
        <f aca="false">S65+(G66-MAX(0,G66)*Supuestos!$B$30)</f>
        <v>262798453.333333</v>
      </c>
      <c r="T66" s="15" t="n">
        <f aca="false">T65+(G66-MAX(0,G66)*Supuestos!$B$31)</f>
        <v>229948646.666667</v>
      </c>
    </row>
    <row r="67" customFormat="false" ht="15" hidden="false" customHeight="false" outlineLevel="0" collapsed="false">
      <c r="A67" s="21" t="n">
        <f aca="false">EDATE(A66,1)</f>
        <v>48153</v>
      </c>
      <c r="B67" s="19" t="n">
        <f aca="false">SUMPRODUCT(--(Supuestos!$D$6:$D$12&lt;=A67))</f>
        <v>7</v>
      </c>
      <c r="C67" s="15" t="n">
        <f aca="false">SUMPRODUCT((Supuestos!$D$6:$D$12&lt;=A67)*Supuestos!$C$6:$C$12)+IF(A67&gt;=Supuestos!$F$31,B67*Supuestos!$F$30*Supuestos!$F$29*Supuestos!$F$32,0)</f>
        <v>9246000</v>
      </c>
      <c r="D67" s="15" t="n">
        <f aca="false">IF(B67=0,0,Supuestos!$B$22+(Supuestos!$C$22-Supuestos!$B$22)*(B67-1)/(Supuestos!$F$33-1))-IF(A67&gt;=Supuestos!$B$46,Supuestos!$B$47,0)</f>
        <v>1801800</v>
      </c>
      <c r="E67" s="15" t="n">
        <f aca="false">Supuestos!$C$23*B67/Supuestos!$F$33</f>
        <v>1516666.66666667</v>
      </c>
      <c r="F67" s="15" t="n">
        <f aca="false">Supuestos!$C$24</f>
        <v>100000</v>
      </c>
      <c r="G67" s="15" t="n">
        <f aca="false">C67-D67-E67-F67</f>
        <v>5827533.33333333</v>
      </c>
      <c r="H67" s="15" t="n">
        <f aca="false">MAX(0,G67)*Supuestos!$B$28</f>
        <v>1165506.66666667</v>
      </c>
      <c r="I67" s="17" t="n">
        <f aca="false">G67-H67</f>
        <v>4662026.66666667</v>
      </c>
      <c r="J67" s="15" t="n">
        <f aca="false">IFERROR(INDEX(Préstamo!$G$18:$G$57,MATCH(A67,Préstamo!$C$18:$C$57,0)),0)</f>
        <v>0</v>
      </c>
      <c r="K67" s="15" t="n">
        <f aca="false">SUMPRODUCT((Supuestos!$G$6:$G$12&lt;=A67)*(Supuestos!$H$6:$H$12&gt;=A67)*Supuestos!$I$6:$I$12)/Supuestos!$B$43+IF(AND(A67&gt;=Supuestos!$B$46,A67&lt;=EDATE(Supuestos!$B$46,Supuestos!$B$43-1)),Supuestos!$B$45/Supuestos!$B$43,0)</f>
        <v>0</v>
      </c>
      <c r="L67" s="17" t="n">
        <f aca="false">I67-J67-K67</f>
        <v>4662026.66666667</v>
      </c>
      <c r="M67" s="15" t="n">
        <f aca="false">M66+L67</f>
        <v>170764094.447393</v>
      </c>
      <c r="N67" s="17" t="n">
        <f aca="false">I67-J67</f>
        <v>4662026.66666667</v>
      </c>
      <c r="O67" s="15" t="n">
        <f aca="false">O66+N67</f>
        <v>219827719.447393</v>
      </c>
      <c r="P67" s="15" t="n">
        <f aca="false">K67-IF(A67=Supuestos!$F$35,Supuestos!$F$28,0)</f>
        <v>0</v>
      </c>
      <c r="Q67" s="15" t="n">
        <f aca="false">Q66+P67</f>
        <v>49063625</v>
      </c>
      <c r="R67" s="15" t="n">
        <f aca="false">R66+(G67-MAX(0,G67)*Supuestos!$B$29)</f>
        <v>300893040</v>
      </c>
      <c r="S67" s="15" t="n">
        <f aca="false">S66+(G67-MAX(0,G67)*Supuestos!$B$30)</f>
        <v>267460480</v>
      </c>
      <c r="T67" s="15" t="n">
        <f aca="false">T66+(G67-MAX(0,G67)*Supuestos!$B$31)</f>
        <v>234027920</v>
      </c>
    </row>
    <row r="68" customFormat="false" ht="15" hidden="false" customHeight="false" outlineLevel="0" collapsed="false">
      <c r="A68" s="21" t="n">
        <f aca="false">EDATE(A67,1)</f>
        <v>48183</v>
      </c>
      <c r="B68" s="19" t="n">
        <f aca="false">SUMPRODUCT(--(Supuestos!$D$6:$D$12&lt;=A68))</f>
        <v>7</v>
      </c>
      <c r="C68" s="15" t="n">
        <f aca="false">SUMPRODUCT((Supuestos!$D$6:$D$12&lt;=A68)*Supuestos!$C$6:$C$12)+IF(A68&gt;=Supuestos!$F$31,B68*Supuestos!$F$30*Supuestos!$F$29*Supuestos!$F$32,0)</f>
        <v>9246000</v>
      </c>
      <c r="D68" s="15" t="n">
        <f aca="false">IF(B68=0,0,Supuestos!$B$22+(Supuestos!$C$22-Supuestos!$B$22)*(B68-1)/(Supuestos!$F$33-1))-IF(A68&gt;=Supuestos!$B$46,Supuestos!$B$47,0)</f>
        <v>1801800</v>
      </c>
      <c r="E68" s="15" t="n">
        <f aca="false">Supuestos!$C$23*B68/Supuestos!$F$33</f>
        <v>1516666.66666667</v>
      </c>
      <c r="F68" s="15" t="n">
        <f aca="false">Supuestos!$C$24</f>
        <v>100000</v>
      </c>
      <c r="G68" s="15" t="n">
        <f aca="false">C68-D68-E68-F68</f>
        <v>5827533.33333333</v>
      </c>
      <c r="H68" s="15" t="n">
        <f aca="false">MAX(0,G68)*Supuestos!$B$28</f>
        <v>1165506.66666667</v>
      </c>
      <c r="I68" s="17" t="n">
        <f aca="false">G68-H68</f>
        <v>4662026.66666667</v>
      </c>
      <c r="J68" s="15" t="n">
        <f aca="false">IFERROR(INDEX(Préstamo!$G$18:$G$57,MATCH(A68,Préstamo!$C$18:$C$57,0)),0)</f>
        <v>0</v>
      </c>
      <c r="K68" s="15" t="n">
        <f aca="false">SUMPRODUCT((Supuestos!$G$6:$G$12&lt;=A68)*(Supuestos!$H$6:$H$12&gt;=A68)*Supuestos!$I$6:$I$12)/Supuestos!$B$43+IF(AND(A68&gt;=Supuestos!$B$46,A68&lt;=EDATE(Supuestos!$B$46,Supuestos!$B$43-1)),Supuestos!$B$45/Supuestos!$B$43,0)</f>
        <v>0</v>
      </c>
      <c r="L68" s="17" t="n">
        <f aca="false">I68-J68-K68</f>
        <v>4662026.66666667</v>
      </c>
      <c r="M68" s="15" t="n">
        <f aca="false">M67+L68</f>
        <v>175426121.11406</v>
      </c>
      <c r="N68" s="17" t="n">
        <f aca="false">I68-J68</f>
        <v>4662026.66666667</v>
      </c>
      <c r="O68" s="15" t="n">
        <f aca="false">O67+N68</f>
        <v>224489746.11406</v>
      </c>
      <c r="P68" s="15" t="n">
        <f aca="false">K68-IF(A68=Supuestos!$F$35,Supuestos!$F$28,0)</f>
        <v>0</v>
      </c>
      <c r="Q68" s="15" t="n">
        <f aca="false">Q67+P68</f>
        <v>49063625</v>
      </c>
      <c r="R68" s="15" t="n">
        <f aca="false">R67+(G68-MAX(0,G68)*Supuestos!$B$29)</f>
        <v>306137820</v>
      </c>
      <c r="S68" s="15" t="n">
        <f aca="false">S67+(G68-MAX(0,G68)*Supuestos!$B$30)</f>
        <v>272122506.666666</v>
      </c>
      <c r="T68" s="15" t="n">
        <f aca="false">T67+(G68-MAX(0,G68)*Supuestos!$B$31)</f>
        <v>238107193.333334</v>
      </c>
    </row>
    <row r="69" customFormat="false" ht="15" hidden="false" customHeight="false" outlineLevel="0" collapsed="false">
      <c r="A69" s="21" t="n">
        <f aca="false">EDATE(A68,1)</f>
        <v>48214</v>
      </c>
      <c r="B69" s="19" t="n">
        <f aca="false">SUMPRODUCT(--(Supuestos!$D$6:$D$12&lt;=A69))</f>
        <v>7</v>
      </c>
      <c r="C69" s="15" t="n">
        <f aca="false">SUMPRODUCT((Supuestos!$D$6:$D$12&lt;=A69)*Supuestos!$C$6:$C$12)+IF(A69&gt;=Supuestos!$F$31,B69*Supuestos!$F$30*Supuestos!$F$29*Supuestos!$F$32,0)</f>
        <v>9246000</v>
      </c>
      <c r="D69" s="15" t="n">
        <f aca="false">IF(B69=0,0,Supuestos!$B$22+(Supuestos!$C$22-Supuestos!$B$22)*(B69-1)/(Supuestos!$F$33-1))-IF(A69&gt;=Supuestos!$B$46,Supuestos!$B$47,0)</f>
        <v>1801800</v>
      </c>
      <c r="E69" s="15" t="n">
        <f aca="false">Supuestos!$C$23*B69/Supuestos!$F$33</f>
        <v>1516666.66666667</v>
      </c>
      <c r="F69" s="15" t="n">
        <f aca="false">Supuestos!$C$24</f>
        <v>100000</v>
      </c>
      <c r="G69" s="15" t="n">
        <f aca="false">C69-D69-E69-F69</f>
        <v>5827533.33333333</v>
      </c>
      <c r="H69" s="15" t="n">
        <f aca="false">MAX(0,G69)*Supuestos!$B$28</f>
        <v>1165506.66666667</v>
      </c>
      <c r="I69" s="17" t="n">
        <f aca="false">G69-H69</f>
        <v>4662026.66666667</v>
      </c>
      <c r="J69" s="15" t="n">
        <f aca="false">IFERROR(INDEX(Préstamo!$G$18:$G$57,MATCH(A69,Préstamo!$C$18:$C$57,0)),0)</f>
        <v>0</v>
      </c>
      <c r="K69" s="15" t="n">
        <f aca="false">SUMPRODUCT((Supuestos!$G$6:$G$12&lt;=A69)*(Supuestos!$H$6:$H$12&gt;=A69)*Supuestos!$I$6:$I$12)/Supuestos!$B$43+IF(AND(A69&gt;=Supuestos!$B$46,A69&lt;=EDATE(Supuestos!$B$46,Supuestos!$B$43-1)),Supuestos!$B$45/Supuestos!$B$43,0)</f>
        <v>0</v>
      </c>
      <c r="L69" s="17" t="n">
        <f aca="false">I69-J69-K69</f>
        <v>4662026.66666667</v>
      </c>
      <c r="M69" s="15" t="n">
        <f aca="false">M68+L69</f>
        <v>180088147.780726</v>
      </c>
      <c r="N69" s="17" t="n">
        <f aca="false">I69-J69</f>
        <v>4662026.66666667</v>
      </c>
      <c r="O69" s="15" t="n">
        <f aca="false">O68+N69</f>
        <v>229151772.780726</v>
      </c>
      <c r="P69" s="15" t="n">
        <f aca="false">K69-IF(A69=Supuestos!$F$35,Supuestos!$F$28,0)</f>
        <v>0</v>
      </c>
      <c r="Q69" s="15" t="n">
        <f aca="false">Q68+P69</f>
        <v>49063625</v>
      </c>
      <c r="R69" s="15" t="n">
        <f aca="false">R68+(G69-MAX(0,G69)*Supuestos!$B$29)</f>
        <v>311382600</v>
      </c>
      <c r="S69" s="15" t="n">
        <f aca="false">S68+(G69-MAX(0,G69)*Supuestos!$B$30)</f>
        <v>276784533.333333</v>
      </c>
      <c r="T69" s="15" t="n">
        <f aca="false">T68+(G69-MAX(0,G69)*Supuestos!$B$31)</f>
        <v>242186466.666667</v>
      </c>
    </row>
    <row r="70" customFormat="false" ht="15" hidden="false" customHeight="false" outlineLevel="0" collapsed="false">
      <c r="A70" s="21" t="n">
        <f aca="false">EDATE(A69,1)</f>
        <v>48245</v>
      </c>
      <c r="B70" s="19" t="n">
        <f aca="false">SUMPRODUCT(--(Supuestos!$D$6:$D$12&lt;=A70))</f>
        <v>7</v>
      </c>
      <c r="C70" s="15" t="n">
        <f aca="false">SUMPRODUCT((Supuestos!$D$6:$D$12&lt;=A70)*Supuestos!$C$6:$C$12)+IF(A70&gt;=Supuestos!$F$31,B70*Supuestos!$F$30*Supuestos!$F$29*Supuestos!$F$32,0)</f>
        <v>9246000</v>
      </c>
      <c r="D70" s="15" t="n">
        <f aca="false">IF(B70=0,0,Supuestos!$B$22+(Supuestos!$C$22-Supuestos!$B$22)*(B70-1)/(Supuestos!$F$33-1))-IF(A70&gt;=Supuestos!$B$46,Supuestos!$B$47,0)</f>
        <v>1801800</v>
      </c>
      <c r="E70" s="15" t="n">
        <f aca="false">Supuestos!$C$23*B70/Supuestos!$F$33</f>
        <v>1516666.66666667</v>
      </c>
      <c r="F70" s="15" t="n">
        <f aca="false">Supuestos!$C$24</f>
        <v>100000</v>
      </c>
      <c r="G70" s="15" t="n">
        <f aca="false">C70-D70-E70-F70</f>
        <v>5827533.33333333</v>
      </c>
      <c r="H70" s="15" t="n">
        <f aca="false">MAX(0,G70)*Supuestos!$B$28</f>
        <v>1165506.66666667</v>
      </c>
      <c r="I70" s="17" t="n">
        <f aca="false">G70-H70</f>
        <v>4662026.66666667</v>
      </c>
      <c r="J70" s="15" t="n">
        <f aca="false">IFERROR(INDEX(Préstamo!$G$18:$G$57,MATCH(A70,Préstamo!$C$18:$C$57,0)),0)</f>
        <v>0</v>
      </c>
      <c r="K70" s="15" t="n">
        <f aca="false">SUMPRODUCT((Supuestos!$G$6:$G$12&lt;=A70)*(Supuestos!$H$6:$H$12&gt;=A70)*Supuestos!$I$6:$I$12)/Supuestos!$B$43+IF(AND(A70&gt;=Supuestos!$B$46,A70&lt;=EDATE(Supuestos!$B$46,Supuestos!$B$43-1)),Supuestos!$B$45/Supuestos!$B$43,0)</f>
        <v>0</v>
      </c>
      <c r="L70" s="17" t="n">
        <f aca="false">I70-J70-K70</f>
        <v>4662026.66666667</v>
      </c>
      <c r="M70" s="15" t="n">
        <f aca="false">M69+L70</f>
        <v>184750174.447393</v>
      </c>
      <c r="N70" s="17" t="n">
        <f aca="false">I70-J70</f>
        <v>4662026.66666667</v>
      </c>
      <c r="O70" s="15" t="n">
        <f aca="false">O69+N70</f>
        <v>233813799.447393</v>
      </c>
      <c r="P70" s="15" t="n">
        <f aca="false">K70-IF(A70=Supuestos!$F$35,Supuestos!$F$28,0)</f>
        <v>0</v>
      </c>
      <c r="Q70" s="15" t="n">
        <f aca="false">Q69+P70</f>
        <v>49063625</v>
      </c>
      <c r="R70" s="15" t="n">
        <f aca="false">R69+(G70-MAX(0,G70)*Supuestos!$B$29)</f>
        <v>316627380</v>
      </c>
      <c r="S70" s="15" t="n">
        <f aca="false">S69+(G70-MAX(0,G70)*Supuestos!$B$30)</f>
        <v>281446560</v>
      </c>
      <c r="T70" s="15" t="n">
        <f aca="false">T69+(G70-MAX(0,G70)*Supuestos!$B$31)</f>
        <v>246265740</v>
      </c>
    </row>
    <row r="71" customFormat="false" ht="15" hidden="false" customHeight="false" outlineLevel="0" collapsed="false">
      <c r="A71" s="21" t="n">
        <f aca="false">EDATE(A70,1)</f>
        <v>48274</v>
      </c>
      <c r="B71" s="19" t="n">
        <f aca="false">SUMPRODUCT(--(Supuestos!$D$6:$D$12&lt;=A71))</f>
        <v>7</v>
      </c>
      <c r="C71" s="15" t="n">
        <f aca="false">SUMPRODUCT((Supuestos!$D$6:$D$12&lt;=A71)*Supuestos!$C$6:$C$12)+IF(A71&gt;=Supuestos!$F$31,B71*Supuestos!$F$30*Supuestos!$F$29*Supuestos!$F$32,0)</f>
        <v>9246000</v>
      </c>
      <c r="D71" s="15" t="n">
        <f aca="false">IF(B71=0,0,Supuestos!$B$22+(Supuestos!$C$22-Supuestos!$B$22)*(B71-1)/(Supuestos!$F$33-1))-IF(A71&gt;=Supuestos!$B$46,Supuestos!$B$47,0)</f>
        <v>1801800</v>
      </c>
      <c r="E71" s="15" t="n">
        <f aca="false">Supuestos!$C$23*B71/Supuestos!$F$33</f>
        <v>1516666.66666667</v>
      </c>
      <c r="F71" s="15" t="n">
        <f aca="false">Supuestos!$C$24</f>
        <v>100000</v>
      </c>
      <c r="G71" s="15" t="n">
        <f aca="false">C71-D71-E71-F71</f>
        <v>5827533.33333333</v>
      </c>
      <c r="H71" s="15" t="n">
        <f aca="false">MAX(0,G71)*Supuestos!$B$28</f>
        <v>1165506.66666667</v>
      </c>
      <c r="I71" s="17" t="n">
        <f aca="false">G71-H71</f>
        <v>4662026.66666667</v>
      </c>
      <c r="J71" s="15" t="n">
        <f aca="false">IFERROR(INDEX(Préstamo!$G$18:$G$57,MATCH(A71,Préstamo!$C$18:$C$57,0)),0)</f>
        <v>0</v>
      </c>
      <c r="K71" s="15" t="n">
        <f aca="false">SUMPRODUCT((Supuestos!$G$6:$G$12&lt;=A71)*(Supuestos!$H$6:$H$12&gt;=A71)*Supuestos!$I$6:$I$12)/Supuestos!$B$43+IF(AND(A71&gt;=Supuestos!$B$46,A71&lt;=EDATE(Supuestos!$B$46,Supuestos!$B$43-1)),Supuestos!$B$45/Supuestos!$B$43,0)</f>
        <v>0</v>
      </c>
      <c r="L71" s="17" t="n">
        <f aca="false">I71-J71-K71</f>
        <v>4662026.66666667</v>
      </c>
      <c r="M71" s="15" t="n">
        <f aca="false">M70+L71</f>
        <v>189412201.11406</v>
      </c>
      <c r="N71" s="17" t="n">
        <f aca="false">I71-J71</f>
        <v>4662026.66666667</v>
      </c>
      <c r="O71" s="15" t="n">
        <f aca="false">O70+N71</f>
        <v>238475826.11406</v>
      </c>
      <c r="P71" s="15" t="n">
        <f aca="false">K71-IF(A71=Supuestos!$F$35,Supuestos!$F$28,0)</f>
        <v>0</v>
      </c>
      <c r="Q71" s="15" t="n">
        <f aca="false">Q70+P71</f>
        <v>49063625</v>
      </c>
      <c r="R71" s="15" t="n">
        <f aca="false">R70+(G71-MAX(0,G71)*Supuestos!$B$29)</f>
        <v>321872160</v>
      </c>
      <c r="S71" s="15" t="n">
        <f aca="false">S70+(G71-MAX(0,G71)*Supuestos!$B$30)</f>
        <v>286108586.666667</v>
      </c>
      <c r="T71" s="15" t="n">
        <f aca="false">T70+(G71-MAX(0,G71)*Supuestos!$B$31)</f>
        <v>250345013.333334</v>
      </c>
    </row>
    <row r="72" customFormat="false" ht="15" hidden="false" customHeight="false" outlineLevel="0" collapsed="false">
      <c r="A72" s="21" t="n">
        <f aca="false">EDATE(A71,1)</f>
        <v>48305</v>
      </c>
      <c r="B72" s="19" t="n">
        <f aca="false">SUMPRODUCT(--(Supuestos!$D$6:$D$12&lt;=A72))</f>
        <v>7</v>
      </c>
      <c r="C72" s="15" t="n">
        <f aca="false">SUMPRODUCT((Supuestos!$D$6:$D$12&lt;=A72)*Supuestos!$C$6:$C$12)+IF(A72&gt;=Supuestos!$F$31,B72*Supuestos!$F$30*Supuestos!$F$29*Supuestos!$F$32,0)</f>
        <v>9246000</v>
      </c>
      <c r="D72" s="15" t="n">
        <f aca="false">IF(B72=0,0,Supuestos!$B$22+(Supuestos!$C$22-Supuestos!$B$22)*(B72-1)/(Supuestos!$F$33-1))-IF(A72&gt;=Supuestos!$B$46,Supuestos!$B$47,0)</f>
        <v>1801800</v>
      </c>
      <c r="E72" s="15" t="n">
        <f aca="false">Supuestos!$C$23*B72/Supuestos!$F$33</f>
        <v>1516666.66666667</v>
      </c>
      <c r="F72" s="15" t="n">
        <f aca="false">Supuestos!$C$24</f>
        <v>100000</v>
      </c>
      <c r="G72" s="15" t="n">
        <f aca="false">C72-D72-E72-F72</f>
        <v>5827533.33333333</v>
      </c>
      <c r="H72" s="15" t="n">
        <f aca="false">MAX(0,G72)*Supuestos!$B$28</f>
        <v>1165506.66666667</v>
      </c>
      <c r="I72" s="17" t="n">
        <f aca="false">G72-H72</f>
        <v>4662026.66666667</v>
      </c>
      <c r="J72" s="15" t="n">
        <f aca="false">IFERROR(INDEX(Préstamo!$G$18:$G$57,MATCH(A72,Préstamo!$C$18:$C$57,0)),0)</f>
        <v>0</v>
      </c>
      <c r="K72" s="15" t="n">
        <f aca="false">SUMPRODUCT((Supuestos!$G$6:$G$12&lt;=A72)*(Supuestos!$H$6:$H$12&gt;=A72)*Supuestos!$I$6:$I$12)/Supuestos!$B$43+IF(AND(A72&gt;=Supuestos!$B$46,A72&lt;=EDATE(Supuestos!$B$46,Supuestos!$B$43-1)),Supuestos!$B$45/Supuestos!$B$43,0)</f>
        <v>0</v>
      </c>
      <c r="L72" s="17" t="n">
        <f aca="false">I72-J72-K72</f>
        <v>4662026.66666667</v>
      </c>
      <c r="M72" s="15" t="n">
        <f aca="false">M71+L72</f>
        <v>194074227.780726</v>
      </c>
      <c r="N72" s="17" t="n">
        <f aca="false">I72-J72</f>
        <v>4662026.66666667</v>
      </c>
      <c r="O72" s="15" t="n">
        <f aca="false">O71+N72</f>
        <v>243137852.780726</v>
      </c>
      <c r="P72" s="15" t="n">
        <f aca="false">K72-IF(A72=Supuestos!$F$35,Supuestos!$F$28,0)</f>
        <v>0</v>
      </c>
      <c r="Q72" s="15" t="n">
        <f aca="false">Q71+P72</f>
        <v>49063625</v>
      </c>
      <c r="R72" s="15" t="n">
        <f aca="false">R71+(G72-MAX(0,G72)*Supuestos!$B$29)</f>
        <v>327116940</v>
      </c>
      <c r="S72" s="15" t="n">
        <f aca="false">S71+(G72-MAX(0,G72)*Supuestos!$B$30)</f>
        <v>290770613.333333</v>
      </c>
      <c r="T72" s="15" t="n">
        <f aca="false">T71+(G72-MAX(0,G72)*Supuestos!$B$31)</f>
        <v>254424286.666667</v>
      </c>
    </row>
    <row r="73" customFormat="false" ht="15" hidden="false" customHeight="false" outlineLevel="0" collapsed="false">
      <c r="A73" s="21" t="n">
        <f aca="false">EDATE(A72,1)</f>
        <v>48335</v>
      </c>
      <c r="B73" s="19" t="n">
        <f aca="false">SUMPRODUCT(--(Supuestos!$D$6:$D$12&lt;=A73))</f>
        <v>7</v>
      </c>
      <c r="C73" s="15" t="n">
        <f aca="false">SUMPRODUCT((Supuestos!$D$6:$D$12&lt;=A73)*Supuestos!$C$6:$C$12)+IF(A73&gt;=Supuestos!$F$31,B73*Supuestos!$F$30*Supuestos!$F$29*Supuestos!$F$32,0)</f>
        <v>9246000</v>
      </c>
      <c r="D73" s="15" t="n">
        <f aca="false">IF(B73=0,0,Supuestos!$B$22+(Supuestos!$C$22-Supuestos!$B$22)*(B73-1)/(Supuestos!$F$33-1))-IF(A73&gt;=Supuestos!$B$46,Supuestos!$B$47,0)</f>
        <v>1801800</v>
      </c>
      <c r="E73" s="15" t="n">
        <f aca="false">Supuestos!$C$23*B73/Supuestos!$F$33</f>
        <v>1516666.66666667</v>
      </c>
      <c r="F73" s="15" t="n">
        <f aca="false">Supuestos!$C$24</f>
        <v>100000</v>
      </c>
      <c r="G73" s="15" t="n">
        <f aca="false">C73-D73-E73-F73</f>
        <v>5827533.33333333</v>
      </c>
      <c r="H73" s="15" t="n">
        <f aca="false">MAX(0,G73)*Supuestos!$B$28</f>
        <v>1165506.66666667</v>
      </c>
      <c r="I73" s="17" t="n">
        <f aca="false">G73-H73</f>
        <v>4662026.66666667</v>
      </c>
      <c r="J73" s="15" t="n">
        <f aca="false">IFERROR(INDEX(Préstamo!$G$18:$G$57,MATCH(A73,Préstamo!$C$18:$C$57,0)),0)</f>
        <v>0</v>
      </c>
      <c r="K73" s="15" t="n">
        <f aca="false">SUMPRODUCT((Supuestos!$G$6:$G$12&lt;=A73)*(Supuestos!$H$6:$H$12&gt;=A73)*Supuestos!$I$6:$I$12)/Supuestos!$B$43+IF(AND(A73&gt;=Supuestos!$B$46,A73&lt;=EDATE(Supuestos!$B$46,Supuestos!$B$43-1)),Supuestos!$B$45/Supuestos!$B$43,0)</f>
        <v>0</v>
      </c>
      <c r="L73" s="17" t="n">
        <f aca="false">I73-J73-K73</f>
        <v>4662026.66666667</v>
      </c>
      <c r="M73" s="15" t="n">
        <f aca="false">M72+L73</f>
        <v>198736254.447393</v>
      </c>
      <c r="N73" s="17" t="n">
        <f aca="false">I73-J73</f>
        <v>4662026.66666667</v>
      </c>
      <c r="O73" s="15" t="n">
        <f aca="false">O72+N73</f>
        <v>247799879.447393</v>
      </c>
      <c r="P73" s="15" t="n">
        <f aca="false">K73-IF(A73=Supuestos!$F$35,Supuestos!$F$28,0)</f>
        <v>0</v>
      </c>
      <c r="Q73" s="15" t="n">
        <f aca="false">Q72+P73</f>
        <v>49063625</v>
      </c>
      <c r="R73" s="15" t="n">
        <f aca="false">R72+(G73-MAX(0,G73)*Supuestos!$B$29)</f>
        <v>332361720</v>
      </c>
      <c r="S73" s="15" t="n">
        <f aca="false">S72+(G73-MAX(0,G73)*Supuestos!$B$30)</f>
        <v>295432640</v>
      </c>
      <c r="T73" s="15" t="n">
        <f aca="false">T72+(G73-MAX(0,G73)*Supuestos!$B$31)</f>
        <v>258503560</v>
      </c>
    </row>
    <row r="74" customFormat="false" ht="15" hidden="false" customHeight="false" outlineLevel="0" collapsed="false">
      <c r="A74" s="21" t="n">
        <f aca="false">EDATE(A73,1)</f>
        <v>48366</v>
      </c>
      <c r="B74" s="19" t="n">
        <f aca="false">SUMPRODUCT(--(Supuestos!$D$6:$D$12&lt;=A74))</f>
        <v>7</v>
      </c>
      <c r="C74" s="15" t="n">
        <f aca="false">SUMPRODUCT((Supuestos!$D$6:$D$12&lt;=A74)*Supuestos!$C$6:$C$12)+IF(A74&gt;=Supuestos!$F$31,B74*Supuestos!$F$30*Supuestos!$F$29*Supuestos!$F$32,0)</f>
        <v>9246000</v>
      </c>
      <c r="D74" s="15" t="n">
        <f aca="false">IF(B74=0,0,Supuestos!$B$22+(Supuestos!$C$22-Supuestos!$B$22)*(B74-1)/(Supuestos!$F$33-1))-IF(A74&gt;=Supuestos!$B$46,Supuestos!$B$47,0)</f>
        <v>1801800</v>
      </c>
      <c r="E74" s="15" t="n">
        <f aca="false">Supuestos!$C$23*B74/Supuestos!$F$33</f>
        <v>1516666.66666667</v>
      </c>
      <c r="F74" s="15" t="n">
        <f aca="false">Supuestos!$C$24</f>
        <v>100000</v>
      </c>
      <c r="G74" s="15" t="n">
        <f aca="false">C74-D74-E74-F74</f>
        <v>5827533.33333333</v>
      </c>
      <c r="H74" s="15" t="n">
        <f aca="false">MAX(0,G74)*Supuestos!$B$28</f>
        <v>1165506.66666667</v>
      </c>
      <c r="I74" s="17" t="n">
        <f aca="false">G74-H74</f>
        <v>4662026.66666667</v>
      </c>
      <c r="J74" s="15" t="n">
        <f aca="false">IFERROR(INDEX(Préstamo!$G$18:$G$57,MATCH(A74,Préstamo!$C$18:$C$57,0)),0)</f>
        <v>0</v>
      </c>
      <c r="K74" s="15" t="n">
        <f aca="false">SUMPRODUCT((Supuestos!$G$6:$G$12&lt;=A74)*(Supuestos!$H$6:$H$12&gt;=A74)*Supuestos!$I$6:$I$12)/Supuestos!$B$43+IF(AND(A74&gt;=Supuestos!$B$46,A74&lt;=EDATE(Supuestos!$B$46,Supuestos!$B$43-1)),Supuestos!$B$45/Supuestos!$B$43,0)</f>
        <v>0</v>
      </c>
      <c r="L74" s="17" t="n">
        <f aca="false">I74-J74-K74</f>
        <v>4662026.66666667</v>
      </c>
      <c r="M74" s="15" t="n">
        <f aca="false">M73+L74</f>
        <v>203398281.11406</v>
      </c>
      <c r="N74" s="17" t="n">
        <f aca="false">I74-J74</f>
        <v>4662026.66666667</v>
      </c>
      <c r="O74" s="15" t="n">
        <f aca="false">O73+N74</f>
        <v>252461906.114059</v>
      </c>
      <c r="P74" s="15" t="n">
        <f aca="false">K74-IF(A74=Supuestos!$F$35,Supuestos!$F$28,0)</f>
        <v>0</v>
      </c>
      <c r="Q74" s="15" t="n">
        <f aca="false">Q73+P74</f>
        <v>49063625</v>
      </c>
      <c r="R74" s="15" t="n">
        <f aca="false">R73+(G74-MAX(0,G74)*Supuestos!$B$29)</f>
        <v>337606500</v>
      </c>
      <c r="S74" s="15" t="n">
        <f aca="false">S73+(G74-MAX(0,G74)*Supuestos!$B$30)</f>
        <v>300094666.666667</v>
      </c>
      <c r="T74" s="15" t="n">
        <f aca="false">T73+(G74-MAX(0,G74)*Supuestos!$B$31)</f>
        <v>262582833.333334</v>
      </c>
    </row>
    <row r="75" customFormat="false" ht="15" hidden="false" customHeight="false" outlineLevel="0" collapsed="false">
      <c r="A75" s="21" t="n">
        <f aca="false">EDATE(A74,1)</f>
        <v>48396</v>
      </c>
      <c r="B75" s="19" t="n">
        <f aca="false">SUMPRODUCT(--(Supuestos!$D$6:$D$12&lt;=A75))</f>
        <v>7</v>
      </c>
      <c r="C75" s="15" t="n">
        <f aca="false">SUMPRODUCT((Supuestos!$D$6:$D$12&lt;=A75)*Supuestos!$C$6:$C$12)+IF(A75&gt;=Supuestos!$F$31,B75*Supuestos!$F$30*Supuestos!$F$29*Supuestos!$F$32,0)</f>
        <v>9246000</v>
      </c>
      <c r="D75" s="15" t="n">
        <f aca="false">IF(B75=0,0,Supuestos!$B$22+(Supuestos!$C$22-Supuestos!$B$22)*(B75-1)/(Supuestos!$F$33-1))-IF(A75&gt;=Supuestos!$B$46,Supuestos!$B$47,0)</f>
        <v>1801800</v>
      </c>
      <c r="E75" s="15" t="n">
        <f aca="false">Supuestos!$C$23*B75/Supuestos!$F$33</f>
        <v>1516666.66666667</v>
      </c>
      <c r="F75" s="15" t="n">
        <f aca="false">Supuestos!$C$24</f>
        <v>100000</v>
      </c>
      <c r="G75" s="15" t="n">
        <f aca="false">C75-D75-E75-F75</f>
        <v>5827533.33333333</v>
      </c>
      <c r="H75" s="15" t="n">
        <f aca="false">MAX(0,G75)*Supuestos!$B$28</f>
        <v>1165506.66666667</v>
      </c>
      <c r="I75" s="17" t="n">
        <f aca="false">G75-H75</f>
        <v>4662026.66666667</v>
      </c>
      <c r="J75" s="15" t="n">
        <f aca="false">IFERROR(INDEX(Préstamo!$G$18:$G$57,MATCH(A75,Préstamo!$C$18:$C$57,0)),0)</f>
        <v>0</v>
      </c>
      <c r="K75" s="15" t="n">
        <f aca="false">SUMPRODUCT((Supuestos!$G$6:$G$12&lt;=A75)*(Supuestos!$H$6:$H$12&gt;=A75)*Supuestos!$I$6:$I$12)/Supuestos!$B$43+IF(AND(A75&gt;=Supuestos!$B$46,A75&lt;=EDATE(Supuestos!$B$46,Supuestos!$B$43-1)),Supuestos!$B$45/Supuestos!$B$43,0)</f>
        <v>0</v>
      </c>
      <c r="L75" s="17" t="n">
        <f aca="false">I75-J75-K75</f>
        <v>4662026.66666667</v>
      </c>
      <c r="M75" s="15" t="n">
        <f aca="false">M74+L75</f>
        <v>208060307.780726</v>
      </c>
      <c r="N75" s="17" t="n">
        <f aca="false">I75-J75</f>
        <v>4662026.66666667</v>
      </c>
      <c r="O75" s="15" t="n">
        <f aca="false">O74+N75</f>
        <v>257123932.780726</v>
      </c>
      <c r="P75" s="15" t="n">
        <f aca="false">K75-IF(A75=Supuestos!$F$35,Supuestos!$F$28,0)</f>
        <v>0</v>
      </c>
      <c r="Q75" s="15" t="n">
        <f aca="false">Q74+P75</f>
        <v>49063625</v>
      </c>
      <c r="R75" s="15" t="n">
        <f aca="false">R74+(G75-MAX(0,G75)*Supuestos!$B$29)</f>
        <v>342851280</v>
      </c>
      <c r="S75" s="15" t="n">
        <f aca="false">S74+(G75-MAX(0,G75)*Supuestos!$B$30)</f>
        <v>304756693.333333</v>
      </c>
      <c r="T75" s="15" t="n">
        <f aca="false">T74+(G75-MAX(0,G75)*Supuestos!$B$31)</f>
        <v>266662106.666667</v>
      </c>
    </row>
    <row r="76" customFormat="false" ht="15" hidden="false" customHeight="false" outlineLevel="0" collapsed="false">
      <c r="A76" s="21" t="n">
        <f aca="false">EDATE(A75,1)</f>
        <v>48427</v>
      </c>
      <c r="B76" s="19" t="n">
        <f aca="false">SUMPRODUCT(--(Supuestos!$D$6:$D$12&lt;=A76))</f>
        <v>7</v>
      </c>
      <c r="C76" s="15" t="n">
        <f aca="false">SUMPRODUCT((Supuestos!$D$6:$D$12&lt;=A76)*Supuestos!$C$6:$C$12)+IF(A76&gt;=Supuestos!$F$31,B76*Supuestos!$F$30*Supuestos!$F$29*Supuestos!$F$32,0)</f>
        <v>9246000</v>
      </c>
      <c r="D76" s="15" t="n">
        <f aca="false">IF(B76=0,0,Supuestos!$B$22+(Supuestos!$C$22-Supuestos!$B$22)*(B76-1)/(Supuestos!$F$33-1))-IF(A76&gt;=Supuestos!$B$46,Supuestos!$B$47,0)</f>
        <v>1801800</v>
      </c>
      <c r="E76" s="15" t="n">
        <f aca="false">Supuestos!$C$23*B76/Supuestos!$F$33</f>
        <v>1516666.66666667</v>
      </c>
      <c r="F76" s="15" t="n">
        <f aca="false">Supuestos!$C$24</f>
        <v>100000</v>
      </c>
      <c r="G76" s="15" t="n">
        <f aca="false">C76-D76-E76-F76</f>
        <v>5827533.33333333</v>
      </c>
      <c r="H76" s="15" t="n">
        <f aca="false">MAX(0,G76)*Supuestos!$B$28</f>
        <v>1165506.66666667</v>
      </c>
      <c r="I76" s="17" t="n">
        <f aca="false">G76-H76</f>
        <v>4662026.66666667</v>
      </c>
      <c r="J76" s="15" t="n">
        <f aca="false">IFERROR(INDEX(Préstamo!$G$18:$G$57,MATCH(A76,Préstamo!$C$18:$C$57,0)),0)</f>
        <v>0</v>
      </c>
      <c r="K76" s="15" t="n">
        <f aca="false">SUMPRODUCT((Supuestos!$G$6:$G$12&lt;=A76)*(Supuestos!$H$6:$H$12&gt;=A76)*Supuestos!$I$6:$I$12)/Supuestos!$B$43+IF(AND(A76&gt;=Supuestos!$B$46,A76&lt;=EDATE(Supuestos!$B$46,Supuestos!$B$43-1)),Supuestos!$B$45/Supuestos!$B$43,0)</f>
        <v>0</v>
      </c>
      <c r="L76" s="17" t="n">
        <f aca="false">I76-J76-K76</f>
        <v>4662026.66666667</v>
      </c>
      <c r="M76" s="15" t="n">
        <f aca="false">M75+L76</f>
        <v>212722334.447393</v>
      </c>
      <c r="N76" s="17" t="n">
        <f aca="false">I76-J76</f>
        <v>4662026.66666667</v>
      </c>
      <c r="O76" s="15" t="n">
        <f aca="false">O75+N76</f>
        <v>261785959.447393</v>
      </c>
      <c r="P76" s="15" t="n">
        <f aca="false">K76-IF(A76=Supuestos!$F$35,Supuestos!$F$28,0)</f>
        <v>0</v>
      </c>
      <c r="Q76" s="15" t="n">
        <f aca="false">Q75+P76</f>
        <v>49063625</v>
      </c>
      <c r="R76" s="15" t="n">
        <f aca="false">R75+(G76-MAX(0,G76)*Supuestos!$B$29)</f>
        <v>348096060</v>
      </c>
      <c r="S76" s="15" t="n">
        <f aca="false">S75+(G76-MAX(0,G76)*Supuestos!$B$30)</f>
        <v>309418720</v>
      </c>
      <c r="T76" s="15" t="n">
        <f aca="false">T75+(G76-MAX(0,G76)*Supuestos!$B$31)</f>
        <v>270741380</v>
      </c>
    </row>
    <row r="77" customFormat="false" ht="15" hidden="false" customHeight="false" outlineLevel="0" collapsed="false">
      <c r="A77" s="53" t="n">
        <f aca="false">EDATE(A76,1)</f>
        <v>48458</v>
      </c>
      <c r="B77" s="54" t="n">
        <f aca="false">SUMPRODUCT(--(Supuestos!$D$6:$D$12&lt;=A77))</f>
        <v>7</v>
      </c>
      <c r="C77" s="55" t="n">
        <f aca="false">SUMPRODUCT((Supuestos!$D$6:$D$12&lt;=A77)*Supuestos!$C$6:$C$12)+IF(A77&gt;=Supuestos!$F$31,B77*Supuestos!$F$30*Supuestos!$F$29*Supuestos!$F$32,0)</f>
        <v>9246000</v>
      </c>
      <c r="D77" s="55" t="n">
        <f aca="false">IF(B77=0,0,Supuestos!$B$22+(Supuestos!$C$22-Supuestos!$B$22)*(B77-1)/(Supuestos!$F$33-1))-IF(A77&gt;=Supuestos!$B$46,Supuestos!$B$47,0)</f>
        <v>1801800</v>
      </c>
      <c r="E77" s="55" t="n">
        <f aca="false">Supuestos!$C$23*B77/Supuestos!$F$33</f>
        <v>1516666.66666667</v>
      </c>
      <c r="F77" s="55" t="n">
        <f aca="false">Supuestos!$C$24</f>
        <v>100000</v>
      </c>
      <c r="G77" s="55" t="n">
        <f aca="false">C77-D77-E77-F77</f>
        <v>5827533.33333333</v>
      </c>
      <c r="H77" s="55" t="n">
        <f aca="false">MAX(0,G77)*Supuestos!$B$28</f>
        <v>1165506.66666667</v>
      </c>
      <c r="I77" s="56" t="n">
        <f aca="false">G77-H77</f>
        <v>4662026.66666667</v>
      </c>
      <c r="J77" s="55" t="n">
        <f aca="false">IFERROR(INDEX(Préstamo!$G$18:$G$57,MATCH(A77,Préstamo!$C$18:$C$57,0)),0)</f>
        <v>0</v>
      </c>
      <c r="K77" s="55" t="n">
        <f aca="false">SUMPRODUCT((Supuestos!$G$6:$G$12&lt;=A77)*(Supuestos!$H$6:$H$12&gt;=A77)*Supuestos!$I$6:$I$12)/Supuestos!$B$43+IF(AND(A77&gt;=Supuestos!$B$46,A77&lt;=EDATE(Supuestos!$B$46,Supuestos!$B$43-1)),Supuestos!$B$45/Supuestos!$B$43,0)</f>
        <v>0</v>
      </c>
      <c r="L77" s="56" t="n">
        <f aca="false">I77-J77-K77</f>
        <v>4662026.66666667</v>
      </c>
      <c r="M77" s="55" t="n">
        <f aca="false">M76+L77</f>
        <v>217384361.11406</v>
      </c>
      <c r="N77" s="56" t="n">
        <f aca="false">I77-J77</f>
        <v>4662026.66666667</v>
      </c>
      <c r="O77" s="55" t="n">
        <f aca="false">O76+N77</f>
        <v>266447986.114059</v>
      </c>
      <c r="P77" s="55" t="n">
        <f aca="false">K77-IF(A77=Supuestos!$F$35,Supuestos!$F$28,0)</f>
        <v>0</v>
      </c>
      <c r="Q77" s="55" t="n">
        <f aca="false">Q76+P77</f>
        <v>49063625</v>
      </c>
      <c r="R77" s="55" t="n">
        <f aca="false">R76+(G77-MAX(0,G77)*Supuestos!$B$29)</f>
        <v>353340840</v>
      </c>
      <c r="S77" s="55" t="n">
        <f aca="false">S76+(G77-MAX(0,G77)*Supuestos!$B$30)</f>
        <v>314080746.666667</v>
      </c>
      <c r="T77" s="55" t="n">
        <f aca="false">T76+(G77-MAX(0,G77)*Supuestos!$B$31)</f>
        <v>274820653.333334</v>
      </c>
    </row>
  </sheetData>
  <mergeCells count="4">
    <mergeCell ref="A4:I4"/>
    <mergeCell ref="J4:M4"/>
    <mergeCell ref="N4:Q4"/>
    <mergeCell ref="R4:T4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4" min="2" style="0" width="18"/>
  </cols>
  <sheetData>
    <row r="1" customFormat="false" ht="18.55" hidden="false" customHeight="false" outlineLevel="0" collapsed="false">
      <c r="A1" s="1" t="s">
        <v>341</v>
      </c>
    </row>
    <row r="2" customFormat="false" ht="15" hidden="false" customHeight="false" outlineLevel="0" collapsed="false">
      <c r="A2" s="2" t="s">
        <v>342</v>
      </c>
    </row>
    <row r="4" customFormat="false" ht="15" hidden="false" customHeight="false" outlineLevel="0" collapsed="false">
      <c r="A4" s="13" t="s">
        <v>343</v>
      </c>
    </row>
    <row r="5" customFormat="false" ht="15" hidden="false" customHeight="false" outlineLevel="0" collapsed="false">
      <c r="A5" s="5" t="s">
        <v>344</v>
      </c>
      <c r="B5" s="33" t="n">
        <f aca="false">SUMIFS(Movimientos!$I$6:$I$205,Movimientos!$M$6:$M$205,"Obra y adecuaciones",Movimientos!$L$6:$L$205,"Gasto")</f>
        <v>124705973</v>
      </c>
    </row>
    <row r="6" customFormat="false" ht="15" hidden="false" customHeight="false" outlineLevel="0" collapsed="false">
      <c r="A6" s="5" t="s">
        <v>345</v>
      </c>
      <c r="B6" s="33" t="n">
        <f aca="false">Supuestos!$I$13</f>
        <v>45862600</v>
      </c>
    </row>
    <row r="7" customFormat="false" ht="15" hidden="false" customHeight="false" outlineLevel="0" collapsed="false">
      <c r="A7" s="5" t="s">
        <v>19</v>
      </c>
      <c r="B7" s="33" t="n">
        <f aca="false">Supuestos!$B$45</f>
        <v>4020000</v>
      </c>
    </row>
    <row r="8" customFormat="false" ht="15" hidden="false" customHeight="false" outlineLevel="0" collapsed="false">
      <c r="A8" s="31" t="s">
        <v>346</v>
      </c>
      <c r="B8" s="17" t="n">
        <f aca="false">SUM(B5:B7)-Supuestos!$F$28</f>
        <v>174588573</v>
      </c>
    </row>
    <row r="9" customFormat="false" ht="15" hidden="false" customHeight="false" outlineLevel="0" collapsed="false">
      <c r="A9" s="5" t="s">
        <v>347</v>
      </c>
      <c r="B9" s="33" t="n">
        <f aca="false">Préstamo!$B$13</f>
        <v>12632760.552607</v>
      </c>
    </row>
    <row r="10" customFormat="false" ht="15" hidden="false" customHeight="false" outlineLevel="0" collapsed="false">
      <c r="A10" s="31" t="s">
        <v>22</v>
      </c>
      <c r="B10" s="17" t="n">
        <f aca="false">B8+B9</f>
        <v>187221333.552607</v>
      </c>
    </row>
    <row r="14" customFormat="false" ht="15" hidden="false" customHeight="false" outlineLevel="0" collapsed="false">
      <c r="A14" s="13" t="s">
        <v>348</v>
      </c>
    </row>
    <row r="15" customFormat="false" ht="30" hidden="false" customHeight="true" outlineLevel="0" collapsed="false">
      <c r="A15" s="24" t="s">
        <v>349</v>
      </c>
      <c r="B15" s="57" t="n">
        <f aca="false">Supuestos!$B$29</f>
        <v>0.1</v>
      </c>
      <c r="C15" s="57" t="n">
        <f aca="false">Supuestos!$B$30</f>
        <v>0.2</v>
      </c>
      <c r="D15" s="57" t="n">
        <f aca="false">Supuestos!$B$31</f>
        <v>0.3</v>
      </c>
    </row>
    <row r="16" customFormat="false" ht="15" hidden="false" customHeight="false" outlineLevel="0" collapsed="false">
      <c r="A16" s="5" t="s">
        <v>24</v>
      </c>
      <c r="B16" s="6" t="n">
        <f aca="false">Supuestos!$C$13+Supuestos!$F$30*Supuestos!$F$29*Supuestos!$F$32*COUNTA(Supuestos!$A$6:$A$12)</f>
        <v>9246000</v>
      </c>
      <c r="C16" s="6" t="n">
        <f aca="false">Supuestos!$C$13+Supuestos!$F$30*Supuestos!$F$29*Supuestos!$F$32*COUNTA(Supuestos!$A$6:$A$12)</f>
        <v>9246000</v>
      </c>
      <c r="D16" s="6" t="n">
        <f aca="false">Supuestos!$C$13+Supuestos!$F$30*Supuestos!$F$29*Supuestos!$F$32*COUNTA(Supuestos!$A$6:$A$12)</f>
        <v>9246000</v>
      </c>
    </row>
    <row r="17" customFormat="false" ht="15" hidden="false" customHeight="false" outlineLevel="0" collapsed="false">
      <c r="A17" s="5" t="s">
        <v>350</v>
      </c>
      <c r="B17" s="6" t="n">
        <f aca="false">-(Supuestos!$B$22+(Supuestos!$C$22-Supuestos!$B$22)*(COUNTA(Supuestos!$A$6:$A$12)-1)/(Supuestos!$F$33-1)+Supuestos!$C$23*COUNTA(Supuestos!$A$6:$A$12)/Supuestos!$F$33+Supuestos!$C$24-Supuestos!$B$47)</f>
        <v>-3418466.66666667</v>
      </c>
      <c r="C17" s="6" t="n">
        <f aca="false">-(Supuestos!$B$22+(Supuestos!$C$22-Supuestos!$B$22)*(COUNTA(Supuestos!$A$6:$A$12)-1)/(Supuestos!$F$33-1)+Supuestos!$C$23*COUNTA(Supuestos!$A$6:$A$12)/Supuestos!$F$33+Supuestos!$C$24-Supuestos!$B$47)</f>
        <v>-3418466.66666667</v>
      </c>
      <c r="D17" s="6" t="n">
        <f aca="false">-(Supuestos!$B$22+(Supuestos!$C$22-Supuestos!$B$22)*(COUNTA(Supuestos!$A$6:$A$12)-1)/(Supuestos!$F$33-1)+Supuestos!$C$23*COUNTA(Supuestos!$A$6:$A$12)/Supuestos!$F$33+Supuestos!$C$24-Supuestos!$B$47)</f>
        <v>-3418466.66666667</v>
      </c>
    </row>
    <row r="18" customFormat="false" ht="15" hidden="false" customHeight="false" outlineLevel="0" collapsed="false">
      <c r="A18" s="5" t="s">
        <v>311</v>
      </c>
      <c r="B18" s="6" t="n">
        <f aca="false">B16+B17</f>
        <v>5827533.33333333</v>
      </c>
      <c r="C18" s="6" t="n">
        <f aca="false">C16+C17</f>
        <v>5827533.33333333</v>
      </c>
      <c r="D18" s="6" t="n">
        <f aca="false">D16+D17</f>
        <v>5827533.33333333</v>
      </c>
    </row>
    <row r="19" customFormat="false" ht="15" hidden="false" customHeight="false" outlineLevel="0" collapsed="false">
      <c r="A19" s="5" t="s">
        <v>26</v>
      </c>
      <c r="B19" s="6" t="n">
        <f aca="false">-MAX(0,B18)*Supuestos!$B$29</f>
        <v>-582753.333333333</v>
      </c>
      <c r="C19" s="6" t="n">
        <f aca="false">-MAX(0,C18)*Supuestos!$B$30</f>
        <v>-1165506.66666667</v>
      </c>
      <c r="D19" s="6" t="n">
        <f aca="false">-MAX(0,D18)*Supuestos!$B$31</f>
        <v>-1748260</v>
      </c>
    </row>
    <row r="20" customFormat="false" ht="15" hidden="false" customHeight="false" outlineLevel="0" collapsed="false">
      <c r="A20" s="31" t="s">
        <v>351</v>
      </c>
      <c r="B20" s="58" t="n">
        <f aca="false">B18+B19</f>
        <v>5244780</v>
      </c>
      <c r="C20" s="58" t="n">
        <f aca="false">C18+C19</f>
        <v>4662026.66666667</v>
      </c>
      <c r="D20" s="58" t="n">
        <f aca="false">D18+D19</f>
        <v>4079273.33333333</v>
      </c>
    </row>
    <row r="21" customFormat="false" ht="15" hidden="false" customHeight="false" outlineLevel="0" collapsed="false">
      <c r="A21" s="5" t="s">
        <v>352</v>
      </c>
      <c r="B21" s="6" t="n">
        <f aca="false">-Préstamo!$B$11</f>
        <v>-1323132.23757242</v>
      </c>
      <c r="C21" s="6" t="n">
        <f aca="false">-Préstamo!$B$11</f>
        <v>-1323132.23757242</v>
      </c>
      <c r="D21" s="6" t="n">
        <f aca="false">-Préstamo!$B$11</f>
        <v>-1323132.23757242</v>
      </c>
    </row>
    <row r="22" customFormat="false" ht="15" hidden="false" customHeight="false" outlineLevel="0" collapsed="false">
      <c r="A22" s="31" t="s">
        <v>353</v>
      </c>
      <c r="B22" s="58" t="n">
        <f aca="false">B20+B21</f>
        <v>3921647.76242758</v>
      </c>
      <c r="C22" s="58" t="n">
        <f aca="false">C20+C21</f>
        <v>3338894.42909425</v>
      </c>
      <c r="D22" s="58" t="n">
        <f aca="false">D20+D21</f>
        <v>2756141.09576092</v>
      </c>
    </row>
    <row r="23" customFormat="false" ht="15" hidden="false" customHeight="false" outlineLevel="0" collapsed="false">
      <c r="A23" s="5" t="s">
        <v>354</v>
      </c>
      <c r="B23" s="6" t="n">
        <f aca="false">B20*12</f>
        <v>62937360</v>
      </c>
      <c r="C23" s="6" t="n">
        <f aca="false">C20*12</f>
        <v>55944320</v>
      </c>
      <c r="D23" s="6" t="n">
        <f aca="false">D20*12</f>
        <v>48951280</v>
      </c>
    </row>
    <row r="24" customFormat="false" ht="15" hidden="false" customHeight="false" outlineLevel="0" collapsed="false">
      <c r="A24" s="31" t="s">
        <v>355</v>
      </c>
      <c r="B24" s="59" t="n">
        <f aca="false">IFERROR(B23/$B$10,0)</f>
        <v>0.336165536297258</v>
      </c>
      <c r="C24" s="59" t="n">
        <f aca="false">IFERROR(C23/$B$10,0)</f>
        <v>0.298813810042007</v>
      </c>
      <c r="D24" s="59" t="n">
        <f aca="false">IFERROR(D23/$B$10,0)</f>
        <v>0.261462083786756</v>
      </c>
    </row>
    <row r="25" customFormat="false" ht="15" hidden="false" customHeight="false" outlineLevel="0" collapsed="false">
      <c r="A25" s="5" t="s">
        <v>356</v>
      </c>
      <c r="B25" s="60" t="n">
        <f aca="false">IFERROR($B$10/B23,0)</f>
        <v>2.97472492574533</v>
      </c>
      <c r="C25" s="60" t="n">
        <f aca="false">IFERROR($B$10/C23,0)</f>
        <v>3.3465655414635</v>
      </c>
      <c r="D25" s="60" t="n">
        <f aca="false">IFERROR($B$10/D23,0)</f>
        <v>3.82464633310114</v>
      </c>
    </row>
    <row r="26" customFormat="false" ht="15" hidden="false" customHeight="false" outlineLevel="0" collapsed="false">
      <c r="A26" s="31" t="s">
        <v>357</v>
      </c>
      <c r="B26" s="61" t="n">
        <f aca="false">IF(COUNTIF('Flujo Proyectado'!$R$6:$R$77,"&lt;"&amp;$B$10)&gt;=72,"más de 72",COUNTIF('Flujo Proyectado'!$R$6:$R$77,"&lt;"&amp;$B$10)+1)</f>
        <v>41</v>
      </c>
      <c r="C26" s="61" t="n">
        <f aca="false">IF(COUNTIF('Flujo Proyectado'!$S$6:$S$77,"&lt;"&amp;$B$10)&gt;=72,"más de 72",COUNTIF('Flujo Proyectado'!$S$6:$S$77,"&lt;"&amp;$B$10)+1)</f>
        <v>45</v>
      </c>
      <c r="D26" s="61" t="n">
        <f aca="false">IF(COUNTIF('Flujo Proyectado'!$T$6:$T$77,"&lt;"&amp;$B$10)&gt;=72,"más de 72",COUNTIF('Flujo Proyectado'!$T$6:$T$77,"&lt;"&amp;$B$10)+1)</f>
        <v>51</v>
      </c>
    </row>
    <row r="27" customFormat="false" ht="15" hidden="false" customHeight="false" outlineLevel="0" collapsed="false">
      <c r="A27" s="5" t="s">
        <v>358</v>
      </c>
      <c r="B27" s="11" t="n">
        <f aca="false">IF(ISNUMBER(B26),EDATE(Supuestos!$B$54,B26-1),"—")</f>
        <v>47515</v>
      </c>
      <c r="C27" s="11" t="n">
        <f aca="false">IF(ISNUMBER(C26),EDATE(Supuestos!$B$54,C26-1),"—")</f>
        <v>47635</v>
      </c>
      <c r="D27" s="11" t="n">
        <f aca="false">IF(ISNUMBER(D26),EDATE(Supuestos!$B$54,D26-1),"—")</f>
        <v>47818</v>
      </c>
    </row>
    <row r="28" customFormat="false" ht="15" hidden="false" customHeight="false" outlineLevel="0" collapsed="false">
      <c r="A28" s="5" t="s">
        <v>359</v>
      </c>
      <c r="B28" s="6" t="n">
        <f aca="false">B20-Supuestos!$B$50</f>
        <v>4624780</v>
      </c>
      <c r="C28" s="6" t="n">
        <f aca="false">C20-Supuestos!$B$50</f>
        <v>4042026.66666667</v>
      </c>
      <c r="D28" s="6" t="n">
        <f aca="false">D20-Supuestos!$B$50</f>
        <v>3459273.33333333</v>
      </c>
    </row>
    <row r="29" customFormat="false" ht="15" hidden="false" customHeight="false" outlineLevel="0" collapsed="false">
      <c r="A29" s="5" t="s">
        <v>360</v>
      </c>
      <c r="B29" s="6" t="n">
        <f aca="false">-B19</f>
        <v>582753.333333333</v>
      </c>
      <c r="C29" s="6" t="n">
        <f aca="false">-C19</f>
        <v>1165506.66666667</v>
      </c>
      <c r="D29" s="6" t="n">
        <f aca="false">-D19</f>
        <v>1748260</v>
      </c>
    </row>
    <row r="32" customFormat="false" ht="15" hidden="false" customHeight="false" outlineLevel="0" collapsed="false">
      <c r="A32" s="13" t="s">
        <v>361</v>
      </c>
    </row>
    <row r="33" customFormat="false" ht="15" hidden="false" customHeight="false" outlineLevel="0" collapsed="false">
      <c r="A33" s="5" t="s">
        <v>362</v>
      </c>
      <c r="B33" s="62" t="n">
        <f aca="false">Supuestos!$B$52*(1+Supuestos!$B$53)</f>
        <v>0.119</v>
      </c>
    </row>
    <row r="34" customFormat="false" ht="15" hidden="false" customHeight="false" outlineLevel="0" collapsed="false">
      <c r="A34" s="5" t="s">
        <v>363</v>
      </c>
      <c r="B34" s="15" t="n">
        <f aca="false">B33*B16</f>
        <v>1100274</v>
      </c>
    </row>
    <row r="35" customFormat="false" ht="15" hidden="false" customHeight="false" outlineLevel="0" collapsed="false">
      <c r="A35" s="5" t="s">
        <v>364</v>
      </c>
      <c r="B35" s="63" t="n">
        <f aca="false">IFERROR(B34/B18,0)</f>
        <v>0.188806127235079</v>
      </c>
    </row>
    <row r="36" customFormat="false" ht="15" hidden="false" customHeight="true" outlineLevel="0" collapsed="false">
      <c r="A36" s="35" t="s">
        <v>365</v>
      </c>
      <c r="B36" s="35"/>
      <c r="C36" s="35"/>
      <c r="D36" s="35"/>
    </row>
    <row r="37" customFormat="false" ht="15" hidden="false" customHeight="false" outlineLevel="0" collapsed="false">
      <c r="A37" s="35"/>
      <c r="B37" s="35"/>
      <c r="C37" s="35"/>
      <c r="D37" s="35"/>
    </row>
    <row r="38" customFormat="false" ht="15" hidden="false" customHeight="false" outlineLevel="0" collapsed="false">
      <c r="A38" s="35"/>
      <c r="B38" s="35"/>
      <c r="C38" s="35"/>
      <c r="D38" s="35"/>
    </row>
    <row r="40" customFormat="false" ht="15" hidden="false" customHeight="false" outlineLevel="0" collapsed="false">
      <c r="A40" s="2" t="s">
        <v>366</v>
      </c>
    </row>
    <row r="42" customFormat="false" ht="15" hidden="false" customHeight="false" outlineLevel="0" collapsed="false">
      <c r="A42" s="13" t="s">
        <v>367</v>
      </c>
    </row>
    <row r="43" customFormat="false" ht="30" hidden="false" customHeight="true" outlineLevel="0" collapsed="false">
      <c r="A43" s="24" t="s">
        <v>349</v>
      </c>
      <c r="B43" s="57" t="n">
        <f aca="false">Supuestos!$B$29</f>
        <v>0.1</v>
      </c>
      <c r="C43" s="57" t="n">
        <f aca="false">Supuestos!$B$30</f>
        <v>0.2</v>
      </c>
      <c r="D43" s="57" t="n">
        <f aca="false">Supuestos!$B$31</f>
        <v>0.3</v>
      </c>
    </row>
    <row r="44" customFormat="false" ht="15" hidden="false" customHeight="false" outlineLevel="0" collapsed="false">
      <c r="A44" s="5" t="s">
        <v>24</v>
      </c>
      <c r="B44" s="6" t="n">
        <f aca="false">SUM(Supuestos!$C$6:$C$11)+Supuestos!$F$30*Supuestos!$F$29*Supuestos!$F$32*6</f>
        <v>7818000</v>
      </c>
      <c r="C44" s="6" t="n">
        <f aca="false">SUM(Supuestos!$C$6:$C$11)+Supuestos!$F$30*Supuestos!$F$29*Supuestos!$F$32*6</f>
        <v>7818000</v>
      </c>
      <c r="D44" s="6" t="n">
        <f aca="false">SUM(Supuestos!$C$6:$C$11)+Supuestos!$F$30*Supuestos!$F$29*Supuestos!$F$32*6</f>
        <v>7818000</v>
      </c>
    </row>
    <row r="45" customFormat="false" ht="15" hidden="false" customHeight="false" outlineLevel="0" collapsed="false">
      <c r="A45" s="5" t="s">
        <v>368</v>
      </c>
      <c r="B45" s="6" t="n">
        <f aca="false">-(Supuestos!$C$25-Supuestos!$B$47)</f>
        <v>-2995000</v>
      </c>
      <c r="C45" s="6" t="n">
        <f aca="false">-(Supuestos!$C$25-Supuestos!$B$47)</f>
        <v>-2995000</v>
      </c>
      <c r="D45" s="6" t="n">
        <f aca="false">-(Supuestos!$C$25-Supuestos!$B$47)</f>
        <v>-2995000</v>
      </c>
    </row>
    <row r="46" customFormat="false" ht="15" hidden="false" customHeight="false" outlineLevel="0" collapsed="false">
      <c r="A46" s="5" t="s">
        <v>311</v>
      </c>
      <c r="B46" s="6" t="n">
        <f aca="false">B44+B45</f>
        <v>4823000</v>
      </c>
      <c r="C46" s="6" t="n">
        <f aca="false">C44+C45</f>
        <v>4823000</v>
      </c>
      <c r="D46" s="6" t="n">
        <f aca="false">D44+D45</f>
        <v>4823000</v>
      </c>
    </row>
    <row r="47" customFormat="false" ht="15" hidden="false" customHeight="false" outlineLevel="0" collapsed="false">
      <c r="A47" s="5" t="s">
        <v>26</v>
      </c>
      <c r="B47" s="6" t="n">
        <f aca="false">-MAX(0,B46)*Supuestos!$B$29</f>
        <v>-482300</v>
      </c>
      <c r="C47" s="6" t="n">
        <f aca="false">-MAX(0,C46)*Supuestos!$B$30</f>
        <v>-964600</v>
      </c>
      <c r="D47" s="6" t="n">
        <f aca="false">-MAX(0,D46)*Supuestos!$B$31</f>
        <v>-1446900</v>
      </c>
    </row>
    <row r="48" customFormat="false" ht="15" hidden="false" customHeight="false" outlineLevel="0" collapsed="false">
      <c r="A48" s="31" t="s">
        <v>351</v>
      </c>
      <c r="B48" s="58" t="n">
        <f aca="false">B46+B47</f>
        <v>4340700</v>
      </c>
      <c r="C48" s="58" t="n">
        <f aca="false">C46+C47</f>
        <v>3858400</v>
      </c>
      <c r="D48" s="58" t="n">
        <f aca="false">D46+D47</f>
        <v>3376100</v>
      </c>
    </row>
    <row r="49" customFormat="false" ht="15" hidden="false" customHeight="false" outlineLevel="0" collapsed="false">
      <c r="A49" s="5" t="s">
        <v>330</v>
      </c>
      <c r="B49" s="6" t="n">
        <f aca="false">-Préstamo!$B$11</f>
        <v>-1323132.23757242</v>
      </c>
      <c r="C49" s="6" t="n">
        <f aca="false">-Préstamo!$B$11</f>
        <v>-1323132.23757242</v>
      </c>
      <c r="D49" s="6" t="n">
        <f aca="false">-Préstamo!$B$11</f>
        <v>-1323132.23757242</v>
      </c>
    </row>
    <row r="50" customFormat="false" ht="15" hidden="false" customHeight="false" outlineLevel="0" collapsed="false">
      <c r="A50" s="31" t="s">
        <v>353</v>
      </c>
      <c r="B50" s="58" t="n">
        <f aca="false">B48+B49</f>
        <v>3017567.76242758</v>
      </c>
      <c r="C50" s="58" t="n">
        <f aca="false">C48+C49</f>
        <v>2535267.76242758</v>
      </c>
      <c r="D50" s="58" t="n">
        <f aca="false">D48+D49</f>
        <v>2052967.76242758</v>
      </c>
    </row>
  </sheetData>
  <mergeCells count="1">
    <mergeCell ref="A36:D38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4" min="2" style="0" width="18"/>
  </cols>
  <sheetData>
    <row r="1" customFormat="false" ht="18.55" hidden="false" customHeight="false" outlineLevel="0" collapsed="false">
      <c r="A1" s="1" t="s">
        <v>369</v>
      </c>
    </row>
    <row r="2" customFormat="false" ht="15" hidden="false" customHeight="false" outlineLevel="0" collapsed="false">
      <c r="A2" s="2" t="s">
        <v>370</v>
      </c>
    </row>
    <row r="4" customFormat="false" ht="15" hidden="false" customHeight="false" outlineLevel="0" collapsed="false">
      <c r="A4" s="13" t="s">
        <v>371</v>
      </c>
    </row>
    <row r="5" customFormat="false" ht="30" hidden="false" customHeight="true" outlineLevel="0" collapsed="false">
      <c r="A5" s="24" t="s">
        <v>372</v>
      </c>
      <c r="B5" s="24" t="s">
        <v>373</v>
      </c>
      <c r="C5" s="24" t="s">
        <v>374</v>
      </c>
      <c r="D5" s="24" t="s">
        <v>375</v>
      </c>
    </row>
    <row r="6" customFormat="false" ht="15" hidden="false" customHeight="false" outlineLevel="0" collapsed="false">
      <c r="A6" s="5" t="s">
        <v>376</v>
      </c>
      <c r="B6" s="62" t="n">
        <f aca="false">Supuestos!$B$38</f>
        <v>0.085</v>
      </c>
      <c r="C6" s="15" t="n">
        <f aca="false">B6*Escenarios!$B$10</f>
        <v>15913813.3519716</v>
      </c>
      <c r="D6" s="15" t="n">
        <f aca="false">C6/12</f>
        <v>1326151.1126643</v>
      </c>
    </row>
    <row r="7" customFormat="false" ht="15" hidden="false" customHeight="false" outlineLevel="0" collapsed="false">
      <c r="A7" s="5" t="s">
        <v>377</v>
      </c>
      <c r="B7" s="62" t="n">
        <f aca="false">Supuestos!$B$40</f>
        <v>0.1207</v>
      </c>
      <c r="C7" s="15" t="n">
        <f aca="false">B7*Escenarios!$B$10</f>
        <v>22597614.9597997</v>
      </c>
      <c r="D7" s="15" t="n">
        <f aca="false">C7/12</f>
        <v>1883134.57998331</v>
      </c>
    </row>
    <row r="8" customFormat="false" ht="15" hidden="false" customHeight="false" outlineLevel="0" collapsed="false">
      <c r="A8" s="5" t="s">
        <v>378</v>
      </c>
      <c r="B8" s="62" t="n">
        <f aca="false">Supuestos!$B$41</f>
        <v>0.13</v>
      </c>
      <c r="C8" s="15" t="n">
        <f aca="false">B8*Escenarios!$B$10</f>
        <v>24338773.3618389</v>
      </c>
      <c r="D8" s="15" t="n">
        <f aca="false">C8/12</f>
        <v>2028231.11348658</v>
      </c>
    </row>
    <row r="9" customFormat="false" ht="15" hidden="false" customHeight="false" outlineLevel="0" collapsed="false">
      <c r="A9" s="31" t="s">
        <v>379</v>
      </c>
      <c r="B9" s="62" t="n">
        <f aca="false">Escenarios!$B$24</f>
        <v>0.336165536297258</v>
      </c>
      <c r="C9" s="15" t="n">
        <f aca="false">B9*Escenarios!$B$10</f>
        <v>62937360</v>
      </c>
      <c r="D9" s="15" t="n">
        <f aca="false">C9/12</f>
        <v>5244780</v>
      </c>
    </row>
    <row r="10" customFormat="false" ht="15" hidden="false" customHeight="false" outlineLevel="0" collapsed="false">
      <c r="A10" s="31" t="s">
        <v>380</v>
      </c>
      <c r="B10" s="62" t="n">
        <f aca="false">Escenarios!$C$24</f>
        <v>0.298813810042007</v>
      </c>
      <c r="C10" s="15" t="n">
        <f aca="false">B10*Escenarios!$B$10</f>
        <v>55944320</v>
      </c>
      <c r="D10" s="15" t="n">
        <f aca="false">C10/12</f>
        <v>4662026.66666667</v>
      </c>
    </row>
    <row r="11" customFormat="false" ht="15" hidden="false" customHeight="false" outlineLevel="0" collapsed="false">
      <c r="A11" s="31" t="s">
        <v>381</v>
      </c>
      <c r="B11" s="62" t="n">
        <f aca="false">Escenarios!$D$24</f>
        <v>0.261462083786756</v>
      </c>
      <c r="C11" s="15" t="n">
        <f aca="false">B11*Escenarios!$B$10</f>
        <v>48951280</v>
      </c>
      <c r="D11" s="15" t="n">
        <f aca="false">C11/12</f>
        <v>4079273.33333333</v>
      </c>
    </row>
    <row r="12" customFormat="false" ht="15" hidden="false" customHeight="true" outlineLevel="0" collapsed="false">
      <c r="A12" s="35" t="s">
        <v>382</v>
      </c>
      <c r="B12" s="35"/>
      <c r="C12" s="35"/>
      <c r="D12" s="35"/>
    </row>
    <row r="13" customFormat="false" ht="15" hidden="false" customHeight="false" outlineLevel="0" collapsed="false">
      <c r="A13" s="35"/>
      <c r="B13" s="35"/>
      <c r="C13" s="35"/>
      <c r="D13" s="35"/>
    </row>
    <row r="15" customFormat="false" ht="15" hidden="false" customHeight="false" outlineLevel="0" collapsed="false">
      <c r="A15" s="13" t="s">
        <v>383</v>
      </c>
    </row>
    <row r="16" customFormat="false" ht="30" hidden="false" customHeight="true" outlineLevel="0" collapsed="false">
      <c r="A16" s="24" t="s">
        <v>349</v>
      </c>
      <c r="B16" s="24" t="s">
        <v>384</v>
      </c>
      <c r="C16" s="24" t="s">
        <v>385</v>
      </c>
      <c r="D16" s="24" t="s">
        <v>386</v>
      </c>
    </row>
    <row r="17" customFormat="false" ht="15" hidden="false" customHeight="false" outlineLevel="0" collapsed="false">
      <c r="A17" s="5" t="s">
        <v>387</v>
      </c>
      <c r="B17" s="11" t="n">
        <f aca="false">EDATE(Supuestos!$B$54,5)</f>
        <v>46447</v>
      </c>
      <c r="C17" s="11" t="n">
        <f aca="false">EDATE(Supuestos!$B$54,11)</f>
        <v>46631</v>
      </c>
      <c r="D17" s="11" t="n">
        <f aca="false">EDATE(Supuestos!$B$54,23)</f>
        <v>46997</v>
      </c>
    </row>
    <row r="18" customFormat="false" ht="15" hidden="false" customHeight="false" outlineLevel="0" collapsed="false">
      <c r="A18" s="5" t="s">
        <v>388</v>
      </c>
      <c r="B18" s="33" t="n">
        <f aca="false">INDEX('Flujo Proyectado'!$M$6:$M$77,MATCH(B$17,'Flujo Proyectado'!$A$6:$A$77,0))</f>
        <v>-13570372.283623</v>
      </c>
      <c r="C18" s="33" t="n">
        <f aca="false">INDEX('Flujo Proyectado'!$M$6:$M$77,MATCH(C$17,'Flujo Proyectado'!$A$6:$A$77,0))</f>
        <v>-16562240.7090575</v>
      </c>
      <c r="D18" s="33" t="n">
        <f aca="false">INDEX('Flujo Proyectado'!$M$6:$M$77,MATCH(D$17,'Flujo Proyectado'!$A$6:$A$77,0))</f>
        <v>13768882.4400735</v>
      </c>
    </row>
    <row r="19" customFormat="false" ht="15" hidden="false" customHeight="false" outlineLevel="0" collapsed="false">
      <c r="A19" s="31" t="s">
        <v>389</v>
      </c>
      <c r="B19" s="64" t="n">
        <f aca="false">INDEX('Flujo Proyectado'!$O$6:$O$77,MATCH(B$17,'Flujo Proyectado'!$A$6:$A$77,0))</f>
        <v>10737977.716377</v>
      </c>
      <c r="C19" s="64" t="n">
        <f aca="false">INDEX('Flujo Proyectado'!$O$6:$O$77,MATCH(C$17,'Flujo Proyectado'!$A$6:$A$77,0))</f>
        <v>25949584.2909425</v>
      </c>
      <c r="D19" s="64" t="n">
        <f aca="false">INDEX('Flujo Proyectado'!$O$6:$O$77,MATCH(D$17,'Flujo Proyectado'!$A$6:$A$77,0))</f>
        <v>61194557.4400735</v>
      </c>
    </row>
    <row r="20" customFormat="false" ht="15" hidden="false" customHeight="false" outlineLevel="0" collapsed="false">
      <c r="A20" s="5" t="s">
        <v>390</v>
      </c>
      <c r="B20" s="33" t="n">
        <f aca="false">INDEX('Flujo Proyectado'!$Q$6:$Q$77,MATCH(B$17,'Flujo Proyectado'!$A$6:$A$77,0))</f>
        <v>24308350</v>
      </c>
      <c r="C20" s="33" t="n">
        <f aca="false">INDEX('Flujo Proyectado'!$Q$6:$Q$77,MATCH(C$17,'Flujo Proyectado'!$A$6:$A$77,0))</f>
        <v>42511825</v>
      </c>
      <c r="D20" s="33" t="n">
        <f aca="false">INDEX('Flujo Proyectado'!$Q$6:$Q$77,MATCH(D$17,'Flujo Proyectado'!$A$6:$A$77,0))</f>
        <v>47425675</v>
      </c>
    </row>
    <row r="21" customFormat="false" ht="15" hidden="false" customHeight="false" outlineLevel="0" collapsed="false">
      <c r="A21" s="5" t="s">
        <v>391</v>
      </c>
      <c r="B21" s="15" t="n">
        <f aca="false">Supuestos!$B$39-B20</f>
        <v>75691650</v>
      </c>
      <c r="C21" s="15" t="n">
        <f aca="false">Supuestos!$B$39-C20</f>
        <v>57488175</v>
      </c>
      <c r="D21" s="15" t="n">
        <f aca="false">Supuestos!$B$39-D20</f>
        <v>52574325</v>
      </c>
    </row>
    <row r="22" customFormat="false" ht="15" hidden="false" customHeight="true" outlineLevel="0" collapsed="false">
      <c r="A22" s="35" t="s">
        <v>392</v>
      </c>
      <c r="B22" s="35"/>
      <c r="C22" s="35"/>
      <c r="D22" s="35"/>
    </row>
    <row r="23" customFormat="false" ht="15" hidden="false" customHeight="false" outlineLevel="0" collapsed="false">
      <c r="A23" s="35"/>
      <c r="B23" s="35"/>
      <c r="C23" s="35"/>
      <c r="D23" s="35"/>
    </row>
    <row r="25" customFormat="false" ht="15" hidden="false" customHeight="false" outlineLevel="0" collapsed="false">
      <c r="A25" s="13" t="s">
        <v>393</v>
      </c>
    </row>
    <row r="26" customFormat="false" ht="15" hidden="false" customHeight="false" outlineLevel="0" collapsed="false">
      <c r="A26" s="5" t="s">
        <v>56</v>
      </c>
      <c r="B26" s="41" t="n">
        <f aca="false">COUNTIF('Flujo Proyectado'!$L$6:$L$17,"&lt;0")</f>
        <v>9</v>
      </c>
    </row>
    <row r="27" customFormat="false" ht="15" hidden="false" customHeight="false" outlineLevel="0" collapsed="false">
      <c r="A27" s="5" t="s">
        <v>394</v>
      </c>
      <c r="B27" s="33" t="n">
        <f aca="false">MIN('Flujo Proyectado'!$M$6:$M$29)</f>
        <v>-19254193.9963403</v>
      </c>
    </row>
    <row r="28" customFormat="false" ht="15" hidden="false" customHeight="false" outlineLevel="0" collapsed="false">
      <c r="A28" s="5" t="s">
        <v>395</v>
      </c>
      <c r="B28" s="33" t="n">
        <f aca="false">MIN('Flujo Proyectado'!$L$6:$L$29)</f>
        <v>-2881082.23757242</v>
      </c>
    </row>
    <row r="29" customFormat="false" ht="15" hidden="false" customHeight="true" outlineLevel="0" collapsed="false">
      <c r="A29" s="35" t="s">
        <v>396</v>
      </c>
      <c r="B29" s="35"/>
      <c r="C29" s="35"/>
      <c r="D29" s="35"/>
    </row>
    <row r="30" customFormat="false" ht="15" hidden="false" customHeight="false" outlineLevel="0" collapsed="false">
      <c r="A30" s="35"/>
      <c r="B30" s="35"/>
      <c r="C30" s="35"/>
      <c r="D30" s="35"/>
    </row>
    <row r="32" customFormat="false" ht="15" hidden="false" customHeight="false" outlineLevel="0" collapsed="false">
      <c r="A32" s="13" t="s">
        <v>397</v>
      </c>
    </row>
    <row r="33" customFormat="false" ht="15" hidden="false" customHeight="false" outlineLevel="0" collapsed="false">
      <c r="A33" s="5" t="s">
        <v>398</v>
      </c>
      <c r="B33" s="15" t="n">
        <f aca="false">10000000*(Supuestos!$B$40-Supuestos!$B$38)</f>
        <v>357000</v>
      </c>
    </row>
    <row r="34" customFormat="false" ht="15" hidden="false" customHeight="true" outlineLevel="0" collapsed="false">
      <c r="A34" s="65" t="s">
        <v>399</v>
      </c>
      <c r="B34" s="65"/>
      <c r="C34" s="65"/>
      <c r="D34" s="65"/>
    </row>
    <row r="35" customFormat="false" ht="15" hidden="false" customHeight="false" outlineLevel="0" collapsed="false">
      <c r="A35" s="65"/>
      <c r="B35" s="65"/>
      <c r="C35" s="65"/>
      <c r="D35" s="65"/>
    </row>
  </sheetData>
  <mergeCells count="4">
    <mergeCell ref="A12:D13"/>
    <mergeCell ref="A22:D23"/>
    <mergeCell ref="A29:D30"/>
    <mergeCell ref="A34:D35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3" min="2" style="0" width="20"/>
    <col collapsed="false" customWidth="true" hidden="false" outlineLevel="0" max="4" min="4" style="0" width="40"/>
  </cols>
  <sheetData>
    <row r="1" customFormat="false" ht="18.55" hidden="false" customHeight="false" outlineLevel="0" collapsed="false">
      <c r="A1" s="1" t="s">
        <v>400</v>
      </c>
    </row>
    <row r="2" customFormat="false" ht="15" hidden="false" customHeight="false" outlineLevel="0" collapsed="false">
      <c r="A2" s="2" t="s">
        <v>401</v>
      </c>
    </row>
    <row r="4" customFormat="false" ht="15" hidden="false" customHeight="false" outlineLevel="0" collapsed="false">
      <c r="A4" s="13" t="s">
        <v>402</v>
      </c>
    </row>
    <row r="5" customFormat="false" ht="15" hidden="false" customHeight="false" outlineLevel="0" collapsed="false">
      <c r="A5" s="5" t="s">
        <v>403</v>
      </c>
      <c r="B5" s="37" t="s">
        <v>404</v>
      </c>
    </row>
    <row r="6" customFormat="false" ht="15" hidden="false" customHeight="false" outlineLevel="0" collapsed="false">
      <c r="A6" s="5" t="s">
        <v>405</v>
      </c>
      <c r="B6" s="66" t="n">
        <v>3</v>
      </c>
    </row>
    <row r="7" customFormat="false" ht="15" hidden="false" customHeight="false" outlineLevel="0" collapsed="false">
      <c r="A7" s="5" t="s">
        <v>406</v>
      </c>
      <c r="B7" s="67" t="n">
        <v>6</v>
      </c>
    </row>
    <row r="8" customFormat="false" ht="15" hidden="false" customHeight="false" outlineLevel="0" collapsed="false">
      <c r="A8" s="5" t="s">
        <v>407</v>
      </c>
      <c r="B8" s="67" t="n">
        <v>12</v>
      </c>
    </row>
    <row r="9" customFormat="false" ht="15" hidden="false" customHeight="false" outlineLevel="0" collapsed="false">
      <c r="A9" s="5" t="s">
        <v>408</v>
      </c>
      <c r="B9" s="19" t="n">
        <f aca="false">B7*B8</f>
        <v>72</v>
      </c>
    </row>
    <row r="10" customFormat="false" ht="15" hidden="false" customHeight="false" outlineLevel="0" collapsed="false">
      <c r="A10" s="5" t="s">
        <v>409</v>
      </c>
      <c r="B10" s="66" t="n">
        <v>190</v>
      </c>
    </row>
    <row r="11" customFormat="false" ht="15" hidden="false" customHeight="false" outlineLevel="0" collapsed="false">
      <c r="A11" s="5" t="s">
        <v>410</v>
      </c>
      <c r="B11" s="37" t="s">
        <v>411</v>
      </c>
    </row>
    <row r="12" customFormat="false" ht="15" hidden="false" customHeight="false" outlineLevel="0" collapsed="false">
      <c r="A12" s="5" t="s">
        <v>412</v>
      </c>
      <c r="B12" s="19" t="n">
        <f aca="false">COUNTA(Supuestos!$A$6:$A$12)</f>
        <v>7</v>
      </c>
    </row>
    <row r="14" customFormat="false" ht="15" hidden="false" customHeight="false" outlineLevel="0" collapsed="false">
      <c r="A14" s="13" t="s">
        <v>413</v>
      </c>
    </row>
    <row r="15" customFormat="false" ht="30" hidden="false" customHeight="true" outlineLevel="0" collapsed="false">
      <c r="A15" s="24" t="s">
        <v>414</v>
      </c>
      <c r="B15" s="24" t="s">
        <v>409</v>
      </c>
      <c r="C15" s="24" t="s">
        <v>415</v>
      </c>
      <c r="D15" s="24" t="s">
        <v>416</v>
      </c>
    </row>
    <row r="16" customFormat="false" ht="15" hidden="false" customHeight="false" outlineLevel="0" collapsed="false">
      <c r="A16" s="5" t="s">
        <v>417</v>
      </c>
      <c r="B16" s="66" t="n">
        <v>155</v>
      </c>
      <c r="C16" s="34" t="n">
        <v>450000000</v>
      </c>
      <c r="D16" s="15" t="n">
        <f aca="false">C16/B16</f>
        <v>2903225.80645161</v>
      </c>
    </row>
    <row r="17" customFormat="false" ht="15" hidden="false" customHeight="false" outlineLevel="0" collapsed="false">
      <c r="A17" s="5" t="s">
        <v>418</v>
      </c>
      <c r="B17" s="66" t="n">
        <v>120</v>
      </c>
      <c r="C17" s="34" t="n">
        <v>550000000</v>
      </c>
      <c r="D17" s="15" t="n">
        <f aca="false">C17/B17</f>
        <v>4583333.33333333</v>
      </c>
    </row>
    <row r="18" customFormat="false" ht="15" hidden="false" customHeight="false" outlineLevel="0" collapsed="false">
      <c r="A18" s="5" t="s">
        <v>418</v>
      </c>
      <c r="B18" s="66" t="n">
        <v>242</v>
      </c>
      <c r="C18" s="34" t="n">
        <v>580000000</v>
      </c>
      <c r="D18" s="15" t="n">
        <f aca="false">C18/B18</f>
        <v>2396694.21487603</v>
      </c>
    </row>
    <row r="19" customFormat="false" ht="15" hidden="false" customHeight="false" outlineLevel="0" collapsed="false">
      <c r="A19" s="5" t="s">
        <v>419</v>
      </c>
      <c r="B19" s="66" t="n">
        <v>160</v>
      </c>
      <c r="C19" s="34" t="n">
        <v>640000000</v>
      </c>
      <c r="D19" s="15" t="n">
        <f aca="false">C19/B19</f>
        <v>4000000</v>
      </c>
    </row>
    <row r="20" customFormat="false" ht="15" hidden="false" customHeight="false" outlineLevel="0" collapsed="false">
      <c r="A20" s="31" t="s">
        <v>420</v>
      </c>
      <c r="D20" s="17" t="n">
        <f aca="false">AVERAGE(D16:D19)</f>
        <v>3470813.33866524</v>
      </c>
    </row>
    <row r="21" customFormat="false" ht="15" hidden="false" customHeight="false" outlineLevel="0" collapsed="false">
      <c r="A21" s="5" t="s">
        <v>421</v>
      </c>
      <c r="D21" s="34" t="n">
        <v>3412157</v>
      </c>
    </row>
    <row r="22" customFormat="false" ht="15" hidden="false" customHeight="false" outlineLevel="0" collapsed="false">
      <c r="A22" s="5" t="s">
        <v>422</v>
      </c>
      <c r="D22" s="68" t="n">
        <v>0.07</v>
      </c>
    </row>
    <row r="23" customFormat="false" ht="15" hidden="false" customHeight="false" outlineLevel="0" collapsed="false">
      <c r="A23" s="31" t="s">
        <v>423</v>
      </c>
      <c r="D23" s="17" t="n">
        <f aca="false">B10*D20*(1-D22)</f>
        <v>613292716.942149</v>
      </c>
    </row>
    <row r="24" customFormat="false" ht="15" hidden="false" customHeight="false" outlineLevel="0" collapsed="false">
      <c r="A24" s="31" t="s">
        <v>424</v>
      </c>
      <c r="D24" s="17" t="n">
        <f aca="false">B10*D21*(1-D22)</f>
        <v>602928141.9</v>
      </c>
    </row>
    <row r="25" customFormat="false" ht="15" hidden="false" customHeight="true" outlineLevel="0" collapsed="false">
      <c r="A25" s="65" t="s">
        <v>425</v>
      </c>
      <c r="B25" s="65"/>
      <c r="C25" s="65"/>
      <c r="D25" s="65"/>
    </row>
    <row r="26" customFormat="false" ht="15" hidden="false" customHeight="false" outlineLevel="0" collapsed="false">
      <c r="A26" s="65"/>
      <c r="B26" s="65"/>
      <c r="C26" s="65"/>
      <c r="D26" s="65"/>
    </row>
    <row r="28" customFormat="false" ht="31.5" hidden="false" customHeight="true" outlineLevel="0" collapsed="false">
      <c r="A28" s="69" t="s">
        <v>426</v>
      </c>
      <c r="B28" s="24" t="s">
        <v>427</v>
      </c>
      <c r="C28" s="24" t="s">
        <v>428</v>
      </c>
    </row>
    <row r="29" customFormat="false" ht="15" hidden="false" customHeight="false" outlineLevel="0" collapsed="false">
      <c r="A29" s="5" t="s">
        <v>429</v>
      </c>
      <c r="B29" s="33" t="n">
        <f aca="false">(Escenarios!$B$18)*12</f>
        <v>69930400</v>
      </c>
      <c r="C29" s="33" t="n">
        <f aca="false">(Escenarios!$B$46)*12</f>
        <v>57876000</v>
      </c>
    </row>
    <row r="30" customFormat="false" ht="15" hidden="false" customHeight="false" outlineLevel="0" collapsed="false">
      <c r="A30" s="5" t="s">
        <v>430</v>
      </c>
      <c r="B30" s="33" t="n">
        <f aca="false">-Escenarios!$B$34*12</f>
        <v>-13203288</v>
      </c>
      <c r="C30" s="33" t="n">
        <f aca="false">-Escenarios!$B$33*Escenarios!$B$44*12</f>
        <v>-11164104</v>
      </c>
    </row>
    <row r="31" customFormat="false" ht="15" hidden="false" customHeight="false" outlineLevel="0" collapsed="false">
      <c r="A31" s="31" t="s">
        <v>431</v>
      </c>
      <c r="B31" s="17" t="n">
        <f aca="false">B29+B30</f>
        <v>56727112</v>
      </c>
      <c r="C31" s="17" t="n">
        <f aca="false">C29+C30</f>
        <v>46711896</v>
      </c>
    </row>
    <row r="32" customFormat="false" ht="15" hidden="false" customHeight="false" outlineLevel="0" collapsed="false">
      <c r="A32" s="31" t="s">
        <v>432</v>
      </c>
      <c r="B32" s="17" t="n">
        <f aca="false">B31/12</f>
        <v>4727259.33333333</v>
      </c>
      <c r="C32" s="17" t="n">
        <f aca="false">C31/12</f>
        <v>3892658</v>
      </c>
    </row>
    <row r="33" customFormat="false" ht="30" hidden="false" customHeight="true" outlineLevel="0" collapsed="false">
      <c r="A33" s="24" t="s">
        <v>433</v>
      </c>
      <c r="B33" s="24" t="s">
        <v>434</v>
      </c>
      <c r="C33" s="24" t="s">
        <v>435</v>
      </c>
      <c r="D33" s="24" t="s">
        <v>436</v>
      </c>
    </row>
    <row r="34" customFormat="false" ht="15" hidden="false" customHeight="false" outlineLevel="0" collapsed="false">
      <c r="A34" s="70" t="n">
        <v>0.07</v>
      </c>
      <c r="B34" s="17" t="n">
        <f aca="false">B$31/A34</f>
        <v>810387314.285714</v>
      </c>
      <c r="C34" s="15" t="n">
        <f aca="false">C$31/A34</f>
        <v>667312800</v>
      </c>
      <c r="D34" s="22" t="s">
        <v>437</v>
      </c>
    </row>
    <row r="35" customFormat="false" ht="15" hidden="false" customHeight="false" outlineLevel="0" collapsed="false">
      <c r="A35" s="70" t="n">
        <v>0.08</v>
      </c>
      <c r="B35" s="17" t="n">
        <f aca="false">B$31/A35</f>
        <v>709088900</v>
      </c>
      <c r="C35" s="15" t="n">
        <f aca="false">C$31/A35</f>
        <v>583898700</v>
      </c>
      <c r="D35" s="22" t="s">
        <v>438</v>
      </c>
    </row>
    <row r="36" customFormat="false" ht="15" hidden="false" customHeight="false" outlineLevel="0" collapsed="false">
      <c r="A36" s="70" t="n">
        <v>0.09</v>
      </c>
      <c r="B36" s="17" t="n">
        <f aca="false">B$31/A36</f>
        <v>630301244.444444</v>
      </c>
      <c r="C36" s="15" t="n">
        <f aca="false">C$31/A36</f>
        <v>519021066.666667</v>
      </c>
      <c r="D36" s="22" t="s">
        <v>439</v>
      </c>
    </row>
    <row r="37" customFormat="false" ht="15" hidden="false" customHeight="true" outlineLevel="0" collapsed="false">
      <c r="A37" s="65" t="s">
        <v>440</v>
      </c>
      <c r="B37" s="65"/>
      <c r="C37" s="65"/>
      <c r="D37" s="65"/>
    </row>
    <row r="38" customFormat="false" ht="15" hidden="false" customHeight="false" outlineLevel="0" collapsed="false">
      <c r="A38" s="65"/>
      <c r="B38" s="65"/>
      <c r="C38" s="65"/>
      <c r="D38" s="65"/>
    </row>
    <row r="40" customFormat="false" ht="15" hidden="false" customHeight="false" outlineLevel="0" collapsed="false">
      <c r="A40" s="13" t="s">
        <v>441</v>
      </c>
    </row>
    <row r="41" customFormat="false" ht="15" hidden="false" customHeight="false" outlineLevel="0" collapsed="false">
      <c r="A41" s="31" t="s">
        <v>442</v>
      </c>
      <c r="B41" s="17" t="n">
        <f aca="false">MIN(D23,D24,B34,B35,B36)</f>
        <v>602928141.9</v>
      </c>
    </row>
    <row r="42" customFormat="false" ht="15" hidden="false" customHeight="false" outlineLevel="0" collapsed="false">
      <c r="A42" s="31" t="s">
        <v>443</v>
      </c>
      <c r="B42" s="17" t="n">
        <f aca="false">MAX(D23,D24,B34,B35,B36)</f>
        <v>810387314.285714</v>
      </c>
    </row>
    <row r="43" customFormat="false" ht="15" hidden="false" customHeight="false" outlineLevel="0" collapsed="false">
      <c r="A43" s="31" t="s">
        <v>438</v>
      </c>
      <c r="B43" s="17" t="n">
        <f aca="false">AVERAGE(B41,B42)</f>
        <v>706657728.092857</v>
      </c>
    </row>
    <row r="45" customFormat="false" ht="15" hidden="false" customHeight="true" outlineLevel="0" collapsed="false">
      <c r="A45" s="35" t="s">
        <v>444</v>
      </c>
      <c r="B45" s="35"/>
      <c r="C45" s="35"/>
      <c r="D45" s="35"/>
    </row>
    <row r="46" customFormat="false" ht="15" hidden="false" customHeight="false" outlineLevel="0" collapsed="false">
      <c r="A46" s="35"/>
      <c r="B46" s="35"/>
      <c r="C46" s="35"/>
      <c r="D46" s="35"/>
    </row>
    <row r="47" customFormat="false" ht="15" hidden="false" customHeight="false" outlineLevel="0" collapsed="false">
      <c r="A47" s="35"/>
      <c r="B47" s="35"/>
      <c r="C47" s="35"/>
      <c r="D47" s="35"/>
    </row>
    <row r="48" customFormat="false" ht="15" hidden="false" customHeight="false" outlineLevel="0" collapsed="false">
      <c r="A48" s="35"/>
      <c r="B48" s="35"/>
      <c r="C48" s="35"/>
      <c r="D48" s="35"/>
    </row>
    <row r="49" customFormat="false" ht="15" hidden="false" customHeight="false" outlineLevel="0" collapsed="false">
      <c r="A49" s="35"/>
      <c r="B49" s="35"/>
      <c r="C49" s="35"/>
      <c r="D49" s="35"/>
    </row>
  </sheetData>
  <mergeCells count="3">
    <mergeCell ref="A25:D26"/>
    <mergeCell ref="A37:D38"/>
    <mergeCell ref="A45:D49"/>
  </mergeCells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40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6"/>
  </cols>
  <sheetData>
    <row r="1" customFormat="false" ht="18.55" hidden="false" customHeight="false" outlineLevel="0" collapsed="false">
      <c r="A1" s="1" t="s">
        <v>445</v>
      </c>
    </row>
    <row r="2" customFormat="false" ht="15" hidden="false" customHeight="false" outlineLevel="0" collapsed="false">
      <c r="A2" s="2" t="s">
        <v>446</v>
      </c>
    </row>
    <row r="4" customFormat="false" ht="15" hidden="false" customHeight="false" outlineLevel="0" collapsed="false">
      <c r="A4" s="13" t="s">
        <v>447</v>
      </c>
    </row>
    <row r="5" customFormat="false" ht="31.5" hidden="false" customHeight="true" outlineLevel="0" collapsed="false">
      <c r="A5" s="24" t="s">
        <v>448</v>
      </c>
      <c r="B5" s="24" t="s">
        <v>101</v>
      </c>
      <c r="C5" s="24" t="s">
        <v>449</v>
      </c>
      <c r="D5" s="24" t="s">
        <v>450</v>
      </c>
      <c r="E5" s="24" t="s">
        <v>100</v>
      </c>
      <c r="F5" s="24" t="s">
        <v>451</v>
      </c>
      <c r="G5" s="24" t="s">
        <v>452</v>
      </c>
      <c r="H5" s="24" t="s">
        <v>453</v>
      </c>
      <c r="I5" s="24" t="s">
        <v>454</v>
      </c>
    </row>
    <row r="6" customFormat="false" ht="15" hidden="false" customHeight="false" outlineLevel="0" collapsed="false">
      <c r="A6" s="31" t="s">
        <v>455</v>
      </c>
      <c r="B6" s="37" t="s">
        <v>456</v>
      </c>
      <c r="C6" s="34" t="n">
        <v>1250000</v>
      </c>
      <c r="D6" s="71" t="n">
        <v>46280</v>
      </c>
      <c r="E6" s="37" t="s">
        <v>457</v>
      </c>
      <c r="F6" s="71" t="n">
        <v>46266</v>
      </c>
      <c r="G6" s="21" t="n">
        <f aca="false">DATE(YEAR(F6),MONTH(F6),1)</f>
        <v>46266</v>
      </c>
      <c r="H6" s="21" t="n">
        <f aca="false">EDATE(G6,$B$43-1)</f>
        <v>46478</v>
      </c>
      <c r="I6" s="33" t="n">
        <f aca="false">Mobiliario!B44</f>
        <v>6551800</v>
      </c>
    </row>
    <row r="7" customFormat="false" ht="15" hidden="false" customHeight="false" outlineLevel="0" collapsed="false">
      <c r="A7" s="31" t="s">
        <v>222</v>
      </c>
      <c r="B7" s="37" t="s">
        <v>456</v>
      </c>
      <c r="C7" s="34" t="n">
        <v>1500000</v>
      </c>
      <c r="D7" s="71" t="n">
        <v>46310</v>
      </c>
      <c r="E7" s="37" t="s">
        <v>458</v>
      </c>
      <c r="F7" s="71" t="n">
        <v>46310</v>
      </c>
      <c r="G7" s="21" t="n">
        <f aca="false">DATE(YEAR(F7),MONTH(F7),1)</f>
        <v>46296</v>
      </c>
      <c r="H7" s="21" t="n">
        <f aca="false">EDATE(G7,$B$43-1)</f>
        <v>46508</v>
      </c>
      <c r="I7" s="33" t="n">
        <f aca="false">Mobiliario!C44</f>
        <v>6551800</v>
      </c>
    </row>
    <row r="8" customFormat="false" ht="15" hidden="false" customHeight="false" outlineLevel="0" collapsed="false">
      <c r="A8" s="31" t="s">
        <v>223</v>
      </c>
      <c r="B8" s="37" t="s">
        <v>456</v>
      </c>
      <c r="C8" s="34" t="n">
        <v>1350000</v>
      </c>
      <c r="D8" s="71" t="n">
        <v>46327</v>
      </c>
      <c r="E8" s="37" t="s">
        <v>459</v>
      </c>
      <c r="F8" s="71" t="n">
        <v>46327</v>
      </c>
      <c r="G8" s="21" t="n">
        <f aca="false">DATE(YEAR(F8),MONTH(F8),1)</f>
        <v>46327</v>
      </c>
      <c r="H8" s="21" t="n">
        <f aca="false">EDATE(G8,$B$43-1)</f>
        <v>46539</v>
      </c>
      <c r="I8" s="33" t="n">
        <f aca="false">Mobiliario!D44</f>
        <v>6551800</v>
      </c>
    </row>
    <row r="9" customFormat="false" ht="15" hidden="false" customHeight="false" outlineLevel="0" collapsed="false">
      <c r="A9" s="31" t="s">
        <v>224</v>
      </c>
      <c r="B9" s="37" t="s">
        <v>456</v>
      </c>
      <c r="C9" s="34" t="n">
        <v>1350000</v>
      </c>
      <c r="D9" s="71" t="n">
        <v>46357</v>
      </c>
      <c r="E9" s="37" t="s">
        <v>459</v>
      </c>
      <c r="F9" s="71" t="n">
        <v>46357</v>
      </c>
      <c r="G9" s="21" t="n">
        <f aca="false">DATE(YEAR(F9),MONTH(F9),1)</f>
        <v>46357</v>
      </c>
      <c r="H9" s="21" t="n">
        <f aca="false">EDATE(G9,$B$43-1)</f>
        <v>46569</v>
      </c>
      <c r="I9" s="33" t="n">
        <f aca="false">Mobiliario!E44</f>
        <v>6551800</v>
      </c>
    </row>
    <row r="10" customFormat="false" ht="15" hidden="false" customHeight="false" outlineLevel="0" collapsed="false">
      <c r="A10" s="31" t="s">
        <v>225</v>
      </c>
      <c r="B10" s="37" t="s">
        <v>460</v>
      </c>
      <c r="C10" s="34" t="n">
        <v>1100000</v>
      </c>
      <c r="D10" s="71" t="n">
        <v>46388</v>
      </c>
      <c r="E10" s="37" t="s">
        <v>461</v>
      </c>
      <c r="F10" s="71" t="n">
        <v>46388</v>
      </c>
      <c r="G10" s="21" t="n">
        <f aca="false">DATE(YEAR(F10),MONTH(F10),1)</f>
        <v>46388</v>
      </c>
      <c r="H10" s="21" t="n">
        <f aca="false">EDATE(G10,$B$43-1)</f>
        <v>46600</v>
      </c>
      <c r="I10" s="33" t="n">
        <f aca="false">Mobiliario!F44</f>
        <v>6551800</v>
      </c>
    </row>
    <row r="11" customFormat="false" ht="15" hidden="false" customHeight="false" outlineLevel="0" collapsed="false">
      <c r="A11" s="31" t="s">
        <v>226</v>
      </c>
      <c r="B11" s="37" t="s">
        <v>460</v>
      </c>
      <c r="C11" s="34" t="n">
        <v>1100000</v>
      </c>
      <c r="D11" s="71" t="n">
        <v>46419</v>
      </c>
      <c r="E11" s="37" t="s">
        <v>461</v>
      </c>
      <c r="F11" s="71" t="n">
        <v>46419</v>
      </c>
      <c r="G11" s="21" t="n">
        <f aca="false">DATE(YEAR(F11),MONTH(F11),1)</f>
        <v>46419</v>
      </c>
      <c r="H11" s="21" t="n">
        <f aca="false">EDATE(G11,$B$43-1)</f>
        <v>46631</v>
      </c>
      <c r="I11" s="33" t="n">
        <f aca="false">Mobiliario!G44</f>
        <v>6551800</v>
      </c>
    </row>
    <row r="12" customFormat="false" ht="15" hidden="false" customHeight="false" outlineLevel="0" collapsed="false">
      <c r="A12" s="31" t="s">
        <v>227</v>
      </c>
      <c r="B12" s="37" t="s">
        <v>456</v>
      </c>
      <c r="C12" s="72" t="n">
        <v>1400000</v>
      </c>
      <c r="D12" s="73" t="n">
        <v>46844</v>
      </c>
      <c r="E12" s="37" t="s">
        <v>462</v>
      </c>
      <c r="F12" s="71" t="n">
        <v>46844</v>
      </c>
      <c r="G12" s="21" t="n">
        <f aca="false">DATE(YEAR(F12),MONTH(F12),1)</f>
        <v>46844</v>
      </c>
      <c r="H12" s="21" t="n">
        <f aca="false">EDATE(G12,$B$43-1)</f>
        <v>47058</v>
      </c>
      <c r="I12" s="33" t="n">
        <f aca="false">Mobiliario!H44</f>
        <v>6551800</v>
      </c>
    </row>
    <row r="13" customFormat="false" ht="15" hidden="false" customHeight="false" outlineLevel="0" collapsed="false">
      <c r="A13" s="31" t="s">
        <v>463</v>
      </c>
      <c r="C13" s="17" t="n">
        <f aca="false">SUM(C6:C12)</f>
        <v>9050000</v>
      </c>
      <c r="I13" s="17" t="n">
        <f aca="false">SUM(I6:I12)</f>
        <v>45862600</v>
      </c>
    </row>
    <row r="14" customFormat="false" ht="15" hidden="false" customHeight="false" outlineLevel="0" collapsed="false">
      <c r="A14" s="2" t="s">
        <v>464</v>
      </c>
    </row>
    <row r="15" customFormat="false" ht="15" hidden="false" customHeight="false" outlineLevel="0" collapsed="false">
      <c r="A15" s="13" t="s">
        <v>465</v>
      </c>
    </row>
    <row r="16" customFormat="false" ht="30" hidden="false" customHeight="true" outlineLevel="0" collapsed="false">
      <c r="A16" s="24" t="s">
        <v>349</v>
      </c>
      <c r="B16" s="24" t="s">
        <v>466</v>
      </c>
      <c r="C16" s="24" t="s">
        <v>467</v>
      </c>
      <c r="D16" s="24" t="s">
        <v>272</v>
      </c>
    </row>
    <row r="17" customFormat="false" ht="15" hidden="false" customHeight="false" outlineLevel="0" collapsed="false">
      <c r="A17" s="5" t="s">
        <v>468</v>
      </c>
      <c r="B17" s="34" t="n">
        <v>170000</v>
      </c>
      <c r="C17" s="34" t="n">
        <v>600000</v>
      </c>
      <c r="D17" s="22" t="s">
        <v>469</v>
      </c>
    </row>
    <row r="18" customFormat="false" ht="15" hidden="false" customHeight="false" outlineLevel="0" collapsed="false">
      <c r="A18" s="5" t="s">
        <v>470</v>
      </c>
      <c r="B18" s="34" t="n">
        <v>46000</v>
      </c>
      <c r="C18" s="34" t="n">
        <v>120000</v>
      </c>
      <c r="D18" s="22"/>
    </row>
    <row r="19" customFormat="false" ht="15" hidden="false" customHeight="false" outlineLevel="0" collapsed="false">
      <c r="A19" s="5" t="s">
        <v>471</v>
      </c>
      <c r="B19" s="34" t="n">
        <v>80000</v>
      </c>
      <c r="C19" s="34" t="n">
        <v>220000</v>
      </c>
      <c r="D19" s="22"/>
    </row>
    <row r="20" customFormat="false" ht="15" hidden="false" customHeight="false" outlineLevel="0" collapsed="false">
      <c r="A20" s="5" t="s">
        <v>472</v>
      </c>
      <c r="B20" s="34" t="n">
        <v>200000</v>
      </c>
      <c r="C20" s="34" t="n">
        <v>200000</v>
      </c>
      <c r="D20" s="22"/>
    </row>
    <row r="21" customFormat="false" ht="15" hidden="false" customHeight="false" outlineLevel="0" collapsed="false">
      <c r="A21" s="5" t="s">
        <v>473</v>
      </c>
      <c r="B21" s="34" t="n">
        <v>110000</v>
      </c>
      <c r="C21" s="34" t="n">
        <v>500000</v>
      </c>
      <c r="D21" s="22" t="s">
        <v>474</v>
      </c>
    </row>
    <row r="22" customFormat="false" ht="15" hidden="false" customHeight="false" outlineLevel="0" collapsed="false">
      <c r="A22" s="31" t="s">
        <v>475</v>
      </c>
      <c r="B22" s="17" t="n">
        <f aca="false">SUM(B17:B21)</f>
        <v>606000</v>
      </c>
      <c r="C22" s="17" t="n">
        <f aca="false">SUM(C17:C21)</f>
        <v>1640000</v>
      </c>
    </row>
    <row r="23" customFormat="false" ht="15" hidden="false" customHeight="false" outlineLevel="0" collapsed="false">
      <c r="A23" s="5" t="s">
        <v>476</v>
      </c>
      <c r="B23" s="34" t="n">
        <v>0</v>
      </c>
      <c r="C23" s="34" t="n">
        <v>1300000</v>
      </c>
      <c r="D23" s="22" t="s">
        <v>477</v>
      </c>
    </row>
    <row r="24" customFormat="false" ht="15" hidden="false" customHeight="false" outlineLevel="0" collapsed="false">
      <c r="A24" s="5" t="s">
        <v>478</v>
      </c>
      <c r="B24" s="34" t="n">
        <v>100000</v>
      </c>
      <c r="C24" s="34" t="n">
        <v>100000</v>
      </c>
    </row>
    <row r="25" customFormat="false" ht="15" hidden="false" customHeight="false" outlineLevel="0" collapsed="false">
      <c r="A25" s="31" t="s">
        <v>479</v>
      </c>
      <c r="B25" s="17" t="n">
        <f aca="false">B22+B23+B24</f>
        <v>706000</v>
      </c>
      <c r="C25" s="17" t="n">
        <f aca="false">C22+C23+C24</f>
        <v>3040000</v>
      </c>
      <c r="D25" s="22" t="s">
        <v>480</v>
      </c>
    </row>
    <row r="27" customFormat="false" ht="15" hidden="false" customHeight="false" outlineLevel="0" collapsed="false">
      <c r="A27" s="13" t="s">
        <v>481</v>
      </c>
      <c r="E27" s="13" t="s">
        <v>482</v>
      </c>
    </row>
    <row r="28" customFormat="false" ht="15" hidden="false" customHeight="false" outlineLevel="0" collapsed="false">
      <c r="A28" s="74" t="s">
        <v>483</v>
      </c>
      <c r="B28" s="68" t="n">
        <v>0.2</v>
      </c>
      <c r="C28" s="22" t="s">
        <v>484</v>
      </c>
      <c r="E28" s="74" t="s">
        <v>485</v>
      </c>
      <c r="F28" s="34" t="n">
        <v>0</v>
      </c>
      <c r="G28" s="22" t="s">
        <v>486</v>
      </c>
    </row>
    <row r="29" customFormat="false" ht="15" hidden="false" customHeight="false" outlineLevel="0" collapsed="false">
      <c r="A29" s="74" t="s">
        <v>487</v>
      </c>
      <c r="B29" s="68" t="n">
        <v>0.1</v>
      </c>
      <c r="C29" s="22"/>
      <c r="E29" s="74" t="s">
        <v>488</v>
      </c>
      <c r="F29" s="34" t="n">
        <v>7000</v>
      </c>
      <c r="G29" s="22" t="s">
        <v>489</v>
      </c>
    </row>
    <row r="30" customFormat="false" ht="15" hidden="false" customHeight="false" outlineLevel="0" collapsed="false">
      <c r="A30" s="74" t="s">
        <v>490</v>
      </c>
      <c r="B30" s="68" t="n">
        <v>0.2</v>
      </c>
      <c r="C30" s="22"/>
      <c r="E30" s="74" t="s">
        <v>491</v>
      </c>
      <c r="F30" s="66" t="n">
        <v>4</v>
      </c>
      <c r="G30" s="22" t="s">
        <v>492</v>
      </c>
    </row>
    <row r="31" customFormat="false" ht="15" hidden="false" customHeight="false" outlineLevel="0" collapsed="false">
      <c r="A31" s="74" t="s">
        <v>493</v>
      </c>
      <c r="B31" s="68" t="n">
        <v>0.3</v>
      </c>
      <c r="C31" s="22"/>
      <c r="E31" s="74" t="s">
        <v>494</v>
      </c>
      <c r="F31" s="21" t="n">
        <f aca="false">B46</f>
        <v>46296</v>
      </c>
      <c r="G31" s="22" t="s">
        <v>495</v>
      </c>
    </row>
    <row r="32" customFormat="false" ht="15" hidden="false" customHeight="false" outlineLevel="0" collapsed="false">
      <c r="A32" s="74" t="s">
        <v>496</v>
      </c>
      <c r="B32" s="34" t="n">
        <v>35000000</v>
      </c>
      <c r="C32" s="22" t="s">
        <v>497</v>
      </c>
      <c r="E32" s="74" t="s">
        <v>498</v>
      </c>
      <c r="F32" s="41" t="n">
        <f aca="false">Mobiliario!B56</f>
        <v>1</v>
      </c>
      <c r="G32" s="22" t="s">
        <v>499</v>
      </c>
    </row>
    <row r="33" customFormat="false" ht="15" hidden="false" customHeight="false" outlineLevel="0" collapsed="false">
      <c r="A33" s="74" t="s">
        <v>500</v>
      </c>
      <c r="B33" s="75" t="n">
        <v>0.015</v>
      </c>
      <c r="C33" s="22" t="s">
        <v>497</v>
      </c>
      <c r="E33" s="74" t="s">
        <v>501</v>
      </c>
      <c r="F33" s="66" t="n">
        <v>6</v>
      </c>
      <c r="G33" s="22" t="s">
        <v>502</v>
      </c>
    </row>
    <row r="34" customFormat="false" ht="15" hidden="false" customHeight="false" outlineLevel="0" collapsed="false">
      <c r="A34" s="74" t="s">
        <v>503</v>
      </c>
      <c r="B34" s="71" t="n">
        <v>46249</v>
      </c>
      <c r="C34" s="22" t="s">
        <v>504</v>
      </c>
      <c r="E34" s="74" t="s">
        <v>505</v>
      </c>
      <c r="F34" s="34" t="n">
        <v>850000</v>
      </c>
      <c r="G34" s="22" t="s">
        <v>506</v>
      </c>
    </row>
    <row r="35" customFormat="false" ht="23.85" hidden="false" customHeight="false" outlineLevel="0" collapsed="false">
      <c r="A35" s="74" t="s">
        <v>507</v>
      </c>
      <c r="B35" s="71" t="n">
        <v>46371</v>
      </c>
      <c r="C35" s="22" t="s">
        <v>497</v>
      </c>
      <c r="E35" s="74" t="s">
        <v>508</v>
      </c>
      <c r="F35" s="21" t="n">
        <f aca="false">G12</f>
        <v>46844</v>
      </c>
      <c r="G35" s="22"/>
    </row>
    <row r="36" customFormat="false" ht="15" hidden="false" customHeight="false" outlineLevel="0" collapsed="false">
      <c r="A36" s="74" t="s">
        <v>509</v>
      </c>
      <c r="B36" s="66" t="n">
        <v>36</v>
      </c>
      <c r="C36" s="22" t="s">
        <v>510</v>
      </c>
    </row>
    <row r="37" customFormat="false" ht="15" hidden="false" customHeight="false" outlineLevel="0" collapsed="false">
      <c r="A37" s="74" t="s">
        <v>511</v>
      </c>
      <c r="B37" s="39" t="n">
        <f aca="false">(1+B33)^12-1</f>
        <v>0.195618171461534</v>
      </c>
      <c r="C37" s="22"/>
    </row>
    <row r="38" customFormat="false" ht="15" hidden="false" customHeight="false" outlineLevel="0" collapsed="false">
      <c r="A38" s="74" t="s">
        <v>512</v>
      </c>
      <c r="B38" s="68" t="n">
        <v>0.085</v>
      </c>
      <c r="C38" s="22" t="s">
        <v>497</v>
      </c>
    </row>
    <row r="39" customFormat="false" ht="15" hidden="false" customHeight="false" outlineLevel="0" collapsed="false">
      <c r="A39" s="74" t="s">
        <v>513</v>
      </c>
      <c r="B39" s="72" t="n">
        <v>100000000</v>
      </c>
      <c r="C39" s="22" t="s">
        <v>514</v>
      </c>
    </row>
    <row r="40" customFormat="false" ht="15" hidden="false" customHeight="false" outlineLevel="0" collapsed="false">
      <c r="A40" s="74" t="s">
        <v>515</v>
      </c>
      <c r="B40" s="68" t="n">
        <v>0.1207</v>
      </c>
      <c r="C40" s="22" t="s">
        <v>516</v>
      </c>
    </row>
    <row r="41" customFormat="false" ht="15" hidden="false" customHeight="false" outlineLevel="0" collapsed="false">
      <c r="A41" s="74" t="s">
        <v>517</v>
      </c>
      <c r="B41" s="68" t="n">
        <v>0.13</v>
      </c>
      <c r="C41" s="22" t="s">
        <v>518</v>
      </c>
    </row>
    <row r="42" customFormat="false" ht="15" hidden="false" customHeight="false" outlineLevel="0" collapsed="false">
      <c r="A42" s="74" t="s">
        <v>519</v>
      </c>
      <c r="B42" s="76" t="n">
        <f aca="false">(1+B38)^(1/12)-1</f>
        <v>0.00682149336596227</v>
      </c>
      <c r="C42" s="22"/>
    </row>
    <row r="43" customFormat="false" ht="23.85" hidden="false" customHeight="false" outlineLevel="0" collapsed="false">
      <c r="A43" s="74" t="s">
        <v>520</v>
      </c>
      <c r="B43" s="19" t="n">
        <f aca="false">ROUND(Mobiliario!B44/F34,0)</f>
        <v>8</v>
      </c>
      <c r="C43" s="22" t="s">
        <v>521</v>
      </c>
    </row>
    <row r="44" customFormat="false" ht="15" hidden="false" customHeight="false" outlineLevel="0" collapsed="false">
      <c r="A44" s="74" t="s">
        <v>522</v>
      </c>
      <c r="B44" s="68" t="n">
        <v>1</v>
      </c>
      <c r="C44" s="22" t="s">
        <v>523</v>
      </c>
    </row>
    <row r="45" customFormat="false" ht="15" hidden="false" customHeight="false" outlineLevel="0" collapsed="false">
      <c r="A45" s="74" t="s">
        <v>524</v>
      </c>
      <c r="B45" s="33" t="n">
        <f aca="false">Mobiliario!C57</f>
        <v>4020000</v>
      </c>
      <c r="C45" s="22" t="s">
        <v>499</v>
      </c>
    </row>
    <row r="46" customFormat="false" ht="15" hidden="false" customHeight="false" outlineLevel="0" collapsed="false">
      <c r="A46" s="74" t="s">
        <v>525</v>
      </c>
      <c r="B46" s="77" t="n">
        <v>46296</v>
      </c>
      <c r="C46" s="22"/>
    </row>
    <row r="47" customFormat="false" ht="15" hidden="false" customHeight="false" outlineLevel="0" collapsed="false">
      <c r="A47" s="74" t="s">
        <v>526</v>
      </c>
      <c r="B47" s="34" t="n">
        <v>45000</v>
      </c>
      <c r="C47" s="22" t="s">
        <v>527</v>
      </c>
    </row>
    <row r="50" customFormat="false" ht="15" hidden="false" customHeight="false" outlineLevel="0" collapsed="false">
      <c r="A50" s="74" t="s">
        <v>528</v>
      </c>
      <c r="B50" s="34" t="n">
        <v>620000</v>
      </c>
      <c r="C50" s="22" t="s">
        <v>529</v>
      </c>
    </row>
    <row r="52" customFormat="false" ht="23.85" hidden="false" customHeight="false" outlineLevel="0" collapsed="false">
      <c r="A52" s="74" t="s">
        <v>530</v>
      </c>
      <c r="B52" s="68" t="n">
        <v>0.1</v>
      </c>
      <c r="C52" s="22" t="s">
        <v>531</v>
      </c>
    </row>
    <row r="53" customFormat="false" ht="15" hidden="false" customHeight="false" outlineLevel="0" collapsed="false">
      <c r="A53" s="74" t="s">
        <v>532</v>
      </c>
      <c r="B53" s="68" t="n">
        <v>0.19</v>
      </c>
      <c r="C53" s="22"/>
    </row>
    <row r="54" customFormat="false" ht="15" hidden="false" customHeight="false" outlineLevel="0" collapsed="false">
      <c r="A54" s="74" t="s">
        <v>533</v>
      </c>
      <c r="B54" s="77" t="n">
        <v>46296</v>
      </c>
      <c r="C54" s="22"/>
    </row>
    <row r="56" customFormat="false" ht="15" hidden="false" customHeight="false" outlineLevel="0" collapsed="false">
      <c r="A56" s="13" t="s">
        <v>534</v>
      </c>
    </row>
    <row r="57" customFormat="false" ht="30" hidden="false" customHeight="true" outlineLevel="0" collapsed="false">
      <c r="A57" s="24" t="s">
        <v>92</v>
      </c>
      <c r="B57" s="24" t="s">
        <v>102</v>
      </c>
      <c r="D57" s="24" t="s">
        <v>95</v>
      </c>
      <c r="F57" s="24" t="s">
        <v>535</v>
      </c>
    </row>
    <row r="58" customFormat="false" ht="15" hidden="false" customHeight="false" outlineLevel="0" collapsed="false">
      <c r="A58" s="37" t="s">
        <v>104</v>
      </c>
      <c r="B58" s="37" t="s">
        <v>536</v>
      </c>
      <c r="D58" s="37" t="s">
        <v>13</v>
      </c>
      <c r="F58" s="37" t="s">
        <v>110</v>
      </c>
    </row>
    <row r="59" customFormat="false" ht="15" hidden="false" customHeight="false" outlineLevel="0" collapsed="false">
      <c r="A59" s="37" t="s">
        <v>114</v>
      </c>
      <c r="B59" s="37" t="s">
        <v>536</v>
      </c>
      <c r="D59" s="37" t="s">
        <v>14</v>
      </c>
      <c r="F59" s="37" t="s">
        <v>537</v>
      </c>
    </row>
    <row r="60" customFormat="false" ht="15" hidden="false" customHeight="false" outlineLevel="0" collapsed="false">
      <c r="A60" s="37" t="s">
        <v>126</v>
      </c>
      <c r="B60" s="37" t="s">
        <v>536</v>
      </c>
      <c r="D60" s="37" t="s">
        <v>15</v>
      </c>
      <c r="F60" s="37" t="s">
        <v>179</v>
      </c>
    </row>
    <row r="61" customFormat="false" ht="15" hidden="false" customHeight="false" outlineLevel="0" collapsed="false">
      <c r="A61" s="37" t="s">
        <v>147</v>
      </c>
      <c r="B61" s="37" t="s">
        <v>536</v>
      </c>
      <c r="D61" s="37" t="s">
        <v>538</v>
      </c>
    </row>
    <row r="62" customFormat="false" ht="15" hidden="false" customHeight="false" outlineLevel="0" collapsed="false">
      <c r="A62" s="37" t="s">
        <v>168</v>
      </c>
      <c r="B62" s="37" t="s">
        <v>536</v>
      </c>
      <c r="D62" s="37" t="s">
        <v>539</v>
      </c>
    </row>
    <row r="63" customFormat="false" ht="15" hidden="false" customHeight="false" outlineLevel="0" collapsed="false">
      <c r="A63" s="37" t="s">
        <v>183</v>
      </c>
      <c r="B63" s="37" t="s">
        <v>540</v>
      </c>
      <c r="D63" s="37" t="s">
        <v>170</v>
      </c>
    </row>
    <row r="64" customFormat="false" ht="15" hidden="false" customHeight="false" outlineLevel="0" collapsed="false">
      <c r="A64" s="37" t="s">
        <v>541</v>
      </c>
      <c r="B64" s="37" t="s">
        <v>540</v>
      </c>
    </row>
    <row r="65" customFormat="false" ht="15" hidden="false" customHeight="false" outlineLevel="0" collapsed="false">
      <c r="A65" s="37" t="s">
        <v>161</v>
      </c>
      <c r="B65" s="37" t="s">
        <v>542</v>
      </c>
    </row>
  </sheetData>
  <printOptions headings="false" gridLines="false" gridLinesSet="true" horizontalCentered="false" verticalCentered="false"/>
  <pageMargins left="0.4" right="0.4" top="0.5" bottom="0.5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La Clarita — rendición de cuentas · Página &amp;P de &amp;N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2026-10-01T01:47:29Z</dcterms:created>
  <dc:creator>openpyxl</dc:creator>
  <dc:description/>
  <dc:language>en-US</dc:language>
  <cp:lastModifiedBy/>
  <dcterms:modified xsi:type="dcterms:W3CDTF">2026-10-01T01:47:29Z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