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225"/>
  <workbookPr autoCompressPictures="0"/>
  <bookViews>
    <workbookView xWindow="0" yWindow="0" windowWidth="24000" windowHeight="9740"/>
  </bookViews>
  <sheets>
    <sheet name="BALANCE Y ESTADO DE RESULTADOS" sheetId="1" r:id="rId1"/>
    <sheet name="GASTOS" sheetId="6" r:id="rId2"/>
    <sheet name="ACTIVOS Y POSESIONES" sheetId="5" r:id="rId3"/>
    <sheet name="PASIVOS" sheetId="7" r:id="rId4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6" i="5" l="1"/>
  <c r="D47" i="1"/>
  <c r="B83" i="5"/>
  <c r="D48" i="1"/>
  <c r="B88" i="5"/>
  <c r="D49" i="1"/>
  <c r="D50" i="1"/>
  <c r="B11" i="5"/>
  <c r="D32" i="1"/>
  <c r="B16" i="5"/>
  <c r="D33" i="1"/>
  <c r="B21" i="5"/>
  <c r="D34" i="1"/>
  <c r="B26" i="5"/>
  <c r="D35" i="1"/>
  <c r="B31" i="5"/>
  <c r="D36" i="1"/>
  <c r="B38" i="5"/>
  <c r="D37" i="1"/>
  <c r="B45" i="5"/>
  <c r="D38" i="1"/>
  <c r="B52" i="5"/>
  <c r="D39" i="1"/>
  <c r="B59" i="5"/>
  <c r="D40" i="1"/>
  <c r="B64" i="5"/>
  <c r="D41" i="1"/>
  <c r="B69" i="5"/>
  <c r="D42" i="1"/>
  <c r="D43" i="1"/>
  <c r="D52" i="1"/>
  <c r="L14" i="1"/>
  <c r="H5" i="1"/>
  <c r="C4" i="6"/>
  <c r="H6" i="1"/>
  <c r="C11" i="6"/>
  <c r="H8" i="1"/>
  <c r="D9" i="1"/>
  <c r="D13" i="1"/>
  <c r="D18" i="1"/>
  <c r="D19" i="1"/>
  <c r="L10" i="1"/>
  <c r="H7" i="1"/>
  <c r="C17" i="6"/>
  <c r="H9" i="1"/>
  <c r="C19" i="6"/>
  <c r="H10" i="1"/>
  <c r="H11" i="1"/>
  <c r="G39" i="6"/>
  <c r="H12" i="1"/>
  <c r="C27" i="6"/>
  <c r="H13" i="1"/>
  <c r="C41" i="6"/>
  <c r="H14" i="1"/>
  <c r="G3" i="6"/>
  <c r="H15" i="1"/>
  <c r="G7" i="6"/>
  <c r="H16" i="1"/>
  <c r="H17" i="1"/>
  <c r="G13" i="6"/>
  <c r="H18" i="1"/>
  <c r="G19" i="6"/>
  <c r="H19" i="1"/>
  <c r="H20" i="1"/>
  <c r="G24" i="6"/>
  <c r="H21" i="1"/>
  <c r="H22" i="1"/>
  <c r="G31" i="6"/>
  <c r="H23" i="1"/>
  <c r="G35" i="6"/>
  <c r="H24" i="1"/>
  <c r="H25" i="1"/>
  <c r="H26" i="1"/>
  <c r="H27" i="1"/>
  <c r="D27" i="1"/>
  <c r="L4" i="1"/>
  <c r="L7" i="1"/>
  <c r="B30" i="7"/>
  <c r="H36" i="1"/>
  <c r="B25" i="7"/>
  <c r="H35" i="1"/>
  <c r="B20" i="7"/>
  <c r="H34" i="1"/>
  <c r="B15" i="7"/>
  <c r="H33" i="1"/>
  <c r="B10" i="7"/>
  <c r="H32" i="1"/>
  <c r="B40" i="7"/>
  <c r="H38" i="1"/>
  <c r="B35" i="7"/>
  <c r="H37" i="1"/>
  <c r="B41" i="7"/>
  <c r="H39" i="1"/>
  <c r="H52" i="1"/>
  <c r="L18" i="1"/>
  <c r="C70" i="5"/>
  <c r="C89" i="5"/>
  <c r="C90" i="5"/>
  <c r="D37" i="7"/>
  <c r="D32" i="7"/>
  <c r="D27" i="7"/>
  <c r="D22" i="7"/>
  <c r="D17" i="7"/>
  <c r="D12" i="7"/>
  <c r="D7" i="7"/>
  <c r="D40" i="7"/>
  <c r="D35" i="7"/>
  <c r="D30" i="7"/>
  <c r="D25" i="7"/>
  <c r="D20" i="7"/>
  <c r="D15" i="7"/>
  <c r="D10" i="7"/>
  <c r="D6" i="7"/>
  <c r="D39" i="7"/>
  <c r="D34" i="7"/>
  <c r="D29" i="7"/>
  <c r="D24" i="7"/>
  <c r="D19" i="7"/>
  <c r="D14" i="7"/>
  <c r="D9" i="7"/>
  <c r="D5" i="7"/>
  <c r="D38" i="7"/>
  <c r="D33" i="7"/>
  <c r="D28" i="7"/>
  <c r="D23" i="7"/>
  <c r="D18" i="7"/>
  <c r="D13" i="7"/>
  <c r="D8" i="7"/>
  <c r="B70" i="5"/>
  <c r="G54" i="6"/>
  <c r="D40" i="6"/>
  <c r="D7" i="6"/>
  <c r="D36" i="6"/>
  <c r="D16" i="6"/>
  <c r="D25" i="6"/>
  <c r="H42" i="6"/>
  <c r="H44" i="6"/>
  <c r="H40" i="6"/>
  <c r="H38" i="6"/>
  <c r="H32" i="6"/>
  <c r="H30" i="6"/>
  <c r="H24" i="6"/>
  <c r="H22" i="6"/>
  <c r="H17" i="6"/>
  <c r="H14" i="6"/>
  <c r="H8" i="6"/>
  <c r="H5" i="6"/>
  <c r="D45" i="6"/>
  <c r="D47" i="6"/>
  <c r="D53" i="6"/>
  <c r="D42" i="6"/>
  <c r="D33" i="6"/>
  <c r="D35" i="6"/>
  <c r="D39" i="6"/>
  <c r="D28" i="6"/>
  <c r="D26" i="6"/>
  <c r="D22" i="6"/>
  <c r="D24" i="6"/>
  <c r="D20" i="6"/>
  <c r="D14" i="6"/>
  <c r="D19" i="6"/>
  <c r="D17" i="6"/>
  <c r="D12" i="6"/>
  <c r="D6" i="6"/>
  <c r="D8" i="6"/>
  <c r="D10" i="6"/>
  <c r="D4" i="6"/>
  <c r="H51" i="6"/>
  <c r="H41" i="6"/>
  <c r="H43" i="6"/>
  <c r="H45" i="6"/>
  <c r="H48" i="6"/>
  <c r="H39" i="6"/>
  <c r="H37" i="6"/>
  <c r="H35" i="6"/>
  <c r="H34" i="6"/>
  <c r="H31" i="6"/>
  <c r="H26" i="6"/>
  <c r="H28" i="6"/>
  <c r="H25" i="6"/>
  <c r="H21" i="6"/>
  <c r="H23" i="6"/>
  <c r="H19" i="6"/>
  <c r="H16" i="6"/>
  <c r="H18" i="6"/>
  <c r="H13" i="6"/>
  <c r="H9" i="6"/>
  <c r="H11" i="6"/>
  <c r="H7" i="6"/>
  <c r="H6" i="6"/>
  <c r="H3" i="6"/>
  <c r="D44" i="6"/>
  <c r="D46" i="6"/>
  <c r="D48" i="6"/>
  <c r="D50" i="6"/>
  <c r="D52" i="6"/>
  <c r="D54" i="6"/>
  <c r="D41" i="6"/>
  <c r="D30" i="6"/>
  <c r="D32" i="6"/>
  <c r="D3" i="6"/>
  <c r="D9" i="6"/>
  <c r="D11" i="6"/>
  <c r="D18" i="6"/>
  <c r="D13" i="6"/>
  <c r="D23" i="6"/>
  <c r="D27" i="6"/>
  <c r="D38" i="6"/>
  <c r="D34" i="6"/>
  <c r="B89" i="5"/>
  <c r="B90" i="5"/>
  <c r="D6" i="5"/>
  <c r="D41" i="7"/>
  <c r="D31" i="6"/>
  <c r="D51" i="6"/>
  <c r="D43" i="6"/>
  <c r="H10" i="6"/>
  <c r="H15" i="6"/>
  <c r="H29" i="6"/>
  <c r="H33" i="6"/>
  <c r="H47" i="6"/>
  <c r="H49" i="6"/>
  <c r="D5" i="6"/>
  <c r="D21" i="6"/>
  <c r="D37" i="6"/>
  <c r="D29" i="6"/>
  <c r="D49" i="6"/>
  <c r="H4" i="6"/>
  <c r="H12" i="6"/>
  <c r="H20" i="6"/>
  <c r="H27" i="6"/>
  <c r="H36" i="6"/>
  <c r="H46" i="6"/>
  <c r="H50" i="6"/>
  <c r="D15" i="6"/>
  <c r="D74" i="5"/>
  <c r="D79" i="5"/>
  <c r="D81" i="5"/>
  <c r="D86" i="5"/>
  <c r="D14" i="5"/>
  <c r="D19" i="5"/>
  <c r="D24" i="5"/>
  <c r="D29" i="5"/>
  <c r="D34" i="5"/>
  <c r="D36" i="5"/>
  <c r="D41" i="5"/>
  <c r="D43" i="5"/>
  <c r="D48" i="5"/>
  <c r="D50" i="5"/>
  <c r="D55" i="5"/>
  <c r="D57" i="5"/>
  <c r="D62" i="5"/>
  <c r="D67" i="5"/>
  <c r="D8" i="5"/>
  <c r="D10" i="5"/>
  <c r="D73" i="5"/>
  <c r="D75" i="5"/>
  <c r="D78" i="5"/>
  <c r="D80" i="5"/>
  <c r="D82" i="5"/>
  <c r="D85" i="5"/>
  <c r="D87" i="5"/>
  <c r="D13" i="5"/>
  <c r="D15" i="5"/>
  <c r="D18" i="5"/>
  <c r="D20" i="5"/>
  <c r="D23" i="5"/>
  <c r="D25" i="5"/>
  <c r="D28" i="5"/>
  <c r="D30" i="5"/>
  <c r="D33" i="5"/>
  <c r="D35" i="5"/>
  <c r="D37" i="5"/>
  <c r="D40" i="5"/>
  <c r="D42" i="5"/>
  <c r="D44" i="5"/>
  <c r="D47" i="5"/>
  <c r="D49" i="5"/>
  <c r="D51" i="5"/>
  <c r="D54" i="5"/>
  <c r="D56" i="5"/>
  <c r="D58" i="5"/>
  <c r="D61" i="5"/>
  <c r="D63" i="5"/>
  <c r="D66" i="5"/>
  <c r="D68" i="5"/>
  <c r="D7" i="5"/>
  <c r="D9" i="5"/>
  <c r="D26" i="5"/>
  <c r="D52" i="5"/>
  <c r="D88" i="5"/>
  <c r="D21" i="5"/>
  <c r="D45" i="5"/>
  <c r="D69" i="5"/>
  <c r="D76" i="5"/>
  <c r="D16" i="5"/>
  <c r="D38" i="5"/>
  <c r="D64" i="5"/>
  <c r="D11" i="5"/>
  <c r="D31" i="5"/>
  <c r="D59" i="5"/>
  <c r="D83" i="5"/>
  <c r="D70" i="5"/>
  <c r="D89" i="5"/>
  <c r="D90" i="5"/>
  <c r="I25" i="1"/>
  <c r="I7" i="1"/>
  <c r="I24" i="1"/>
  <c r="I6" i="1"/>
  <c r="I5" i="1"/>
  <c r="I14" i="1"/>
  <c r="I18" i="1"/>
  <c r="I10" i="1"/>
  <c r="I23" i="1"/>
  <c r="I20" i="1"/>
  <c r="I16" i="1"/>
  <c r="I12" i="1"/>
  <c r="I8" i="1"/>
  <c r="I26" i="1"/>
  <c r="I22" i="1"/>
  <c r="I21" i="1"/>
  <c r="I19" i="1"/>
  <c r="I17" i="1"/>
  <c r="I15" i="1"/>
  <c r="I13" i="1"/>
  <c r="I11" i="1"/>
  <c r="I9" i="1"/>
  <c r="I27" i="1"/>
  <c r="D53" i="1"/>
  <c r="I33" i="1"/>
  <c r="I35" i="1"/>
  <c r="I37" i="1"/>
  <c r="I32" i="1"/>
  <c r="I34" i="1"/>
  <c r="I36" i="1"/>
  <c r="I38" i="1"/>
  <c r="H53" i="1"/>
  <c r="I39" i="1"/>
  <c r="E6" i="1"/>
  <c r="E17" i="1"/>
  <c r="E11" i="1"/>
  <c r="E8" i="1"/>
  <c r="E16" i="1"/>
  <c r="E15" i="1"/>
  <c r="E12" i="1"/>
  <c r="E7" i="1"/>
  <c r="E5" i="1"/>
  <c r="E9" i="1"/>
  <c r="E13" i="1"/>
  <c r="E18" i="1"/>
  <c r="E19" i="1"/>
  <c r="H54" i="6"/>
  <c r="H41" i="1"/>
  <c r="E47" i="1"/>
  <c r="E38" i="1"/>
  <c r="E40" i="1"/>
  <c r="E32" i="1"/>
  <c r="E42" i="1"/>
  <c r="E49" i="1"/>
  <c r="E34" i="1"/>
  <c r="E33" i="1"/>
  <c r="E36" i="1"/>
  <c r="E35" i="1"/>
  <c r="E39" i="1"/>
  <c r="E37" i="1"/>
  <c r="E41" i="1"/>
  <c r="E48" i="1"/>
  <c r="E50" i="1"/>
  <c r="E43" i="1"/>
  <c r="E52" i="1"/>
  <c r="E53" i="1"/>
</calcChain>
</file>

<file path=xl/sharedStrings.xml><?xml version="1.0" encoding="utf-8"?>
<sst xmlns="http://schemas.openxmlformats.org/spreadsheetml/2006/main" count="324" uniqueCount="281">
  <si>
    <t>INGRESO</t>
  </si>
  <si>
    <t>Ingreso Ganado</t>
  </si>
  <si>
    <t>Honorarios</t>
  </si>
  <si>
    <t>Total ingreso ganado</t>
  </si>
  <si>
    <t>Ingreso pasivo</t>
  </si>
  <si>
    <t>Finca Raiz</t>
  </si>
  <si>
    <t>Negocios</t>
  </si>
  <si>
    <t>Total ingreso pasivo</t>
  </si>
  <si>
    <t>Ingreso de Portafolio</t>
  </si>
  <si>
    <t>Intereses</t>
  </si>
  <si>
    <t>Dividendos</t>
  </si>
  <si>
    <t>Regalias</t>
  </si>
  <si>
    <t>Total ingreso de portafolio</t>
  </si>
  <si>
    <t>Activos</t>
  </si>
  <si>
    <t>Cuentas bancarias</t>
  </si>
  <si>
    <t>Certificados de deposito</t>
  </si>
  <si>
    <t>Derechos fiduciarios</t>
  </si>
  <si>
    <t>Bonos soberanos</t>
  </si>
  <si>
    <t>Acciones</t>
  </si>
  <si>
    <t>Inmuebles</t>
  </si>
  <si>
    <t>Otros</t>
  </si>
  <si>
    <t>TOTAL INGRESOS</t>
  </si>
  <si>
    <t>Posesiones</t>
  </si>
  <si>
    <t>Ganado</t>
  </si>
  <si>
    <t>Mascota</t>
  </si>
  <si>
    <t>Activos para La DIAN y los bancos</t>
  </si>
  <si>
    <t>Activos para su libertad financiera</t>
  </si>
  <si>
    <t>PASIVOS</t>
  </si>
  <si>
    <t>Deudas</t>
  </si>
  <si>
    <t>Tarjetas de crédito</t>
  </si>
  <si>
    <t>Créditos de vehículo</t>
  </si>
  <si>
    <t>Créditos de consumo</t>
  </si>
  <si>
    <t xml:space="preserve">Créditos educativos </t>
  </si>
  <si>
    <t>Créditos personales</t>
  </si>
  <si>
    <t>Patrimonio Neto para La DIAN y los bancos</t>
  </si>
  <si>
    <t>Patrimonio Neto para su libertad financiera</t>
  </si>
  <si>
    <t>EGRESOS</t>
  </si>
  <si>
    <t>Gastos</t>
  </si>
  <si>
    <t>Arriendo / Hipoteca</t>
  </si>
  <si>
    <t>Servicios públicos</t>
  </si>
  <si>
    <t>Créditos</t>
  </si>
  <si>
    <t>Gastos vehículo</t>
  </si>
  <si>
    <t>Gastos personales</t>
  </si>
  <si>
    <t>Gastos bancarios</t>
  </si>
  <si>
    <t>Gastos vivienda</t>
  </si>
  <si>
    <t>Gastos hijos</t>
  </si>
  <si>
    <t>Gastos conyuge</t>
  </si>
  <si>
    <t>Provisión impuestos</t>
  </si>
  <si>
    <t>Provisión seguros</t>
  </si>
  <si>
    <t>Deportes</t>
  </si>
  <si>
    <t>Entretenimiento</t>
  </si>
  <si>
    <t>Mercado</t>
  </si>
  <si>
    <t>Imprevistos</t>
  </si>
  <si>
    <t>Sociales</t>
  </si>
  <si>
    <t>Salario neto</t>
  </si>
  <si>
    <t>Comisiones</t>
  </si>
  <si>
    <t>TOTAL GASTOS</t>
  </si>
  <si>
    <t>Servicio domestico</t>
  </si>
  <si>
    <t>FLUJO DE CAJA NETO</t>
  </si>
  <si>
    <t>Flujo de caja neto/Total ingresos</t>
  </si>
  <si>
    <t>¿Su dinero trabaja para usted?</t>
  </si>
  <si>
    <t>Ingreso Pasivo y Portafolio/Ingreso Total</t>
  </si>
  <si>
    <t>Arriendo+Gastos+Serv publicos/ Ingreso Total</t>
  </si>
  <si>
    <t>¿Cuánto gasta en su vivienda?</t>
  </si>
  <si>
    <t>¿Cuánto gasta en posesiones?</t>
  </si>
  <si>
    <t>Total activos</t>
  </si>
  <si>
    <t>Total posesiones</t>
  </si>
  <si>
    <t>Total posesiones/activos Dian-bancos</t>
  </si>
  <si>
    <t>*mantener en menos de 30%</t>
  </si>
  <si>
    <t>* mantener en menos de 30%</t>
  </si>
  <si>
    <t>Independencia financiera</t>
  </si>
  <si>
    <t>*expresada en meses</t>
  </si>
  <si>
    <t>Cuentas AFC/FVP</t>
  </si>
  <si>
    <t>Fondos de inversión</t>
  </si>
  <si>
    <t>ANALISIS</t>
  </si>
  <si>
    <t>Total deudas</t>
  </si>
  <si>
    <t>Patrimonio neto Dian-bancos/Total gastos</t>
  </si>
  <si>
    <t>ESTADO DE RESULTADOS</t>
  </si>
  <si>
    <t>Ahorro e inversión</t>
  </si>
  <si>
    <t>Bonificaciones</t>
  </si>
  <si>
    <t>BALANCE PERSONAL</t>
  </si>
  <si>
    <t>% de deuda/activos Dian</t>
  </si>
  <si>
    <t>¿Cuanto dinero retiene?</t>
  </si>
  <si>
    <t>Pensión</t>
  </si>
  <si>
    <t>Salario</t>
  </si>
  <si>
    <t>Prepagada</t>
  </si>
  <si>
    <t>Codensa</t>
  </si>
  <si>
    <t>Vales</t>
  </si>
  <si>
    <t>Visa</t>
  </si>
  <si>
    <t>Master</t>
  </si>
  <si>
    <t>Diners</t>
  </si>
  <si>
    <t>Retiros</t>
  </si>
  <si>
    <t>MASCOTA</t>
  </si>
  <si>
    <t>SERVICIO DOMESTICO</t>
  </si>
  <si>
    <t>GASTOS</t>
  </si>
  <si>
    <t>Mesada</t>
  </si>
  <si>
    <t>CREDITOS</t>
  </si>
  <si>
    <t>Vehiculos</t>
  </si>
  <si>
    <t>Predial</t>
  </si>
  <si>
    <t>SERVICIOS PUBLICOS</t>
  </si>
  <si>
    <t>Agua</t>
  </si>
  <si>
    <t>Luz</t>
  </si>
  <si>
    <t>Teléfono</t>
  </si>
  <si>
    <t>Internet</t>
  </si>
  <si>
    <t>Televisión</t>
  </si>
  <si>
    <t>Celular</t>
  </si>
  <si>
    <t>MERCADO</t>
  </si>
  <si>
    <t>ENTRETENIMIENTO</t>
  </si>
  <si>
    <t>IMPREVISTOS</t>
  </si>
  <si>
    <t>SALUD</t>
  </si>
  <si>
    <t>GASTOS PERSONALES</t>
  </si>
  <si>
    <t>Hipoteca / Leasing</t>
  </si>
  <si>
    <t>Detalle</t>
  </si>
  <si>
    <t>Valor</t>
  </si>
  <si>
    <t>Observaciones</t>
  </si>
  <si>
    <t>Citibank cuenta corriente</t>
  </si>
  <si>
    <t>Citibank cuenta ahorros</t>
  </si>
  <si>
    <t>Helm cuenta corriente</t>
  </si>
  <si>
    <t>Helm cuenta ahorros</t>
  </si>
  <si>
    <t>Ecopetrol</t>
  </si>
  <si>
    <t>KR 6 129A-36 AP 1503</t>
  </si>
  <si>
    <t>Vivienda de habitación</t>
  </si>
  <si>
    <t>Inmueble que genera renta</t>
  </si>
  <si>
    <t>Local que genera renta</t>
  </si>
  <si>
    <t>Vehículos</t>
  </si>
  <si>
    <t>Chevrolet Spark DCH 305</t>
  </si>
  <si>
    <t>Total vehículos</t>
  </si>
  <si>
    <t>Obra de Fernando Botero</t>
  </si>
  <si>
    <t>Gordas chismosas</t>
  </si>
  <si>
    <t>Escultura de Sara Acuña</t>
  </si>
  <si>
    <t>Helm Bank</t>
  </si>
  <si>
    <t>Total cuentas bancarias</t>
  </si>
  <si>
    <t>Total certificados de deposito</t>
  </si>
  <si>
    <t>Derechos Fiduciarios</t>
  </si>
  <si>
    <t>Total derechos fiduciarios</t>
  </si>
  <si>
    <t>Total bonos soberanos</t>
  </si>
  <si>
    <t>Total cuentas AFC/FVP</t>
  </si>
  <si>
    <t>Fondos de Inversión</t>
  </si>
  <si>
    <t>Total fondos de Inversión</t>
  </si>
  <si>
    <t>Total acciones</t>
  </si>
  <si>
    <t>Total inmuebles</t>
  </si>
  <si>
    <t>Total negocios</t>
  </si>
  <si>
    <t>Total ganado</t>
  </si>
  <si>
    <t>Total otros</t>
  </si>
  <si>
    <t>TOTAL ACTIVOS</t>
  </si>
  <si>
    <t>POSESIONES</t>
  </si>
  <si>
    <t>TOTAL POSESIONES</t>
  </si>
  <si>
    <t>ACTIVOS Y POSESIONES</t>
  </si>
  <si>
    <t>TOTAL ACTIVOS Y POSESIONES</t>
  </si>
  <si>
    <t>CDT Helm</t>
  </si>
  <si>
    <t>Helm fiduciaria</t>
  </si>
  <si>
    <t>BD Bacata</t>
  </si>
  <si>
    <t>Oikos</t>
  </si>
  <si>
    <t>Hotel Pop Art</t>
  </si>
  <si>
    <t>TES 2018</t>
  </si>
  <si>
    <t>Bonos reserva federal USA 2020</t>
  </si>
  <si>
    <t>Helm Bank AFC</t>
  </si>
  <si>
    <t>Dafuturo</t>
  </si>
  <si>
    <t>Corredores</t>
  </si>
  <si>
    <t>Fondo interes</t>
  </si>
  <si>
    <t>Multiescala 60</t>
  </si>
  <si>
    <t>Fondo acción</t>
  </si>
  <si>
    <t>Valores Bancolombia</t>
  </si>
  <si>
    <t>Corficolombiana</t>
  </si>
  <si>
    <t>Davivienda AFC</t>
  </si>
  <si>
    <t>FVP</t>
  </si>
  <si>
    <t>C.C. San Ambrosio local 2-31</t>
  </si>
  <si>
    <t>Deli Burguer</t>
  </si>
  <si>
    <t>Inversiones Phoenix</t>
  </si>
  <si>
    <t>Vacas Holstein</t>
  </si>
  <si>
    <t>ganado lechero</t>
  </si>
  <si>
    <t>Novillos Simbrah</t>
  </si>
  <si>
    <t>ganado de carne</t>
  </si>
  <si>
    <t>KR 26 67-13 IN3 AP 605</t>
  </si>
  <si>
    <t>Casa Anapoima</t>
  </si>
  <si>
    <t>Casa de descanso</t>
  </si>
  <si>
    <t>BMW 325 HBU426</t>
  </si>
  <si>
    <t>AKT 125</t>
  </si>
  <si>
    <t>Conejos en celo</t>
  </si>
  <si>
    <t>397 acciones</t>
  </si>
  <si>
    <t>6,215 acciones</t>
  </si>
  <si>
    <t xml:space="preserve">ACTIVOS </t>
  </si>
  <si>
    <t>Ruta</t>
  </si>
  <si>
    <t>Onces</t>
  </si>
  <si>
    <t>Ropa</t>
  </si>
  <si>
    <t>ARRIENDO/HIPOTECA</t>
  </si>
  <si>
    <t>GASTOS VIVIENDA</t>
  </si>
  <si>
    <t>Administración</t>
  </si>
  <si>
    <t>Cuotas extraordinarias</t>
  </si>
  <si>
    <t>Mantenimiento</t>
  </si>
  <si>
    <t>GASTOS VEHÍCULO</t>
  </si>
  <si>
    <t>Gasolina</t>
  </si>
  <si>
    <t>GASTOS HIJOS</t>
  </si>
  <si>
    <t>GASTOS CONYUGE</t>
  </si>
  <si>
    <t>Vehículo</t>
  </si>
  <si>
    <t>Rotativo</t>
  </si>
  <si>
    <t>Libranza</t>
  </si>
  <si>
    <t>American Express</t>
  </si>
  <si>
    <t>GASTOS BANCARIOS</t>
  </si>
  <si>
    <t>Cuota de manejo cuenta</t>
  </si>
  <si>
    <t>Cuota de manejo Visa</t>
  </si>
  <si>
    <t>Cuota de manejo Master</t>
  </si>
  <si>
    <t>Cuota de manejo American</t>
  </si>
  <si>
    <t>Cuota de manejo Diners</t>
  </si>
  <si>
    <t>Cuota de manejo Codensa</t>
  </si>
  <si>
    <t>4 x 1000</t>
  </si>
  <si>
    <t>PROVISIÓN IMPUESTOS</t>
  </si>
  <si>
    <t>Valorización</t>
  </si>
  <si>
    <t>PROVISIÓN SEGUROS</t>
  </si>
  <si>
    <t>Soat</t>
  </si>
  <si>
    <t>Todo riesgo vehículo</t>
  </si>
  <si>
    <t>Poliza vida</t>
  </si>
  <si>
    <t>Todo riesgo casa</t>
  </si>
  <si>
    <t>DEPORTES/GIMNASIO</t>
  </si>
  <si>
    <t>Cine</t>
  </si>
  <si>
    <t>Paseos</t>
  </si>
  <si>
    <t>Restaurantes</t>
  </si>
  <si>
    <t>Parques de diversión</t>
  </si>
  <si>
    <t>SOCIALES</t>
  </si>
  <si>
    <t>"Rumba"</t>
  </si>
  <si>
    <t>Cumpleaños</t>
  </si>
  <si>
    <t>Matrimonios</t>
  </si>
  <si>
    <t>Concentrado</t>
  </si>
  <si>
    <t>Entrenador</t>
  </si>
  <si>
    <t>Veterinario</t>
  </si>
  <si>
    <t>Baño</t>
  </si>
  <si>
    <t>AHORRO E INVERSIÓN</t>
  </si>
  <si>
    <t>Prestaciones</t>
  </si>
  <si>
    <t>Dotación</t>
  </si>
  <si>
    <t>Medicamentos</t>
  </si>
  <si>
    <t>OTROS</t>
  </si>
  <si>
    <t>Alimentación</t>
  </si>
  <si>
    <t>Transporte</t>
  </si>
  <si>
    <t>Peluqueria</t>
  </si>
  <si>
    <t>Lavanderia</t>
  </si>
  <si>
    <t>Parqueaderos</t>
  </si>
  <si>
    <t>Vestido</t>
  </si>
  <si>
    <t>Varios</t>
  </si>
  <si>
    <t>CMR</t>
  </si>
  <si>
    <t>Tarjeta Alkosto</t>
  </si>
  <si>
    <t>Tarjeta Éxito</t>
  </si>
  <si>
    <t>Tarjeta Multiservicios</t>
  </si>
  <si>
    <t>Cuota de manejo CMR</t>
  </si>
  <si>
    <t>Cuota de manejo Alkosto</t>
  </si>
  <si>
    <t>Cuota de manejo Éxito</t>
  </si>
  <si>
    <t>Cuota de manejo Multiservicios</t>
  </si>
  <si>
    <t>Peajes / Cobros por congestión</t>
  </si>
  <si>
    <t>Multas / Sanciones</t>
  </si>
  <si>
    <t>Consultas</t>
  </si>
  <si>
    <t>DONACIONES</t>
  </si>
  <si>
    <t>Salud</t>
  </si>
  <si>
    <t>Donaciones</t>
  </si>
  <si>
    <t>Bautizos</t>
  </si>
  <si>
    <t>Tarjetas de crèdito</t>
  </si>
  <si>
    <t xml:space="preserve">Visa Gold </t>
  </si>
  <si>
    <t xml:space="preserve">Diners </t>
  </si>
  <si>
    <t xml:space="preserve">CMR </t>
  </si>
  <si>
    <t>Davivienda</t>
  </si>
  <si>
    <t>Falabella</t>
  </si>
  <si>
    <t>Total tarjetas de credito</t>
  </si>
  <si>
    <t>Total hipoteca / leasing</t>
  </si>
  <si>
    <t>Creditos de vehìculo</t>
  </si>
  <si>
    <t>Total creditos de vehiculo</t>
  </si>
  <si>
    <t>Creditos de consumo</t>
  </si>
  <si>
    <t>Total creditos de consumo</t>
  </si>
  <si>
    <t>Credicash</t>
  </si>
  <si>
    <t>Daviexpress</t>
  </si>
  <si>
    <t>Fondo empleados</t>
  </si>
  <si>
    <t>Creditos personales</t>
  </si>
  <si>
    <t>Deudas familiares</t>
  </si>
  <si>
    <t>Cadena amigos</t>
  </si>
  <si>
    <t>Otros crèditos</t>
  </si>
  <si>
    <t>Total otros creditos</t>
  </si>
  <si>
    <t>Amway</t>
  </si>
  <si>
    <t>Zrii</t>
  </si>
  <si>
    <t>Creditos educativos</t>
  </si>
  <si>
    <t>Icetex</t>
  </si>
  <si>
    <t>MBA</t>
  </si>
  <si>
    <t>TOTAL PASIVOS</t>
  </si>
  <si>
    <t>Total creditos educativos</t>
  </si>
  <si>
    <t>Total creditos personalees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</si>
</sst>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_-&quot;$&quot;* #,##0.0_-;\-&quot;$&quot;* #,##0.0_-;_-&quot;$&quot;* &quot;-&quot;?_-;_-@_-"/>
    <numFmt numFmtId="167" formatCode="0.0%"/>
    <numFmt numFmtId="168" formatCode="_-&quot;$&quot;* #,##0_-;\-&quot;$&quot;* #,##0_-;_-&quot;$&quot;* &quot;-&quot;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/>
      <right style="medium">
        <color rgb="FF00B050"/>
      </right>
      <top/>
      <bottom style="double">
        <color auto="1"/>
      </bottom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1">
    <xf numFmtId="0" fontId="0" fillId="0" borderId="0" xfId="0"/>
    <xf numFmtId="165" fontId="0" fillId="3" borderId="1" xfId="1" applyNumberFormat="1" applyFont="1" applyFill="1" applyBorder="1"/>
    <xf numFmtId="165" fontId="3" fillId="3" borderId="1" xfId="1" applyNumberFormat="1" applyFont="1" applyFill="1" applyBorder="1"/>
    <xf numFmtId="165" fontId="0" fillId="3" borderId="0" xfId="1" applyNumberFormat="1" applyFont="1" applyFill="1" applyBorder="1"/>
    <xf numFmtId="10" fontId="0" fillId="0" borderId="1" xfId="2" applyNumberFormat="1" applyFont="1" applyFill="1" applyBorder="1"/>
    <xf numFmtId="165" fontId="3" fillId="3" borderId="0" xfId="1" applyNumberFormat="1" applyFont="1" applyFill="1" applyBorder="1"/>
    <xf numFmtId="0" fontId="0" fillId="0" borderId="0" xfId="0" applyFill="1"/>
    <xf numFmtId="10" fontId="0" fillId="0" borderId="0" xfId="2" applyNumberFormat="1" applyFont="1" applyFill="1" applyBorder="1"/>
    <xf numFmtId="0" fontId="0" fillId="0" borderId="0" xfId="0" applyBorder="1"/>
    <xf numFmtId="165" fontId="4" fillId="0" borderId="0" xfId="1" applyNumberFormat="1" applyFont="1" applyBorder="1"/>
    <xf numFmtId="165" fontId="0" fillId="0" borderId="0" xfId="1" applyNumberFormat="1" applyFont="1" applyBorder="1"/>
    <xf numFmtId="164" fontId="4" fillId="0" borderId="0" xfId="1" applyFont="1" applyBorder="1"/>
    <xf numFmtId="0" fontId="4" fillId="0" borderId="0" xfId="0" applyFont="1" applyBorder="1"/>
    <xf numFmtId="10" fontId="4" fillId="0" borderId="0" xfId="2" applyNumberFormat="1" applyFont="1" applyBorder="1"/>
    <xf numFmtId="0" fontId="0" fillId="0" borderId="0" xfId="0" applyFont="1" applyBorder="1"/>
    <xf numFmtId="165" fontId="0" fillId="0" borderId="0" xfId="0" applyNumberFormat="1" applyBorder="1"/>
    <xf numFmtId="0" fontId="0" fillId="0" borderId="5" xfId="0" applyBorder="1"/>
    <xf numFmtId="0" fontId="0" fillId="0" borderId="4" xfId="0" applyBorder="1"/>
    <xf numFmtId="0" fontId="4" fillId="0" borderId="4" xfId="0" applyFont="1" applyBorder="1"/>
    <xf numFmtId="10" fontId="0" fillId="0" borderId="5" xfId="2" applyNumberFormat="1" applyFont="1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165" fontId="6" fillId="0" borderId="0" xfId="1" applyNumberFormat="1" applyFont="1" applyBorder="1"/>
    <xf numFmtId="165" fontId="0" fillId="0" borderId="0" xfId="0" applyNumberFormat="1" applyFill="1" applyBorder="1"/>
    <xf numFmtId="0" fontId="7" fillId="0" borderId="0" xfId="0" applyFont="1" applyBorder="1"/>
    <xf numFmtId="165" fontId="7" fillId="0" borderId="0" xfId="0" applyNumberFormat="1" applyFont="1" applyBorder="1"/>
    <xf numFmtId="10" fontId="7" fillId="0" borderId="0" xfId="2" applyNumberFormat="1" applyFont="1" applyBorder="1"/>
    <xf numFmtId="165" fontId="4" fillId="0" borderId="0" xfId="0" applyNumberFormat="1" applyFont="1" applyBorder="1"/>
    <xf numFmtId="0" fontId="5" fillId="0" borderId="11" xfId="0" applyFont="1" applyBorder="1"/>
    <xf numFmtId="0" fontId="0" fillId="0" borderId="12" xfId="0" applyBorder="1"/>
    <xf numFmtId="0" fontId="0" fillId="0" borderId="11" xfId="0" applyBorder="1"/>
    <xf numFmtId="10" fontId="0" fillId="0" borderId="12" xfId="2" applyNumberFormat="1" applyFont="1" applyFill="1" applyBorder="1"/>
    <xf numFmtId="0" fontId="4" fillId="0" borderId="11" xfId="0" applyFont="1" applyBorder="1"/>
    <xf numFmtId="10" fontId="0" fillId="0" borderId="13" xfId="2" applyNumberFormat="1" applyFont="1" applyFill="1" applyBorder="1"/>
    <xf numFmtId="0" fontId="4" fillId="0" borderId="14" xfId="0" applyFont="1" applyBorder="1"/>
    <xf numFmtId="0" fontId="4" fillId="0" borderId="15" xfId="0" applyFont="1" applyBorder="1"/>
    <xf numFmtId="165" fontId="4" fillId="0" borderId="15" xfId="1" applyNumberFormat="1" applyFont="1" applyBorder="1"/>
    <xf numFmtId="165" fontId="4" fillId="0" borderId="15" xfId="0" applyNumberFormat="1" applyFont="1" applyBorder="1"/>
    <xf numFmtId="10" fontId="4" fillId="0" borderId="16" xfId="2" applyNumberFormat="1" applyFont="1" applyBorder="1"/>
    <xf numFmtId="10" fontId="4" fillId="0" borderId="12" xfId="2" applyNumberFormat="1" applyFont="1" applyFill="1" applyBorder="1"/>
    <xf numFmtId="165" fontId="0" fillId="0" borderId="12" xfId="1" applyNumberFormat="1" applyFont="1" applyFill="1" applyBorder="1"/>
    <xf numFmtId="10" fontId="4" fillId="0" borderId="12" xfId="2" applyNumberFormat="1" applyFont="1" applyBorder="1"/>
    <xf numFmtId="165" fontId="0" fillId="0" borderId="12" xfId="0" applyNumberFormat="1" applyBorder="1"/>
    <xf numFmtId="165" fontId="4" fillId="0" borderId="16" xfId="1" applyNumberFormat="1" applyFont="1" applyBorder="1"/>
    <xf numFmtId="10" fontId="3" fillId="0" borderId="12" xfId="2" applyNumberFormat="1" applyFont="1" applyFill="1" applyBorder="1"/>
    <xf numFmtId="10" fontId="3" fillId="0" borderId="13" xfId="2" applyNumberFormat="1" applyFont="1" applyFill="1" applyBorder="1"/>
    <xf numFmtId="9" fontId="6" fillId="0" borderId="12" xfId="2" applyFont="1" applyBorder="1"/>
    <xf numFmtId="0" fontId="0" fillId="0" borderId="12" xfId="0" applyFill="1" applyBorder="1"/>
    <xf numFmtId="0" fontId="7" fillId="0" borderId="11" xfId="0" applyFont="1" applyBorder="1"/>
    <xf numFmtId="0" fontId="7" fillId="0" borderId="14" xfId="0" applyFont="1" applyBorder="1"/>
    <xf numFmtId="0" fontId="7" fillId="0" borderId="15" xfId="0" applyFont="1" applyBorder="1"/>
    <xf numFmtId="165" fontId="7" fillId="0" borderId="15" xfId="0" applyNumberFormat="1" applyFont="1" applyBorder="1"/>
    <xf numFmtId="0" fontId="0" fillId="0" borderId="16" xfId="0" applyFill="1" applyBorder="1"/>
    <xf numFmtId="0" fontId="2" fillId="4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0" fontId="7" fillId="0" borderId="15" xfId="2" applyNumberFormat="1" applyFont="1" applyBorder="1"/>
    <xf numFmtId="0" fontId="4" fillId="0" borderId="0" xfId="0" applyFont="1" applyFill="1" applyBorder="1"/>
    <xf numFmtId="0" fontId="0" fillId="0" borderId="0" xfId="0" applyFont="1" applyFill="1" applyBorder="1"/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0" fillId="0" borderId="20" xfId="0" applyBorder="1"/>
    <xf numFmtId="0" fontId="8" fillId="0" borderId="22" xfId="0" applyFont="1" applyBorder="1"/>
    <xf numFmtId="166" fontId="0" fillId="0" borderId="20" xfId="0" applyNumberFormat="1" applyBorder="1"/>
    <xf numFmtId="0" fontId="8" fillId="0" borderId="20" xfId="0" applyFont="1" applyBorder="1"/>
    <xf numFmtId="0" fontId="0" fillId="0" borderId="20" xfId="0" applyBorder="1" applyAlignment="1">
      <alignment horizontal="center"/>
    </xf>
    <xf numFmtId="10" fontId="0" fillId="0" borderId="21" xfId="2" applyNumberFormat="1" applyFont="1" applyBorder="1"/>
    <xf numFmtId="10" fontId="0" fillId="0" borderId="22" xfId="2" applyNumberFormat="1" applyFont="1" applyBorder="1"/>
    <xf numFmtId="10" fontId="0" fillId="0" borderId="24" xfId="2" applyNumberFormat="1" applyFont="1" applyBorder="1"/>
    <xf numFmtId="10" fontId="0" fillId="0" borderId="20" xfId="2" applyNumberFormat="1" applyFont="1" applyBorder="1"/>
    <xf numFmtId="10" fontId="0" fillId="0" borderId="23" xfId="2" applyNumberFormat="1" applyFont="1" applyBorder="1"/>
    <xf numFmtId="165" fontId="0" fillId="0" borderId="22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21" xfId="0" applyNumberFormat="1" applyBorder="1"/>
    <xf numFmtId="165" fontId="0" fillId="0" borderId="20" xfId="0" applyNumberFormat="1" applyBorder="1"/>
    <xf numFmtId="168" fontId="0" fillId="0" borderId="21" xfId="0" applyNumberFormat="1" applyBorder="1"/>
    <xf numFmtId="168" fontId="0" fillId="0" borderId="22" xfId="1" applyNumberFormat="1" applyFont="1" applyBorder="1"/>
    <xf numFmtId="168" fontId="0" fillId="0" borderId="23" xfId="1" applyNumberFormat="1" applyFont="1" applyBorder="1"/>
    <xf numFmtId="168" fontId="0" fillId="0" borderId="24" xfId="1" applyNumberFormat="1" applyFont="1" applyBorder="1"/>
    <xf numFmtId="168" fontId="0" fillId="0" borderId="20" xfId="0" applyNumberFormat="1" applyBorder="1"/>
    <xf numFmtId="0" fontId="10" fillId="0" borderId="21" xfId="0" applyFont="1" applyBorder="1"/>
    <xf numFmtId="0" fontId="11" fillId="0" borderId="24" xfId="0" applyFont="1" applyBorder="1"/>
    <xf numFmtId="0" fontId="0" fillId="0" borderId="20" xfId="0" applyFont="1" applyFill="1" applyBorder="1"/>
    <xf numFmtId="41" fontId="0" fillId="0" borderId="24" xfId="0" applyNumberFormat="1" applyBorder="1"/>
    <xf numFmtId="0" fontId="0" fillId="0" borderId="22" xfId="0" applyFill="1" applyBorder="1"/>
    <xf numFmtId="0" fontId="0" fillId="0" borderId="20" xfId="0" applyFill="1" applyBorder="1"/>
    <xf numFmtId="0" fontId="11" fillId="0" borderId="24" xfId="0" applyFont="1" applyFill="1" applyBorder="1"/>
    <xf numFmtId="0" fontId="11" fillId="0" borderId="20" xfId="0" applyFont="1" applyBorder="1"/>
    <xf numFmtId="0" fontId="11" fillId="0" borderId="20" xfId="0" applyFont="1" applyFill="1" applyBorder="1"/>
    <xf numFmtId="0" fontId="2" fillId="6" borderId="20" xfId="0" applyFont="1" applyFill="1" applyBorder="1"/>
    <xf numFmtId="41" fontId="4" fillId="0" borderId="24" xfId="0" applyNumberFormat="1" applyFont="1" applyBorder="1"/>
    <xf numFmtId="10" fontId="4" fillId="0" borderId="20" xfId="2" applyNumberFormat="1" applyFont="1" applyBorder="1"/>
    <xf numFmtId="41" fontId="6" fillId="0" borderId="20" xfId="0" applyNumberFormat="1" applyFont="1" applyBorder="1"/>
    <xf numFmtId="41" fontId="9" fillId="0" borderId="24" xfId="0" applyNumberFormat="1" applyFont="1" applyBorder="1"/>
    <xf numFmtId="10" fontId="9" fillId="0" borderId="20" xfId="2" applyNumberFormat="1" applyFont="1" applyBorder="1"/>
    <xf numFmtId="167" fontId="6" fillId="0" borderId="20" xfId="2" applyNumberFormat="1" applyFont="1" applyBorder="1"/>
    <xf numFmtId="0" fontId="6" fillId="0" borderId="20" xfId="0" applyFont="1" applyBorder="1"/>
    <xf numFmtId="165" fontId="3" fillId="0" borderId="20" xfId="0" applyNumberFormat="1" applyFont="1" applyBorder="1"/>
    <xf numFmtId="165" fontId="6" fillId="0" borderId="20" xfId="0" applyNumberFormat="1" applyFont="1" applyBorder="1"/>
    <xf numFmtId="9" fontId="6" fillId="0" borderId="20" xfId="2" applyFont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</cellXfs>
  <cellStyles count="3">
    <cellStyle name="Moneda" xfId="1" builtinId="4"/>
    <cellStyle name="Normal" xfId="0" builtinId="0"/>
    <cellStyle name="Porcentual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50"/>
    <pageSetUpPr fitToPage="1"/>
  </sheetPr>
  <dimension ref="B1:L54"/>
  <sheetViews>
    <sheetView tabSelected="1" topLeftCell="B1" zoomScale="90" zoomScaleNormal="90" zoomScalePageLayoutView="90" workbookViewId="0">
      <selection activeCell="M1" sqref="M1"/>
    </sheetView>
  </sheetViews>
  <sheetFormatPr baseColWidth="10" defaultRowHeight="14" x14ac:dyDescent="0"/>
  <cols>
    <col min="1" max="1" width="3.1640625" customWidth="1"/>
    <col min="3" max="3" width="28.5" customWidth="1"/>
    <col min="4" max="4" width="17.1640625" bestFit="1" customWidth="1"/>
    <col min="5" max="5" width="10" customWidth="1"/>
    <col min="7" max="7" width="28.5" customWidth="1"/>
    <col min="8" max="8" width="17.1640625" customWidth="1"/>
    <col min="9" max="9" width="10" customWidth="1"/>
    <col min="10" max="10" width="2.1640625" customWidth="1"/>
    <col min="11" max="11" width="46.6640625" bestFit="1" customWidth="1"/>
  </cols>
  <sheetData>
    <row r="1" spans="2:12" ht="15" thickBot="1"/>
    <row r="2" spans="2:12" ht="15" thickBot="1">
      <c r="B2" s="108" t="s">
        <v>77</v>
      </c>
      <c r="C2" s="109"/>
      <c r="D2" s="109"/>
      <c r="E2" s="109"/>
      <c r="F2" s="109"/>
      <c r="G2" s="109"/>
      <c r="H2" s="109"/>
      <c r="I2" s="110"/>
      <c r="K2" s="106" t="s">
        <v>74</v>
      </c>
      <c r="L2" s="107"/>
    </row>
    <row r="3" spans="2:12">
      <c r="B3" s="102" t="s">
        <v>0</v>
      </c>
      <c r="C3" s="103"/>
      <c r="D3" s="103"/>
      <c r="E3" s="111"/>
      <c r="F3" s="104" t="s">
        <v>36</v>
      </c>
      <c r="G3" s="105"/>
      <c r="H3" s="105"/>
      <c r="I3" s="112"/>
      <c r="K3" s="18" t="s">
        <v>82</v>
      </c>
      <c r="L3" s="16"/>
    </row>
    <row r="4" spans="2:12">
      <c r="B4" s="29" t="s">
        <v>1</v>
      </c>
      <c r="C4" s="8"/>
      <c r="D4" s="8"/>
      <c r="E4" s="30"/>
      <c r="F4" s="29" t="s">
        <v>37</v>
      </c>
      <c r="G4" s="8"/>
      <c r="H4" s="8"/>
      <c r="I4" s="30"/>
      <c r="K4" s="17" t="s">
        <v>59</v>
      </c>
      <c r="L4" s="19">
        <f>D27/D19</f>
        <v>0.57773064687168607</v>
      </c>
    </row>
    <row r="5" spans="2:12">
      <c r="B5" s="31"/>
      <c r="C5" s="8" t="s">
        <v>54</v>
      </c>
      <c r="D5" s="3">
        <v>8500000</v>
      </c>
      <c r="E5" s="32">
        <f>D5*100%/$D$19</f>
        <v>0.9013785790031813</v>
      </c>
      <c r="F5" s="31"/>
      <c r="G5" s="8" t="s">
        <v>38</v>
      </c>
      <c r="H5" s="3">
        <f>GASTOS!C3</f>
        <v>1700000</v>
      </c>
      <c r="I5" s="32">
        <f t="shared" ref="I5:I26" si="0">H5*100%/$H$27</f>
        <v>0.42692114515318935</v>
      </c>
      <c r="K5" s="17"/>
      <c r="L5" s="16"/>
    </row>
    <row r="6" spans="2:12">
      <c r="B6" s="31"/>
      <c r="C6" s="8" t="s">
        <v>79</v>
      </c>
      <c r="D6" s="3">
        <v>0</v>
      </c>
      <c r="E6" s="32">
        <f>D6*100%/$D$19</f>
        <v>0</v>
      </c>
      <c r="F6" s="31"/>
      <c r="G6" s="8" t="s">
        <v>39</v>
      </c>
      <c r="H6" s="3">
        <f>GASTOS!C4</f>
        <v>370000</v>
      </c>
      <c r="I6" s="32">
        <f t="shared" si="0"/>
        <v>9.2918131592164735E-2</v>
      </c>
      <c r="K6" s="18" t="s">
        <v>60</v>
      </c>
      <c r="L6" s="16"/>
    </row>
    <row r="7" spans="2:12">
      <c r="B7" s="31"/>
      <c r="C7" s="8" t="s">
        <v>2</v>
      </c>
      <c r="D7" s="3">
        <v>0</v>
      </c>
      <c r="E7" s="32">
        <f>D7*100%/$D$19</f>
        <v>0</v>
      </c>
      <c r="F7" s="31"/>
      <c r="G7" s="8" t="s">
        <v>51</v>
      </c>
      <c r="H7" s="3">
        <f>GASTOS!C16</f>
        <v>600000</v>
      </c>
      <c r="I7" s="32">
        <f t="shared" si="0"/>
        <v>0.15067805123053743</v>
      </c>
      <c r="K7" s="17" t="s">
        <v>61</v>
      </c>
      <c r="L7" s="19">
        <f>(D13+D18)/D19</f>
        <v>9.8621420996818671E-2</v>
      </c>
    </row>
    <row r="8" spans="2:12" ht="15" thickBot="1">
      <c r="B8" s="31"/>
      <c r="C8" s="8" t="s">
        <v>55</v>
      </c>
      <c r="D8" s="1">
        <v>0</v>
      </c>
      <c r="E8" s="34">
        <f>D8*100%/$D$19</f>
        <v>0</v>
      </c>
      <c r="F8" s="31"/>
      <c r="G8" s="8" t="s">
        <v>44</v>
      </c>
      <c r="H8" s="3">
        <f>GASTOS!C11</f>
        <v>70000</v>
      </c>
      <c r="I8" s="32">
        <f t="shared" si="0"/>
        <v>1.757910597689603E-2</v>
      </c>
      <c r="K8" s="17"/>
      <c r="L8" s="16"/>
    </row>
    <row r="9" spans="2:12" ht="15" thickTop="1">
      <c r="B9" s="33" t="s">
        <v>3</v>
      </c>
      <c r="C9" s="8"/>
      <c r="D9" s="9">
        <f>SUM(D5:D8)</f>
        <v>8500000</v>
      </c>
      <c r="E9" s="40">
        <f>SUM(E5:E8)</f>
        <v>0.9013785790031813</v>
      </c>
      <c r="F9" s="31"/>
      <c r="G9" s="8" t="s">
        <v>41</v>
      </c>
      <c r="H9" s="3">
        <f>GASTOS!C17</f>
        <v>0</v>
      </c>
      <c r="I9" s="32">
        <f t="shared" si="0"/>
        <v>0</v>
      </c>
      <c r="K9" s="18" t="s">
        <v>63</v>
      </c>
      <c r="L9" s="16"/>
    </row>
    <row r="10" spans="2:12">
      <c r="B10" s="29" t="s">
        <v>4</v>
      </c>
      <c r="C10" s="8"/>
      <c r="D10" s="10"/>
      <c r="E10" s="41"/>
      <c r="F10" s="31"/>
      <c r="G10" s="8" t="s">
        <v>45</v>
      </c>
      <c r="H10" s="3">
        <f>GASTOS!C19</f>
        <v>610000</v>
      </c>
      <c r="I10" s="32">
        <f t="shared" si="0"/>
        <v>0.1531893520843797</v>
      </c>
      <c r="K10" s="17" t="s">
        <v>62</v>
      </c>
      <c r="L10" s="19">
        <f>(H5+H6+H8)/D19</f>
        <v>0.22693531283138918</v>
      </c>
    </row>
    <row r="11" spans="2:12">
      <c r="B11" s="31"/>
      <c r="C11" s="8" t="s">
        <v>5</v>
      </c>
      <c r="D11" s="3">
        <v>900000</v>
      </c>
      <c r="E11" s="32">
        <f>D11*100%/$D$19</f>
        <v>9.5440084835630962E-2</v>
      </c>
      <c r="F11" s="31"/>
      <c r="G11" s="8" t="s">
        <v>46</v>
      </c>
      <c r="H11" s="3">
        <f>GASTOS!C26</f>
        <v>0</v>
      </c>
      <c r="I11" s="32">
        <f t="shared" si="0"/>
        <v>0</v>
      </c>
      <c r="K11" s="17" t="s">
        <v>69</v>
      </c>
      <c r="L11" s="16"/>
    </row>
    <row r="12" spans="2:12" ht="15" thickBot="1">
      <c r="B12" s="31"/>
      <c r="C12" s="8" t="s">
        <v>6</v>
      </c>
      <c r="D12" s="1">
        <v>0</v>
      </c>
      <c r="E12" s="34">
        <f>D12*100%/$D$19</f>
        <v>0</v>
      </c>
      <c r="F12" s="31"/>
      <c r="G12" s="8" t="s">
        <v>42</v>
      </c>
      <c r="H12" s="3">
        <f>GASTOS!G39</f>
        <v>106000</v>
      </c>
      <c r="I12" s="32">
        <f t="shared" si="0"/>
        <v>2.6619789050728277E-2</v>
      </c>
      <c r="K12" s="17"/>
      <c r="L12" s="16"/>
    </row>
    <row r="13" spans="2:12" ht="15" thickTop="1">
      <c r="B13" s="33" t="s">
        <v>7</v>
      </c>
      <c r="C13" s="8"/>
      <c r="D13" s="11">
        <f>SUM(D11:D12)</f>
        <v>900000</v>
      </c>
      <c r="E13" s="40">
        <f>SUM(E11:E12)</f>
        <v>9.5440084835630962E-2</v>
      </c>
      <c r="F13" s="31"/>
      <c r="G13" s="8" t="s">
        <v>40</v>
      </c>
      <c r="H13" s="3">
        <f>GASTOS!C27</f>
        <v>350000</v>
      </c>
      <c r="I13" s="32">
        <f t="shared" si="0"/>
        <v>8.7895529884480156E-2</v>
      </c>
      <c r="K13" s="18" t="s">
        <v>64</v>
      </c>
      <c r="L13" s="16"/>
    </row>
    <row r="14" spans="2:12">
      <c r="B14" s="29" t="s">
        <v>8</v>
      </c>
      <c r="C14" s="8"/>
      <c r="D14" s="10"/>
      <c r="E14" s="41"/>
      <c r="F14" s="31"/>
      <c r="G14" s="8" t="s">
        <v>43</v>
      </c>
      <c r="H14" s="3">
        <f>GASTOS!C41</f>
        <v>16000</v>
      </c>
      <c r="I14" s="32">
        <f t="shared" si="0"/>
        <v>4.0180813661476649E-3</v>
      </c>
      <c r="K14" s="17" t="s">
        <v>67</v>
      </c>
      <c r="L14" s="19">
        <f>D50/D52</f>
        <v>0.42972872141981561</v>
      </c>
    </row>
    <row r="15" spans="2:12">
      <c r="B15" s="31"/>
      <c r="C15" s="8" t="s">
        <v>9</v>
      </c>
      <c r="D15" s="3">
        <v>0</v>
      </c>
      <c r="E15" s="32">
        <f>D15*100%/$D$19</f>
        <v>0</v>
      </c>
      <c r="F15" s="31"/>
      <c r="G15" s="8" t="s">
        <v>47</v>
      </c>
      <c r="H15" s="3">
        <f>GASTOS!G3</f>
        <v>0</v>
      </c>
      <c r="I15" s="32">
        <f t="shared" si="0"/>
        <v>0</v>
      </c>
      <c r="K15" s="17" t="s">
        <v>68</v>
      </c>
      <c r="L15" s="16"/>
    </row>
    <row r="16" spans="2:12">
      <c r="B16" s="31"/>
      <c r="C16" s="8" t="s">
        <v>10</v>
      </c>
      <c r="D16" s="3">
        <v>30000</v>
      </c>
      <c r="E16" s="32">
        <f>D16*100%/$D$19</f>
        <v>3.1813361611876989E-3</v>
      </c>
      <c r="F16" s="31"/>
      <c r="G16" s="8" t="s">
        <v>48</v>
      </c>
      <c r="H16" s="3">
        <f>GASTOS!G7</f>
        <v>0</v>
      </c>
      <c r="I16" s="32">
        <f t="shared" si="0"/>
        <v>0</v>
      </c>
      <c r="K16" s="17"/>
      <c r="L16" s="16"/>
    </row>
    <row r="17" spans="2:12" ht="15" thickBot="1">
      <c r="B17" s="31"/>
      <c r="C17" s="8" t="s">
        <v>11</v>
      </c>
      <c r="D17" s="1">
        <v>0</v>
      </c>
      <c r="E17" s="34">
        <f>D17*100%/$D$19</f>
        <v>0</v>
      </c>
      <c r="F17" s="33"/>
      <c r="G17" s="8" t="s">
        <v>49</v>
      </c>
      <c r="H17" s="3">
        <f>GASTOS!G12</f>
        <v>0</v>
      </c>
      <c r="I17" s="32">
        <f t="shared" si="0"/>
        <v>0</v>
      </c>
      <c r="K17" s="18" t="s">
        <v>70</v>
      </c>
      <c r="L17" s="16"/>
    </row>
    <row r="18" spans="2:12" ht="15" thickTop="1">
      <c r="B18" s="33" t="s">
        <v>12</v>
      </c>
      <c r="C18" s="12"/>
      <c r="D18" s="9">
        <f>SUM(D15:D17)</f>
        <v>30000</v>
      </c>
      <c r="E18" s="42">
        <f>SUM(E15:E17)</f>
        <v>3.1813361611876989E-3</v>
      </c>
      <c r="F18" s="31"/>
      <c r="G18" s="14" t="s">
        <v>50</v>
      </c>
      <c r="H18" s="3">
        <f>GASTOS!G13</f>
        <v>60000</v>
      </c>
      <c r="I18" s="32">
        <f t="shared" si="0"/>
        <v>1.5067805123053743E-2</v>
      </c>
      <c r="K18" s="17" t="s">
        <v>76</v>
      </c>
      <c r="L18" s="20">
        <f>H52/H27</f>
        <v>342.93068809643393</v>
      </c>
    </row>
    <row r="19" spans="2:12">
      <c r="B19" s="33" t="s">
        <v>21</v>
      </c>
      <c r="C19" s="12"/>
      <c r="D19" s="9">
        <f>D9+D13+D18</f>
        <v>9430000</v>
      </c>
      <c r="E19" s="42">
        <f>E9+E13+E18</f>
        <v>0.99999999999999989</v>
      </c>
      <c r="F19" s="31"/>
      <c r="G19" s="14" t="s">
        <v>53</v>
      </c>
      <c r="H19" s="3">
        <f>GASTOS!G19</f>
        <v>50000</v>
      </c>
      <c r="I19" s="32">
        <f t="shared" si="0"/>
        <v>1.2556504269211451E-2</v>
      </c>
      <c r="K19" s="21" t="s">
        <v>71</v>
      </c>
      <c r="L19" s="22"/>
    </row>
    <row r="20" spans="2:12">
      <c r="B20" s="31"/>
      <c r="C20" s="8"/>
      <c r="D20" s="15"/>
      <c r="E20" s="43"/>
      <c r="F20" s="31"/>
      <c r="G20" s="14" t="s">
        <v>52</v>
      </c>
      <c r="H20" s="3">
        <f>GASTOS!G50</f>
        <v>50000</v>
      </c>
      <c r="I20" s="32">
        <f t="shared" si="0"/>
        <v>1.2556504269211451E-2</v>
      </c>
    </row>
    <row r="21" spans="2:12">
      <c r="B21" s="31"/>
      <c r="C21" s="8"/>
      <c r="D21" s="15"/>
      <c r="E21" s="43"/>
      <c r="F21" s="31"/>
      <c r="G21" s="14" t="s">
        <v>24</v>
      </c>
      <c r="H21" s="3">
        <f>GASTOS!G24</f>
        <v>0</v>
      </c>
      <c r="I21" s="32">
        <f t="shared" si="0"/>
        <v>0</v>
      </c>
    </row>
    <row r="22" spans="2:12">
      <c r="B22" s="31"/>
      <c r="C22" s="8"/>
      <c r="D22" s="15"/>
      <c r="E22" s="43"/>
      <c r="F22" s="31"/>
      <c r="G22" s="14" t="s">
        <v>78</v>
      </c>
      <c r="H22" s="3">
        <f>GASTOS!G30</f>
        <v>0</v>
      </c>
      <c r="I22" s="32">
        <f t="shared" si="0"/>
        <v>0</v>
      </c>
    </row>
    <row r="23" spans="2:12">
      <c r="B23" s="31"/>
      <c r="C23" s="8"/>
      <c r="D23" s="15"/>
      <c r="E23" s="43"/>
      <c r="F23" s="31"/>
      <c r="G23" s="14" t="s">
        <v>57</v>
      </c>
      <c r="H23" s="3">
        <f>GASTOS!G31</f>
        <v>0</v>
      </c>
      <c r="I23" s="32">
        <f t="shared" si="0"/>
        <v>0</v>
      </c>
    </row>
    <row r="24" spans="2:12">
      <c r="B24" s="31"/>
      <c r="C24" s="8"/>
      <c r="D24" s="15"/>
      <c r="E24" s="43"/>
      <c r="F24" s="31"/>
      <c r="G24" s="58" t="s">
        <v>250</v>
      </c>
      <c r="H24" s="3">
        <f>GASTOS!G35</f>
        <v>0</v>
      </c>
      <c r="I24" s="32">
        <f t="shared" si="0"/>
        <v>0</v>
      </c>
    </row>
    <row r="25" spans="2:12">
      <c r="B25" s="31"/>
      <c r="C25" s="8"/>
      <c r="D25" s="15"/>
      <c r="E25" s="43"/>
      <c r="F25" s="31"/>
      <c r="G25" s="58" t="s">
        <v>251</v>
      </c>
      <c r="H25" s="3">
        <f>GASTOS!G49</f>
        <v>0</v>
      </c>
      <c r="I25" s="32">
        <f t="shared" si="0"/>
        <v>0</v>
      </c>
    </row>
    <row r="26" spans="2:12" ht="15" thickBot="1">
      <c r="B26" s="31"/>
      <c r="C26" s="8"/>
      <c r="D26" s="15"/>
      <c r="E26" s="43"/>
      <c r="F26" s="31"/>
      <c r="G26" s="14" t="s">
        <v>20</v>
      </c>
      <c r="H26" s="1">
        <f>GASTOS!G51</f>
        <v>0</v>
      </c>
      <c r="I26" s="34">
        <f t="shared" si="0"/>
        <v>0</v>
      </c>
    </row>
    <row r="27" spans="2:12" ht="16" thickTop="1" thickBot="1">
      <c r="B27" s="35" t="s">
        <v>58</v>
      </c>
      <c r="C27" s="36"/>
      <c r="D27" s="37">
        <f>D19-H27</f>
        <v>5448000</v>
      </c>
      <c r="E27" s="44"/>
      <c r="F27" s="35" t="s">
        <v>56</v>
      </c>
      <c r="G27" s="36"/>
      <c r="H27" s="38">
        <f>SUM(H5:H26)</f>
        <v>3982000</v>
      </c>
      <c r="I27" s="39">
        <f>SUM(I5:I26)</f>
        <v>0.99999999999999989</v>
      </c>
    </row>
    <row r="28" spans="2:12" ht="15" thickBot="1"/>
    <row r="29" spans="2:12" ht="15" thickBot="1">
      <c r="B29" s="108" t="s">
        <v>80</v>
      </c>
      <c r="C29" s="109"/>
      <c r="D29" s="109"/>
      <c r="E29" s="109"/>
      <c r="F29" s="109"/>
      <c r="G29" s="109"/>
      <c r="H29" s="109"/>
      <c r="I29" s="110"/>
    </row>
    <row r="30" spans="2:12">
      <c r="B30" s="102" t="s">
        <v>147</v>
      </c>
      <c r="C30" s="103"/>
      <c r="D30" s="103"/>
      <c r="E30" s="55"/>
      <c r="F30" s="104" t="s">
        <v>27</v>
      </c>
      <c r="G30" s="105"/>
      <c r="H30" s="105"/>
      <c r="I30" s="54"/>
    </row>
    <row r="31" spans="2:12">
      <c r="B31" s="29" t="s">
        <v>13</v>
      </c>
      <c r="C31" s="8"/>
      <c r="D31" s="8"/>
      <c r="E31" s="8"/>
      <c r="F31" s="29" t="s">
        <v>28</v>
      </c>
      <c r="G31" s="8"/>
      <c r="H31" s="8"/>
      <c r="I31" s="30"/>
    </row>
    <row r="32" spans="2:12">
      <c r="B32" s="31"/>
      <c r="C32" s="8" t="s">
        <v>14</v>
      </c>
      <c r="D32" s="3">
        <f>'ACTIVOS Y POSESIONES'!B11</f>
        <v>3700000</v>
      </c>
      <c r="E32" s="7">
        <f t="shared" ref="E32:E42" si="1">D32*100%/$D$52</f>
        <v>1.9719661035015722E-3</v>
      </c>
      <c r="F32" s="31"/>
      <c r="G32" s="8" t="s">
        <v>29</v>
      </c>
      <c r="H32" s="5">
        <f>PASIVOS!B10</f>
        <v>16500000</v>
      </c>
      <c r="I32" s="45">
        <f>H32*100%/$H$39</f>
        <v>3.2305433186490456E-2</v>
      </c>
    </row>
    <row r="33" spans="2:9">
      <c r="B33" s="31"/>
      <c r="C33" s="8" t="s">
        <v>15</v>
      </c>
      <c r="D33" s="3">
        <f>'ACTIVOS Y POSESIONES'!B16</f>
        <v>0</v>
      </c>
      <c r="E33" s="7">
        <f t="shared" si="1"/>
        <v>0</v>
      </c>
      <c r="F33" s="31"/>
      <c r="G33" s="8" t="s">
        <v>111</v>
      </c>
      <c r="H33" s="5">
        <f>PASIVOS!B15</f>
        <v>335000000</v>
      </c>
      <c r="I33" s="45">
        <f t="shared" ref="I33:I38" si="2">H33*100%/$H$39</f>
        <v>0.65589818893783647</v>
      </c>
    </row>
    <row r="34" spans="2:9">
      <c r="B34" s="31"/>
      <c r="C34" s="8" t="s">
        <v>16</v>
      </c>
      <c r="D34" s="3">
        <f>'ACTIVOS Y POSESIONES'!B21</f>
        <v>44000000</v>
      </c>
      <c r="E34" s="7">
        <f t="shared" si="1"/>
        <v>2.3450407717315994E-2</v>
      </c>
      <c r="F34" s="31"/>
      <c r="G34" s="8" t="s">
        <v>30</v>
      </c>
      <c r="H34" s="5">
        <f>PASIVOS!B20</f>
        <v>65000000</v>
      </c>
      <c r="I34" s="45">
        <f t="shared" si="2"/>
        <v>0.12726382770435635</v>
      </c>
    </row>
    <row r="35" spans="2:9">
      <c r="B35" s="31"/>
      <c r="C35" s="8" t="s">
        <v>17</v>
      </c>
      <c r="D35" s="3">
        <f>'ACTIVOS Y POSESIONES'!B26</f>
        <v>0</v>
      </c>
      <c r="E35" s="7">
        <f t="shared" si="1"/>
        <v>0</v>
      </c>
      <c r="F35" s="31"/>
      <c r="G35" s="8" t="s">
        <v>31</v>
      </c>
      <c r="H35" s="5">
        <f>PASIVOS!B25</f>
        <v>37750000</v>
      </c>
      <c r="I35" s="45">
        <f t="shared" si="2"/>
        <v>7.3910915320606951E-2</v>
      </c>
    </row>
    <row r="36" spans="2:9">
      <c r="B36" s="31"/>
      <c r="C36" s="8" t="s">
        <v>72</v>
      </c>
      <c r="D36" s="3">
        <f>'ACTIVOS Y POSESIONES'!B31</f>
        <v>10300000</v>
      </c>
      <c r="E36" s="7">
        <f t="shared" si="1"/>
        <v>5.4895272610989716E-3</v>
      </c>
      <c r="F36" s="31"/>
      <c r="G36" s="8" t="s">
        <v>32</v>
      </c>
      <c r="H36" s="5">
        <f>PASIVOS!B30</f>
        <v>45000000</v>
      </c>
      <c r="I36" s="45">
        <f t="shared" si="2"/>
        <v>8.8105726872246701E-2</v>
      </c>
    </row>
    <row r="37" spans="2:9">
      <c r="B37" s="31"/>
      <c r="C37" s="8" t="s">
        <v>73</v>
      </c>
      <c r="D37" s="3">
        <f>'ACTIVOS Y POSESIONES'!B38</f>
        <v>23000000</v>
      </c>
      <c r="E37" s="7">
        <f t="shared" si="1"/>
        <v>1.2258167670415179E-2</v>
      </c>
      <c r="F37" s="31"/>
      <c r="G37" s="8" t="s">
        <v>33</v>
      </c>
      <c r="H37" s="5">
        <f>PASIVOS!B35</f>
        <v>8500000</v>
      </c>
      <c r="I37" s="45">
        <f t="shared" si="2"/>
        <v>1.6642192853646598E-2</v>
      </c>
    </row>
    <row r="38" spans="2:9" ht="15" thickBot="1">
      <c r="B38" s="31"/>
      <c r="C38" s="8" t="s">
        <v>18</v>
      </c>
      <c r="D38" s="3">
        <f>'ACTIVOS Y POSESIONES'!B45</f>
        <v>24000000</v>
      </c>
      <c r="E38" s="7">
        <f t="shared" si="1"/>
        <v>1.279113148217236E-2</v>
      </c>
      <c r="F38" s="31"/>
      <c r="G38" s="8" t="s">
        <v>20</v>
      </c>
      <c r="H38" s="2">
        <f>PASIVOS!B40</f>
        <v>3000000</v>
      </c>
      <c r="I38" s="46">
        <f t="shared" si="2"/>
        <v>5.8737151248164461E-3</v>
      </c>
    </row>
    <row r="39" spans="2:9" ht="15" thickTop="1">
      <c r="B39" s="31"/>
      <c r="C39" s="8" t="s">
        <v>19</v>
      </c>
      <c r="D39" s="3">
        <f>'ACTIVOS Y POSESIONES'!B52</f>
        <v>605000000</v>
      </c>
      <c r="E39" s="7">
        <f t="shared" si="1"/>
        <v>0.3224431061130949</v>
      </c>
      <c r="F39" s="33" t="s">
        <v>75</v>
      </c>
      <c r="G39" s="8"/>
      <c r="H39" s="23">
        <f>SUM(H32:H38)</f>
        <v>510750000</v>
      </c>
      <c r="I39" s="47">
        <f>SUM(I32:I38)</f>
        <v>1.0000000000000002</v>
      </c>
    </row>
    <row r="40" spans="2:9">
      <c r="B40" s="31"/>
      <c r="C40" s="8" t="s">
        <v>6</v>
      </c>
      <c r="D40" s="3">
        <f>'ACTIVOS Y POSESIONES'!B59</f>
        <v>325000000</v>
      </c>
      <c r="E40" s="7">
        <f t="shared" si="1"/>
        <v>0.17321323882108405</v>
      </c>
      <c r="F40" s="31"/>
      <c r="G40" s="8"/>
      <c r="H40" s="15"/>
      <c r="I40" s="43"/>
    </row>
    <row r="41" spans="2:9">
      <c r="B41" s="31"/>
      <c r="C41" s="8" t="s">
        <v>23</v>
      </c>
      <c r="D41" s="3">
        <f>'ACTIVOS Y POSESIONES'!B64</f>
        <v>35000000</v>
      </c>
      <c r="E41" s="7">
        <f t="shared" si="1"/>
        <v>1.8653733411501359E-2</v>
      </c>
      <c r="F41" s="31"/>
      <c r="G41" s="57" t="s">
        <v>81</v>
      </c>
      <c r="H41" s="13">
        <f>H39*100%/D52</f>
        <v>0.27221126685498054</v>
      </c>
      <c r="I41" s="43"/>
    </row>
    <row r="42" spans="2:9" ht="15" thickBot="1">
      <c r="B42" s="31"/>
      <c r="C42" s="8" t="s">
        <v>20</v>
      </c>
      <c r="D42" s="1">
        <f>'ACTIVOS Y POSESIONES'!B69</f>
        <v>0</v>
      </c>
      <c r="E42" s="4">
        <f t="shared" si="1"/>
        <v>0</v>
      </c>
      <c r="F42" s="31"/>
      <c r="G42" s="8"/>
      <c r="H42" s="15"/>
      <c r="I42" s="43"/>
    </row>
    <row r="43" spans="2:9" ht="15" thickTop="1">
      <c r="B43" s="33" t="s">
        <v>65</v>
      </c>
      <c r="C43" s="12"/>
      <c r="D43" s="9">
        <f>SUM(D32:D42)</f>
        <v>1070000000</v>
      </c>
      <c r="E43" s="13">
        <f>SUM(E32:E42)</f>
        <v>0.57027127858018434</v>
      </c>
      <c r="F43" s="31"/>
      <c r="G43" s="8"/>
      <c r="H43" s="15"/>
      <c r="I43" s="43"/>
    </row>
    <row r="44" spans="2:9">
      <c r="B44" s="33"/>
      <c r="F44" s="31"/>
      <c r="G44" s="8"/>
      <c r="H44" s="15"/>
      <c r="I44" s="43"/>
    </row>
    <row r="45" spans="2:9">
      <c r="B45" s="31"/>
      <c r="C45" s="8"/>
      <c r="D45" s="15"/>
      <c r="E45" s="24"/>
      <c r="F45" s="31"/>
      <c r="G45" s="8"/>
      <c r="H45" s="15"/>
      <c r="I45" s="43"/>
    </row>
    <row r="46" spans="2:9">
      <c r="B46" s="29" t="s">
        <v>22</v>
      </c>
      <c r="C46" s="8"/>
      <c r="D46" s="15"/>
      <c r="E46" s="24"/>
      <c r="F46" s="31"/>
      <c r="G46" s="8"/>
      <c r="H46" s="15"/>
      <c r="I46" s="43"/>
    </row>
    <row r="47" spans="2:9">
      <c r="B47" s="31"/>
      <c r="C47" s="8" t="s">
        <v>19</v>
      </c>
      <c r="D47" s="3">
        <f>'ACTIVOS Y POSESIONES'!B76</f>
        <v>630000000</v>
      </c>
      <c r="E47" s="7">
        <f>D47*100%/$D$52</f>
        <v>0.33576720140702448</v>
      </c>
      <c r="F47" s="31"/>
      <c r="G47" s="8"/>
      <c r="H47" s="15"/>
      <c r="I47" s="43"/>
    </row>
    <row r="48" spans="2:9">
      <c r="B48" s="31"/>
      <c r="C48" s="8" t="s">
        <v>97</v>
      </c>
      <c r="D48" s="3">
        <f>'ACTIVOS Y POSESIONES'!B83</f>
        <v>146300000</v>
      </c>
      <c r="E48" s="7">
        <f>D48*100%/$D$52</f>
        <v>7.7972605660075675E-2</v>
      </c>
      <c r="F48" s="31"/>
      <c r="G48" s="8"/>
      <c r="H48" s="15"/>
      <c r="I48" s="43"/>
    </row>
    <row r="49" spans="2:9" ht="15" thickBot="1">
      <c r="B49" s="31"/>
      <c r="C49" s="8" t="s">
        <v>20</v>
      </c>
      <c r="D49" s="1">
        <f>'ACTIVOS Y POSESIONES'!B88</f>
        <v>30000000</v>
      </c>
      <c r="E49" s="34">
        <f>D49*100%/$D$52</f>
        <v>1.5988914352715451E-2</v>
      </c>
      <c r="F49" s="31"/>
      <c r="G49" s="8"/>
      <c r="H49" s="15"/>
      <c r="I49" s="43"/>
    </row>
    <row r="50" spans="2:9" ht="15" thickTop="1">
      <c r="B50" s="33" t="s">
        <v>66</v>
      </c>
      <c r="C50" s="12"/>
      <c r="D50" s="9">
        <f>SUM(D47:D49)</f>
        <v>806300000</v>
      </c>
      <c r="E50" s="13">
        <f>SUM(E47:E49)</f>
        <v>0.42972872141981561</v>
      </c>
      <c r="F50" s="31"/>
      <c r="G50" s="8"/>
      <c r="H50" s="15"/>
      <c r="I50" s="43"/>
    </row>
    <row r="51" spans="2:9">
      <c r="B51" s="31"/>
      <c r="C51" s="8"/>
      <c r="D51" s="8"/>
      <c r="E51" s="8"/>
      <c r="F51" s="31"/>
      <c r="G51" s="8"/>
      <c r="H51" s="8"/>
      <c r="I51" s="48"/>
    </row>
    <row r="52" spans="2:9">
      <c r="B52" s="49" t="s">
        <v>25</v>
      </c>
      <c r="C52" s="25"/>
      <c r="D52" s="26">
        <f>D43+D50</f>
        <v>1876300000</v>
      </c>
      <c r="E52" s="27">
        <f>E43+E50</f>
        <v>1</v>
      </c>
      <c r="F52" s="33" t="s">
        <v>34</v>
      </c>
      <c r="G52" s="12"/>
      <c r="H52" s="28">
        <f>D52-H39</f>
        <v>1365550000</v>
      </c>
      <c r="I52" s="48"/>
    </row>
    <row r="53" spans="2:9" ht="15" thickBot="1">
      <c r="B53" s="50" t="s">
        <v>26</v>
      </c>
      <c r="C53" s="51"/>
      <c r="D53" s="52">
        <f>D43</f>
        <v>1070000000</v>
      </c>
      <c r="E53" s="56">
        <f>E43</f>
        <v>0.57027127858018434</v>
      </c>
      <c r="F53" s="35" t="s">
        <v>35</v>
      </c>
      <c r="G53" s="36"/>
      <c r="H53" s="38">
        <f>D53-H39</f>
        <v>559250000</v>
      </c>
      <c r="I53" s="53"/>
    </row>
    <row r="54" spans="2:9">
      <c r="I54" s="6"/>
    </row>
  </sheetData>
  <mergeCells count="7">
    <mergeCell ref="B30:D30"/>
    <mergeCell ref="F30:H30"/>
    <mergeCell ref="K2:L2"/>
    <mergeCell ref="B29:I29"/>
    <mergeCell ref="B3:E3"/>
    <mergeCell ref="F3:I3"/>
    <mergeCell ref="B2:I2"/>
  </mergeCells>
  <conditionalFormatting sqref="D27:E27">
    <cfRule type="cellIs" dxfId="4" priority="10" operator="greaterThan">
      <formula>0</formula>
    </cfRule>
    <cfRule type="cellIs" dxfId="3" priority="12" operator="lessThan">
      <formula>0</formula>
    </cfRule>
  </conditionalFormatting>
  <conditionalFormatting sqref="H52">
    <cfRule type="cellIs" dxfId="2" priority="9" operator="lessThan">
      <formula>$H$39</formula>
    </cfRule>
  </conditionalFormatting>
  <conditionalFormatting sqref="H53">
    <cfRule type="cellIs" dxfId="1" priority="8" operator="lessThan">
      <formula>$H$39</formula>
    </cfRule>
  </conditionalFormatting>
  <conditionalFormatting sqref="I5:I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{5D1FE20C-7510-4780-B06E-1A02D2CC68A4}</x14:id>
        </ext>
      </extLst>
    </cfRule>
  </conditionalFormatting>
  <conditionalFormatting sqref="H27:I27">
    <cfRule type="cellIs" dxfId="0" priority="13" operator="greaterThan">
      <formula>$D$19</formula>
    </cfRule>
  </conditionalFormatting>
  <conditionalFormatting sqref="I32:I3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{AF383AFB-A7AB-45BE-8B08-70EDB84D13D8}</x14:id>
        </ext>
      </extLst>
    </cfRule>
  </conditionalFormatting>
  <conditionalFormatting sqref="E32:E4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{30AD138A-4F6F-47EA-A164-4C29506297E6}</x14:id>
        </ext>
      </extLst>
    </cfRule>
  </conditionalFormatting>
  <conditionalFormatting sqref="E5:E8 F7 E11:E12 E15:E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{B2E65050-14B9-462C-BDE0-AAA98B60954E}</x14:id>
        </ext>
      </extLst>
    </cfRule>
  </conditionalFormatting>
  <conditionalFormatting sqref="E47:E4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{93EF0639-AD83-456E-925E-F9294E8EC6CC}</x14:id>
        </ext>
      </extLst>
    </cfRule>
  </conditionalFormatting>
  <printOptions horizontalCentered="1" verticalCentered="1"/>
  <pageMargins left="0" right="0" top="0" bottom="0" header="0" footer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1FE20C-7510-4780-B06E-1A02D2CC68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I5:I26</xm:sqref>
        </x14:conditionalFormatting>
        <x14:conditionalFormatting xmlns:xm="http://schemas.microsoft.com/office/excel/2006/main">
          <x14:cfRule type="dataBar" id="{AF383AFB-A7AB-45BE-8B08-70EDB84D13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I32:I38</xm:sqref>
        </x14:conditionalFormatting>
        <x14:conditionalFormatting xmlns:xm="http://schemas.microsoft.com/office/excel/2006/main">
          <x14:cfRule type="dataBar" id="{30AD138A-4F6F-47EA-A164-4C29506297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E32:E42</xm:sqref>
        </x14:conditionalFormatting>
        <x14:conditionalFormatting xmlns:xm="http://schemas.microsoft.com/office/excel/2006/main">
          <x14:cfRule type="dataBar" id="{B2E65050-14B9-462C-BDE0-AAA98B609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E5:E8 F7 E11:E12 E15:E17</xm:sqref>
        </x14:conditionalFormatting>
        <x14:conditionalFormatting xmlns:xm="http://schemas.microsoft.com/office/excel/2006/main">
          <x14:cfRule type="dataBar" id="{93EF0639-AD83-456E-925E-F9294E8EC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E47:E49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  <pageSetUpPr fitToPage="1"/>
  </sheetPr>
  <dimension ref="B1:H54"/>
  <sheetViews>
    <sheetView workbookViewId="0">
      <selection activeCell="E1" sqref="E1"/>
    </sheetView>
  </sheetViews>
  <sheetFormatPr baseColWidth="10" defaultRowHeight="14" x14ac:dyDescent="0"/>
  <cols>
    <col min="1" max="1" width="2.6640625" customWidth="1"/>
    <col min="2" max="2" width="29.1640625" customWidth="1"/>
    <col min="3" max="3" width="11.5" customWidth="1"/>
    <col min="4" max="4" width="8.5" customWidth="1"/>
    <col min="5" max="5" width="2.1640625" customWidth="1"/>
    <col min="6" max="6" width="28.33203125" customWidth="1"/>
    <col min="7" max="7" width="11.5" customWidth="1"/>
    <col min="8" max="8" width="8.5" customWidth="1"/>
  </cols>
  <sheetData>
    <row r="1" spans="2:8" ht="3" customHeight="1"/>
    <row r="2" spans="2:8">
      <c r="B2" s="113" t="s">
        <v>94</v>
      </c>
      <c r="C2" s="113"/>
      <c r="D2" s="113"/>
      <c r="E2" s="113"/>
      <c r="F2" s="113"/>
      <c r="G2" s="113"/>
      <c r="H2" s="113"/>
    </row>
    <row r="3" spans="2:8">
      <c r="B3" s="88" t="s">
        <v>185</v>
      </c>
      <c r="C3" s="92">
        <v>1700000</v>
      </c>
      <c r="D3" s="93">
        <f>C3*100%/$G$54</f>
        <v>0.43234994913530012</v>
      </c>
      <c r="F3" s="83" t="s">
        <v>206</v>
      </c>
      <c r="G3" s="92">
        <f>SUM(G4:G6)</f>
        <v>0</v>
      </c>
      <c r="H3" s="93">
        <f>G3*100%/$G$54</f>
        <v>0</v>
      </c>
    </row>
    <row r="4" spans="2:8">
      <c r="B4" s="89" t="s">
        <v>99</v>
      </c>
      <c r="C4" s="92">
        <f>SUM(C5:C10)</f>
        <v>370000</v>
      </c>
      <c r="D4" s="93">
        <f>C4*100%/$G$54</f>
        <v>9.409969481180061E-2</v>
      </c>
      <c r="F4" s="62" t="s">
        <v>124</v>
      </c>
      <c r="G4" s="85">
        <v>0</v>
      </c>
      <c r="H4" s="70">
        <f>G4*100%/$G$54</f>
        <v>0</v>
      </c>
    </row>
    <row r="5" spans="2:8">
      <c r="B5" s="62" t="s">
        <v>100</v>
      </c>
      <c r="C5" s="85">
        <v>150000</v>
      </c>
      <c r="D5" s="70">
        <f>C5*100%/$G$54</f>
        <v>3.8148524923702951E-2</v>
      </c>
      <c r="F5" s="62" t="s">
        <v>98</v>
      </c>
      <c r="G5" s="85">
        <v>0</v>
      </c>
      <c r="H5" s="70">
        <f t="shared" ref="H5:H6" si="0">G5*100%/$G$54</f>
        <v>0</v>
      </c>
    </row>
    <row r="6" spans="2:8">
      <c r="B6" s="62" t="s">
        <v>101</v>
      </c>
      <c r="C6" s="85">
        <v>40000</v>
      </c>
      <c r="D6" s="70">
        <f t="shared" ref="D6:D10" si="1">C6*100%/$G$54</f>
        <v>1.0172939979654121E-2</v>
      </c>
      <c r="F6" s="62" t="s">
        <v>207</v>
      </c>
      <c r="G6" s="85">
        <v>0</v>
      </c>
      <c r="H6" s="70">
        <f t="shared" si="0"/>
        <v>0</v>
      </c>
    </row>
    <row r="7" spans="2:8">
      <c r="B7" s="62" t="s">
        <v>102</v>
      </c>
      <c r="C7" s="85">
        <v>140000</v>
      </c>
      <c r="D7" s="70">
        <f t="shared" si="1"/>
        <v>3.5605289928789419E-2</v>
      </c>
      <c r="F7" s="89" t="s">
        <v>208</v>
      </c>
      <c r="G7" s="92">
        <f>SUM(G8:G11)</f>
        <v>0</v>
      </c>
      <c r="H7" s="93">
        <f>G7*100%/$G$54</f>
        <v>0</v>
      </c>
    </row>
    <row r="8" spans="2:8">
      <c r="B8" s="62" t="s">
        <v>103</v>
      </c>
      <c r="C8" s="85">
        <v>0</v>
      </c>
      <c r="D8" s="70">
        <f t="shared" si="1"/>
        <v>0</v>
      </c>
      <c r="F8" s="62" t="s">
        <v>209</v>
      </c>
      <c r="G8" s="85">
        <v>0</v>
      </c>
      <c r="H8" s="70">
        <f>G8*100%/$G$54</f>
        <v>0</v>
      </c>
    </row>
    <row r="9" spans="2:8">
      <c r="B9" s="62" t="s">
        <v>104</v>
      </c>
      <c r="C9" s="85">
        <v>0</v>
      </c>
      <c r="D9" s="70">
        <f t="shared" si="1"/>
        <v>0</v>
      </c>
      <c r="F9" s="62" t="s">
        <v>210</v>
      </c>
      <c r="G9" s="85">
        <v>0</v>
      </c>
      <c r="H9" s="70">
        <f t="shared" ref="H9:H11" si="2">G9*100%/$G$54</f>
        <v>0</v>
      </c>
    </row>
    <row r="10" spans="2:8">
      <c r="B10" s="62" t="s">
        <v>105</v>
      </c>
      <c r="C10" s="85">
        <v>40000</v>
      </c>
      <c r="D10" s="70">
        <f t="shared" si="1"/>
        <v>1.0172939979654121E-2</v>
      </c>
      <c r="F10" s="62" t="s">
        <v>212</v>
      </c>
      <c r="G10" s="85">
        <v>0</v>
      </c>
      <c r="H10" s="70">
        <f t="shared" si="2"/>
        <v>0</v>
      </c>
    </row>
    <row r="11" spans="2:8">
      <c r="B11" s="89" t="s">
        <v>186</v>
      </c>
      <c r="C11" s="92">
        <f>SUM(C12:C15)</f>
        <v>70000</v>
      </c>
      <c r="D11" s="93">
        <f>C11*100%/$G$54</f>
        <v>1.7802644964394709E-2</v>
      </c>
      <c r="F11" s="62" t="s">
        <v>211</v>
      </c>
      <c r="G11" s="85">
        <v>0</v>
      </c>
      <c r="H11" s="70">
        <f t="shared" si="2"/>
        <v>0</v>
      </c>
    </row>
    <row r="12" spans="2:8">
      <c r="B12" s="62" t="s">
        <v>187</v>
      </c>
      <c r="C12" s="85">
        <v>70000</v>
      </c>
      <c r="D12" s="70">
        <f>C12*100%/$G$54</f>
        <v>1.7802644964394709E-2</v>
      </c>
      <c r="F12" s="89" t="s">
        <v>213</v>
      </c>
      <c r="G12" s="92">
        <v>0</v>
      </c>
      <c r="H12" s="93">
        <f>G12*100%/$G$54</f>
        <v>0</v>
      </c>
    </row>
    <row r="13" spans="2:8">
      <c r="B13" s="62" t="s">
        <v>188</v>
      </c>
      <c r="C13" s="85">
        <v>0</v>
      </c>
      <c r="D13" s="70">
        <f t="shared" ref="D13:D15" si="3">C13*100%/$G$54</f>
        <v>0</v>
      </c>
      <c r="F13" s="89" t="s">
        <v>107</v>
      </c>
      <c r="G13" s="92">
        <f>SUM(G14:G18)</f>
        <v>60000</v>
      </c>
      <c r="H13" s="93">
        <f>G13*100%/$G$54</f>
        <v>1.5259409969481181E-2</v>
      </c>
    </row>
    <row r="14" spans="2:8">
      <c r="B14" s="62" t="s">
        <v>189</v>
      </c>
      <c r="C14" s="85">
        <v>0</v>
      </c>
      <c r="D14" s="70">
        <f t="shared" si="3"/>
        <v>0</v>
      </c>
      <c r="F14" s="62" t="s">
        <v>214</v>
      </c>
      <c r="G14" s="85">
        <v>40000</v>
      </c>
      <c r="H14" s="70">
        <f>G14*100%/$G$54</f>
        <v>1.0172939979654121E-2</v>
      </c>
    </row>
    <row r="15" spans="2:8">
      <c r="B15" s="62" t="s">
        <v>247</v>
      </c>
      <c r="C15" s="85">
        <v>0</v>
      </c>
      <c r="D15" s="70">
        <f t="shared" si="3"/>
        <v>0</v>
      </c>
      <c r="F15" s="62" t="s">
        <v>215</v>
      </c>
      <c r="G15" s="85">
        <v>0</v>
      </c>
      <c r="H15" s="70">
        <f t="shared" ref="H15:H18" si="4">G15*100%/$G$54</f>
        <v>0</v>
      </c>
    </row>
    <row r="16" spans="2:8">
      <c r="B16" s="89" t="s">
        <v>106</v>
      </c>
      <c r="C16" s="92">
        <v>600000</v>
      </c>
      <c r="D16" s="93">
        <f>C16*100%/$G$54</f>
        <v>0.1525940996948118</v>
      </c>
      <c r="F16" s="62" t="s">
        <v>216</v>
      </c>
      <c r="G16" s="85">
        <v>0</v>
      </c>
      <c r="H16" s="70">
        <f t="shared" si="4"/>
        <v>0</v>
      </c>
    </row>
    <row r="17" spans="2:8">
      <c r="B17" s="89" t="s">
        <v>190</v>
      </c>
      <c r="C17" s="92">
        <f>C18</f>
        <v>0</v>
      </c>
      <c r="D17" s="93">
        <f>C17*100%/$G$54</f>
        <v>0</v>
      </c>
      <c r="F17" s="62" t="s">
        <v>217</v>
      </c>
      <c r="G17" s="85">
        <v>20000</v>
      </c>
      <c r="H17" s="70">
        <f t="shared" si="4"/>
        <v>5.0864699898270603E-3</v>
      </c>
    </row>
    <row r="18" spans="2:8">
      <c r="B18" s="62" t="s">
        <v>189</v>
      </c>
      <c r="C18" s="85">
        <v>0</v>
      </c>
      <c r="D18" s="70">
        <f>C18*100%/$G$54</f>
        <v>0</v>
      </c>
      <c r="F18" s="62" t="s">
        <v>219</v>
      </c>
      <c r="G18" s="85">
        <v>0</v>
      </c>
      <c r="H18" s="70">
        <f t="shared" si="4"/>
        <v>0</v>
      </c>
    </row>
    <row r="19" spans="2:8">
      <c r="B19" s="90" t="s">
        <v>192</v>
      </c>
      <c r="C19" s="92">
        <f>SUM(C20:C25)</f>
        <v>610000</v>
      </c>
      <c r="D19" s="93">
        <f>C19*100%/$G$54</f>
        <v>0.15513733468972532</v>
      </c>
      <c r="F19" s="89" t="s">
        <v>218</v>
      </c>
      <c r="G19" s="95">
        <f>SUM(G20:G23)</f>
        <v>50000</v>
      </c>
      <c r="H19" s="96">
        <f>G19*100%/$G$54</f>
        <v>1.2716174974567651E-2</v>
      </c>
    </row>
    <row r="20" spans="2:8">
      <c r="B20" s="62" t="s">
        <v>83</v>
      </c>
      <c r="C20" s="85">
        <v>450000</v>
      </c>
      <c r="D20" s="70">
        <f>C20*100%/$G$54</f>
        <v>0.11444557477110885</v>
      </c>
      <c r="F20" s="62" t="s">
        <v>220</v>
      </c>
      <c r="G20" s="85">
        <v>50000</v>
      </c>
      <c r="H20" s="70">
        <f>G20*100%/$G$54</f>
        <v>1.2716174974567651E-2</v>
      </c>
    </row>
    <row r="21" spans="2:8">
      <c r="B21" s="62" t="s">
        <v>182</v>
      </c>
      <c r="C21" s="85">
        <v>100000</v>
      </c>
      <c r="D21" s="70">
        <f t="shared" ref="D21:D25" si="5">C21*100%/$G$54</f>
        <v>2.5432349949135302E-2</v>
      </c>
      <c r="F21" s="62" t="s">
        <v>221</v>
      </c>
      <c r="G21" s="85">
        <v>0</v>
      </c>
      <c r="H21" s="70">
        <f t="shared" ref="H21:H23" si="6">G21*100%/$G$54</f>
        <v>0</v>
      </c>
    </row>
    <row r="22" spans="2:8">
      <c r="B22" s="62" t="s">
        <v>183</v>
      </c>
      <c r="C22" s="85">
        <v>60000</v>
      </c>
      <c r="D22" s="70">
        <f t="shared" si="5"/>
        <v>1.5259409969481181E-2</v>
      </c>
      <c r="F22" s="62" t="s">
        <v>252</v>
      </c>
      <c r="G22" s="85">
        <v>0</v>
      </c>
      <c r="H22" s="70">
        <f t="shared" si="6"/>
        <v>0</v>
      </c>
    </row>
    <row r="23" spans="2:8">
      <c r="B23" s="62" t="s">
        <v>95</v>
      </c>
      <c r="C23" s="85">
        <v>0</v>
      </c>
      <c r="D23" s="70">
        <f t="shared" si="5"/>
        <v>0</v>
      </c>
      <c r="F23" s="61" t="s">
        <v>20</v>
      </c>
      <c r="G23" s="85">
        <v>0</v>
      </c>
      <c r="H23" s="70">
        <f t="shared" si="6"/>
        <v>0</v>
      </c>
    </row>
    <row r="24" spans="2:8">
      <c r="B24" s="62" t="s">
        <v>184</v>
      </c>
      <c r="C24" s="85">
        <v>0</v>
      </c>
      <c r="D24" s="70">
        <f t="shared" si="5"/>
        <v>0</v>
      </c>
      <c r="F24" s="89" t="s">
        <v>92</v>
      </c>
      <c r="G24" s="92">
        <f>SUM(G25:G29)</f>
        <v>0</v>
      </c>
      <c r="H24" s="93">
        <f>G24*100%/$G$54</f>
        <v>0</v>
      </c>
    </row>
    <row r="25" spans="2:8">
      <c r="B25" s="62" t="s">
        <v>20</v>
      </c>
      <c r="C25" s="85">
        <v>0</v>
      </c>
      <c r="D25" s="70">
        <f t="shared" si="5"/>
        <v>0</v>
      </c>
      <c r="F25" s="62" t="s">
        <v>222</v>
      </c>
      <c r="G25" s="85">
        <v>0</v>
      </c>
      <c r="H25" s="70">
        <f>G25*100%/$G$54</f>
        <v>0</v>
      </c>
    </row>
    <row r="26" spans="2:8">
      <c r="B26" s="89" t="s">
        <v>193</v>
      </c>
      <c r="C26" s="92">
        <v>0</v>
      </c>
      <c r="D26" s="93">
        <f>C26*100%/$G$54</f>
        <v>0</v>
      </c>
      <c r="F26" s="62" t="s">
        <v>223</v>
      </c>
      <c r="G26" s="85">
        <v>0</v>
      </c>
      <c r="H26" s="70">
        <f t="shared" ref="H26:H29" si="7">G26*100%/$G$54</f>
        <v>0</v>
      </c>
    </row>
    <row r="27" spans="2:8">
      <c r="B27" s="89" t="s">
        <v>96</v>
      </c>
      <c r="C27" s="92">
        <f>SUM(C28:C40)</f>
        <v>350000</v>
      </c>
      <c r="D27" s="93">
        <f>C27*100%/$G$54</f>
        <v>8.9013224821973547E-2</v>
      </c>
      <c r="F27" s="62" t="s">
        <v>224</v>
      </c>
      <c r="G27" s="85">
        <v>0</v>
      </c>
      <c r="H27" s="70">
        <f t="shared" si="7"/>
        <v>0</v>
      </c>
    </row>
    <row r="28" spans="2:8">
      <c r="B28" s="62" t="s">
        <v>194</v>
      </c>
      <c r="C28" s="85">
        <v>0</v>
      </c>
      <c r="D28" s="70">
        <f>C28*100%/$G$54</f>
        <v>0</v>
      </c>
      <c r="F28" s="62" t="s">
        <v>225</v>
      </c>
      <c r="G28" s="85">
        <v>0</v>
      </c>
      <c r="H28" s="70">
        <f t="shared" si="7"/>
        <v>0</v>
      </c>
    </row>
    <row r="29" spans="2:8">
      <c r="B29" s="62" t="s">
        <v>195</v>
      </c>
      <c r="C29" s="85">
        <v>0</v>
      </c>
      <c r="D29" s="70">
        <f t="shared" ref="D29:D40" si="8">C29*100%/$G$54</f>
        <v>0</v>
      </c>
      <c r="F29" s="62" t="s">
        <v>20</v>
      </c>
      <c r="G29" s="85">
        <v>0</v>
      </c>
      <c r="H29" s="70">
        <f t="shared" si="7"/>
        <v>0</v>
      </c>
    </row>
    <row r="30" spans="2:8">
      <c r="B30" s="62" t="s">
        <v>196</v>
      </c>
      <c r="C30" s="85">
        <v>300000</v>
      </c>
      <c r="D30" s="70">
        <f t="shared" si="8"/>
        <v>7.6297049847405901E-2</v>
      </c>
      <c r="F30" s="89" t="s">
        <v>226</v>
      </c>
      <c r="G30" s="92">
        <v>0</v>
      </c>
      <c r="H30" s="93">
        <f>G30*100%/$G$54</f>
        <v>0</v>
      </c>
    </row>
    <row r="31" spans="2:8">
      <c r="B31" s="62" t="s">
        <v>88</v>
      </c>
      <c r="C31" s="85">
        <v>0</v>
      </c>
      <c r="D31" s="70">
        <f t="shared" si="8"/>
        <v>0</v>
      </c>
      <c r="F31" s="89" t="s">
        <v>93</v>
      </c>
      <c r="G31" s="92">
        <f>SUM(G32:G34)</f>
        <v>0</v>
      </c>
      <c r="H31" s="93">
        <f>G31*100%/$G$54</f>
        <v>0</v>
      </c>
    </row>
    <row r="32" spans="2:8">
      <c r="B32" s="84" t="s">
        <v>89</v>
      </c>
      <c r="C32" s="85">
        <v>0</v>
      </c>
      <c r="D32" s="70">
        <f t="shared" si="8"/>
        <v>0</v>
      </c>
      <c r="F32" s="62" t="s">
        <v>84</v>
      </c>
      <c r="G32" s="85">
        <v>0</v>
      </c>
      <c r="H32" s="70">
        <f>G32*100%/$G$54</f>
        <v>0</v>
      </c>
    </row>
    <row r="33" spans="2:8">
      <c r="B33" s="84" t="s">
        <v>90</v>
      </c>
      <c r="C33" s="85">
        <v>0</v>
      </c>
      <c r="D33" s="70">
        <f t="shared" si="8"/>
        <v>0</v>
      </c>
      <c r="F33" s="62" t="s">
        <v>227</v>
      </c>
      <c r="G33" s="85">
        <v>0</v>
      </c>
      <c r="H33" s="70">
        <f t="shared" ref="H33:H34" si="9">G33*100%/$G$54</f>
        <v>0</v>
      </c>
    </row>
    <row r="34" spans="2:8">
      <c r="B34" s="84" t="s">
        <v>197</v>
      </c>
      <c r="C34" s="85">
        <v>0</v>
      </c>
      <c r="D34" s="70">
        <f t="shared" si="8"/>
        <v>0</v>
      </c>
      <c r="F34" s="62" t="s">
        <v>228</v>
      </c>
      <c r="G34" s="85">
        <v>0</v>
      </c>
      <c r="H34" s="70">
        <f t="shared" si="9"/>
        <v>0</v>
      </c>
    </row>
    <row r="35" spans="2:8">
      <c r="B35" s="84" t="s">
        <v>86</v>
      </c>
      <c r="C35" s="85">
        <v>50000</v>
      </c>
      <c r="D35" s="70">
        <f t="shared" si="8"/>
        <v>1.2716174974567651E-2</v>
      </c>
      <c r="F35" s="89" t="s">
        <v>109</v>
      </c>
      <c r="G35" s="92">
        <f>SUM(G36:G38)</f>
        <v>0</v>
      </c>
      <c r="H35" s="93">
        <f t="shared" ref="H35:H40" si="10">G35*100%/$G$54</f>
        <v>0</v>
      </c>
    </row>
    <row r="36" spans="2:8">
      <c r="B36" s="84" t="s">
        <v>238</v>
      </c>
      <c r="C36" s="85">
        <v>0</v>
      </c>
      <c r="D36" s="70">
        <f t="shared" si="8"/>
        <v>0</v>
      </c>
      <c r="F36" s="62" t="s">
        <v>85</v>
      </c>
      <c r="G36" s="85">
        <v>0</v>
      </c>
      <c r="H36" s="70">
        <f t="shared" si="10"/>
        <v>0</v>
      </c>
    </row>
    <row r="37" spans="2:8">
      <c r="B37" s="84" t="s">
        <v>239</v>
      </c>
      <c r="C37" s="85">
        <v>0</v>
      </c>
      <c r="D37" s="70">
        <f t="shared" si="8"/>
        <v>0</v>
      </c>
      <c r="F37" s="62" t="s">
        <v>87</v>
      </c>
      <c r="G37" s="85">
        <v>0</v>
      </c>
      <c r="H37" s="70">
        <f t="shared" si="10"/>
        <v>0</v>
      </c>
    </row>
    <row r="38" spans="2:8">
      <c r="B38" s="84" t="s">
        <v>240</v>
      </c>
      <c r="C38" s="85">
        <v>0</v>
      </c>
      <c r="D38" s="70">
        <f t="shared" si="8"/>
        <v>0</v>
      </c>
      <c r="F38" s="62" t="s">
        <v>229</v>
      </c>
      <c r="G38" s="85">
        <v>0</v>
      </c>
      <c r="H38" s="70">
        <f t="shared" si="10"/>
        <v>0</v>
      </c>
    </row>
    <row r="39" spans="2:8">
      <c r="B39" s="84" t="s">
        <v>241</v>
      </c>
      <c r="C39" s="85">
        <v>0</v>
      </c>
      <c r="D39" s="70">
        <f t="shared" si="8"/>
        <v>0</v>
      </c>
      <c r="F39" s="89" t="s">
        <v>110</v>
      </c>
      <c r="G39" s="92">
        <f>SUM(G40:G48)</f>
        <v>106000</v>
      </c>
      <c r="H39" s="93">
        <f t="shared" si="10"/>
        <v>2.6958290946083419E-2</v>
      </c>
    </row>
    <row r="40" spans="2:8">
      <c r="B40" s="84" t="s">
        <v>20</v>
      </c>
      <c r="C40" s="85">
        <v>0</v>
      </c>
      <c r="D40" s="70">
        <f t="shared" si="8"/>
        <v>0</v>
      </c>
      <c r="F40" s="86" t="s">
        <v>231</v>
      </c>
      <c r="G40" s="85">
        <v>0</v>
      </c>
      <c r="H40" s="70">
        <f t="shared" si="10"/>
        <v>0</v>
      </c>
    </row>
    <row r="41" spans="2:8">
      <c r="B41" s="90" t="s">
        <v>198</v>
      </c>
      <c r="C41" s="92">
        <f>SUM(C42:C54)</f>
        <v>16000</v>
      </c>
      <c r="D41" s="93">
        <f>C41*100%/$G$54</f>
        <v>4.0691759918616479E-3</v>
      </c>
      <c r="F41" s="62" t="s">
        <v>232</v>
      </c>
      <c r="G41" s="85">
        <v>100000</v>
      </c>
      <c r="H41" s="70">
        <f t="shared" ref="H41:H46" si="11">G41*100%/$G$54</f>
        <v>2.5432349949135302E-2</v>
      </c>
    </row>
    <row r="42" spans="2:8">
      <c r="B42" s="84" t="s">
        <v>199</v>
      </c>
      <c r="C42" s="85">
        <v>12000</v>
      </c>
      <c r="D42" s="70">
        <f>C42*100%/$G$54</f>
        <v>3.0518819938962359E-3</v>
      </c>
      <c r="F42" s="87" t="s">
        <v>191</v>
      </c>
      <c r="G42" s="85">
        <v>0</v>
      </c>
      <c r="H42" s="70">
        <f t="shared" si="11"/>
        <v>0</v>
      </c>
    </row>
    <row r="43" spans="2:8">
      <c r="B43" s="84" t="s">
        <v>200</v>
      </c>
      <c r="C43" s="85">
        <v>0</v>
      </c>
      <c r="D43" s="70">
        <f t="shared" ref="D43:D54" si="12">C43*100%/$G$54</f>
        <v>0</v>
      </c>
      <c r="F43" s="62" t="s">
        <v>246</v>
      </c>
      <c r="G43" s="85">
        <v>0</v>
      </c>
      <c r="H43" s="70">
        <f t="shared" si="11"/>
        <v>0</v>
      </c>
    </row>
    <row r="44" spans="2:8">
      <c r="B44" s="84" t="s">
        <v>201</v>
      </c>
      <c r="C44" s="85">
        <v>0</v>
      </c>
      <c r="D44" s="70">
        <f t="shared" si="12"/>
        <v>0</v>
      </c>
      <c r="F44" s="62" t="s">
        <v>233</v>
      </c>
      <c r="G44" s="85">
        <v>6000</v>
      </c>
      <c r="H44" s="70">
        <f t="shared" si="11"/>
        <v>1.525940996948118E-3</v>
      </c>
    </row>
    <row r="45" spans="2:8">
      <c r="B45" s="84" t="s">
        <v>202</v>
      </c>
      <c r="C45" s="85">
        <v>0</v>
      </c>
      <c r="D45" s="70">
        <f t="shared" si="12"/>
        <v>0</v>
      </c>
      <c r="F45" s="62" t="s">
        <v>234</v>
      </c>
      <c r="G45" s="85">
        <v>0</v>
      </c>
      <c r="H45" s="70">
        <f t="shared" si="11"/>
        <v>0</v>
      </c>
    </row>
    <row r="46" spans="2:8">
      <c r="B46" s="84" t="s">
        <v>203</v>
      </c>
      <c r="C46" s="85">
        <v>0</v>
      </c>
      <c r="D46" s="70">
        <f t="shared" si="12"/>
        <v>0</v>
      </c>
      <c r="F46" s="62" t="s">
        <v>235</v>
      </c>
      <c r="G46" s="85">
        <v>0</v>
      </c>
      <c r="H46" s="70">
        <f t="shared" si="11"/>
        <v>0</v>
      </c>
    </row>
    <row r="47" spans="2:8">
      <c r="B47" s="84" t="s">
        <v>204</v>
      </c>
      <c r="C47" s="85">
        <v>4000</v>
      </c>
      <c r="D47" s="70">
        <f t="shared" si="12"/>
        <v>1.017293997965412E-3</v>
      </c>
      <c r="F47" s="87" t="s">
        <v>236</v>
      </c>
      <c r="G47" s="85">
        <v>0</v>
      </c>
      <c r="H47" s="70">
        <f>G47*100%/$G$54</f>
        <v>0</v>
      </c>
    </row>
    <row r="48" spans="2:8">
      <c r="B48" s="84" t="s">
        <v>242</v>
      </c>
      <c r="C48" s="85">
        <v>0</v>
      </c>
      <c r="D48" s="70">
        <f t="shared" si="12"/>
        <v>0</v>
      </c>
      <c r="F48" s="87" t="s">
        <v>237</v>
      </c>
      <c r="G48" s="85">
        <v>0</v>
      </c>
      <c r="H48" s="70">
        <f>G48*100%/$G$54</f>
        <v>0</v>
      </c>
    </row>
    <row r="49" spans="2:8">
      <c r="B49" s="84" t="s">
        <v>243</v>
      </c>
      <c r="C49" s="85">
        <v>0</v>
      </c>
      <c r="D49" s="70">
        <f t="shared" si="12"/>
        <v>0</v>
      </c>
      <c r="F49" s="90" t="s">
        <v>249</v>
      </c>
      <c r="G49" s="92">
        <v>0</v>
      </c>
      <c r="H49" s="93">
        <f>G49*100%/$G$54</f>
        <v>0</v>
      </c>
    </row>
    <row r="50" spans="2:8">
      <c r="B50" s="84" t="s">
        <v>244</v>
      </c>
      <c r="C50" s="85">
        <v>0</v>
      </c>
      <c r="D50" s="70">
        <f t="shared" si="12"/>
        <v>0</v>
      </c>
      <c r="F50" s="89" t="s">
        <v>108</v>
      </c>
      <c r="G50" s="92">
        <v>50000</v>
      </c>
      <c r="H50" s="93">
        <f t="shared" ref="H50:H51" si="13">G50*100%/$G$54</f>
        <v>1.2716174974567651E-2</v>
      </c>
    </row>
    <row r="51" spans="2:8">
      <c r="B51" s="84" t="s">
        <v>245</v>
      </c>
      <c r="C51" s="85">
        <v>0</v>
      </c>
      <c r="D51" s="70">
        <f t="shared" si="12"/>
        <v>0</v>
      </c>
      <c r="F51" s="89" t="s">
        <v>230</v>
      </c>
      <c r="G51" s="92">
        <v>0</v>
      </c>
      <c r="H51" s="93">
        <f t="shared" si="13"/>
        <v>0</v>
      </c>
    </row>
    <row r="52" spans="2:8">
      <c r="B52" s="84" t="s">
        <v>205</v>
      </c>
      <c r="C52" s="85">
        <v>0</v>
      </c>
      <c r="D52" s="70">
        <f t="shared" si="12"/>
        <v>0</v>
      </c>
    </row>
    <row r="53" spans="2:8">
      <c r="B53" s="84" t="s">
        <v>91</v>
      </c>
      <c r="C53" s="85">
        <v>0</v>
      </c>
      <c r="D53" s="70">
        <f t="shared" si="12"/>
        <v>0</v>
      </c>
    </row>
    <row r="54" spans="2:8">
      <c r="B54" s="84" t="s">
        <v>248</v>
      </c>
      <c r="C54" s="85">
        <v>0</v>
      </c>
      <c r="D54" s="70">
        <f t="shared" si="12"/>
        <v>0</v>
      </c>
      <c r="F54" s="91" t="s">
        <v>56</v>
      </c>
      <c r="G54" s="94">
        <f>C3+C4+C11+C16+C17+C19+C26+C27+C41+G3+G7+G12+G13+G24+G30+G31+G35+G39+G49+G50+G51</f>
        <v>3932000</v>
      </c>
      <c r="H54" s="97">
        <f>D3+D4+D11+D16+D17+D19+D26+D27+D41+H3+H7+H12+H13+H24+H30+H31+H35+H39+H49+H50+H51</f>
        <v>0.99999999999999989</v>
      </c>
    </row>
  </sheetData>
  <mergeCells count="1">
    <mergeCell ref="B2:H2"/>
  </mergeCells>
  <conditionalFormatting sqref="H49:H51 D3:D4 D11 H3 H7 H12:H13 D16:D17 D19 H19 D26:D27 H24 H30:H31 H35 H39 D4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{B4FAFFA8-787B-486F-93AB-0FF6517DAEFC}</x14:id>
        </ext>
      </extLst>
    </cfRule>
  </conditionalFormatting>
  <conditionalFormatting sqref="H36:H38 D18 D5:D10 D12:D15 D20:D25 D28:D40 D42:D54 H4:H6 H8:H11 H14:H18 H20:H23 H25:H29 H32:H34 H40:H4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{35B09C02-B7ED-4599-85BD-12F8C283B46B}</x14:id>
        </ext>
      </extLst>
    </cfRule>
  </conditionalFormatting>
  <printOptions horizontalCentered="1" verticalCentered="1"/>
  <pageMargins left="0" right="0" top="0" bottom="0" header="0" footer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FAFFA8-787B-486F-93AB-0FF6517DAE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H49:H51 D3:D4 D11 H3 H7 H12:H13 D16:D17 D19 H19 D26:D27 H24 H30:H31 H35 H39 D41</xm:sqref>
        </x14:conditionalFormatting>
        <x14:conditionalFormatting xmlns:xm="http://schemas.microsoft.com/office/excel/2006/main">
          <x14:cfRule type="dataBar" id="{35B09C02-B7ED-4599-85BD-12F8C283B4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H36:H38 D18 D5:D10 D12:D15 D20:D25 D28:D40 D42:D54 H4:H6 H8:H11 H14:H18 H20:H23 H25:H29 H32:H34 H40:H48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2D050"/>
  </sheetPr>
  <dimension ref="A2:D90"/>
  <sheetViews>
    <sheetView topLeftCell="A59" zoomScale="90" zoomScaleNormal="90" zoomScalePageLayoutView="90" workbookViewId="0">
      <selection activeCell="G82" sqref="G82"/>
    </sheetView>
  </sheetViews>
  <sheetFormatPr baseColWidth="10" defaultRowHeight="14" x14ac:dyDescent="0"/>
  <cols>
    <col min="1" max="1" width="29.1640625" bestFit="1" customWidth="1"/>
    <col min="2" max="2" width="16" bestFit="1" customWidth="1"/>
    <col min="3" max="3" width="25.5" bestFit="1" customWidth="1"/>
    <col min="5" max="5" width="4.33203125" customWidth="1"/>
  </cols>
  <sheetData>
    <row r="2" spans="1:4">
      <c r="A2" s="115" t="s">
        <v>147</v>
      </c>
      <c r="B2" s="116"/>
      <c r="C2" s="116"/>
      <c r="D2" s="117"/>
    </row>
    <row r="3" spans="1:4">
      <c r="A3" s="66" t="s">
        <v>112</v>
      </c>
      <c r="B3" s="66" t="s">
        <v>113</v>
      </c>
      <c r="C3" s="66" t="s">
        <v>114</v>
      </c>
      <c r="D3" s="66"/>
    </row>
    <row r="4" spans="1:4">
      <c r="A4" s="114" t="s">
        <v>181</v>
      </c>
      <c r="B4" s="114"/>
      <c r="C4" s="114"/>
      <c r="D4" s="114"/>
    </row>
    <row r="5" spans="1:4">
      <c r="A5" s="82" t="s">
        <v>14</v>
      </c>
      <c r="B5" s="77"/>
      <c r="C5" s="59"/>
      <c r="D5" s="59"/>
    </row>
    <row r="6" spans="1:4">
      <c r="A6" s="60" t="s">
        <v>115</v>
      </c>
      <c r="B6" s="78">
        <v>0</v>
      </c>
      <c r="C6" s="60" t="s">
        <v>130</v>
      </c>
      <c r="D6" s="68">
        <f>B6*100%/$B$90</f>
        <v>0</v>
      </c>
    </row>
    <row r="7" spans="1:4">
      <c r="A7" s="60" t="s">
        <v>116</v>
      </c>
      <c r="B7" s="78">
        <v>700000</v>
      </c>
      <c r="C7" s="60"/>
      <c r="D7" s="68">
        <f t="shared" ref="D7:D11" si="0">B7*100%/$B$90</f>
        <v>3.7307466823002718E-4</v>
      </c>
    </row>
    <row r="8" spans="1:4">
      <c r="A8" s="60" t="s">
        <v>117</v>
      </c>
      <c r="B8" s="78">
        <v>0</v>
      </c>
      <c r="C8" s="60"/>
      <c r="D8" s="68">
        <f t="shared" si="0"/>
        <v>0</v>
      </c>
    </row>
    <row r="9" spans="1:4">
      <c r="A9" s="60" t="s">
        <v>118</v>
      </c>
      <c r="B9" s="78">
        <v>3000000</v>
      </c>
      <c r="C9" s="60"/>
      <c r="D9" s="68">
        <f t="shared" si="0"/>
        <v>1.598891435271545E-3</v>
      </c>
    </row>
    <row r="10" spans="1:4" ht="15" thickBot="1">
      <c r="A10" s="60"/>
      <c r="B10" s="79">
        <v>0</v>
      </c>
      <c r="C10" s="60"/>
      <c r="D10" s="71">
        <f t="shared" si="0"/>
        <v>0</v>
      </c>
    </row>
    <row r="11" spans="1:4" ht="15" thickTop="1">
      <c r="A11" s="83" t="s">
        <v>131</v>
      </c>
      <c r="B11" s="80">
        <f>SUM(B6:B10)</f>
        <v>3700000</v>
      </c>
      <c r="C11" s="61"/>
      <c r="D11" s="69">
        <f t="shared" si="0"/>
        <v>1.9719661035015722E-3</v>
      </c>
    </row>
    <row r="12" spans="1:4">
      <c r="A12" s="82" t="s">
        <v>15</v>
      </c>
      <c r="B12" s="77"/>
      <c r="C12" s="59"/>
      <c r="D12" s="67"/>
    </row>
    <row r="13" spans="1:4">
      <c r="A13" s="60" t="s">
        <v>149</v>
      </c>
      <c r="B13" s="78">
        <v>0</v>
      </c>
      <c r="C13" s="60"/>
      <c r="D13" s="68">
        <f>B13*100%/$B$90</f>
        <v>0</v>
      </c>
    </row>
    <row r="14" spans="1:4">
      <c r="A14" s="60"/>
      <c r="B14" s="78">
        <v>0</v>
      </c>
      <c r="C14" s="60"/>
      <c r="D14" s="68">
        <f>B14*100%/$B$90</f>
        <v>0</v>
      </c>
    </row>
    <row r="15" spans="1:4" ht="15" thickBot="1">
      <c r="A15" s="60"/>
      <c r="B15" s="79">
        <v>0</v>
      </c>
      <c r="C15" s="60"/>
      <c r="D15" s="71">
        <f>B15*100%/$B$90</f>
        <v>0</v>
      </c>
    </row>
    <row r="16" spans="1:4" ht="15" thickTop="1">
      <c r="A16" s="83" t="s">
        <v>132</v>
      </c>
      <c r="B16" s="80">
        <f>SUM(B13:B15)</f>
        <v>0</v>
      </c>
      <c r="C16" s="61"/>
      <c r="D16" s="69">
        <f>B16*100%/$B$90</f>
        <v>0</v>
      </c>
    </row>
    <row r="17" spans="1:4">
      <c r="A17" s="82" t="s">
        <v>133</v>
      </c>
      <c r="B17" s="77"/>
      <c r="C17" s="59"/>
      <c r="D17" s="67"/>
    </row>
    <row r="18" spans="1:4">
      <c r="A18" s="60" t="s">
        <v>150</v>
      </c>
      <c r="B18" s="78">
        <v>0</v>
      </c>
      <c r="C18" s="60"/>
      <c r="D18" s="68">
        <f>B18*100%/$B$90</f>
        <v>0</v>
      </c>
    </row>
    <row r="19" spans="1:4">
      <c r="A19" s="60" t="s">
        <v>151</v>
      </c>
      <c r="B19" s="78">
        <v>44000000</v>
      </c>
      <c r="C19" s="60"/>
      <c r="D19" s="68">
        <f>B19*100%/$B$90</f>
        <v>2.3450407717315994E-2</v>
      </c>
    </row>
    <row r="20" spans="1:4" ht="15" thickBot="1">
      <c r="A20" s="60" t="s">
        <v>152</v>
      </c>
      <c r="B20" s="79">
        <v>0</v>
      </c>
      <c r="C20" s="60" t="s">
        <v>153</v>
      </c>
      <c r="D20" s="71">
        <f>B20*100%/$B$90</f>
        <v>0</v>
      </c>
    </row>
    <row r="21" spans="1:4" ht="15" thickTop="1">
      <c r="A21" s="83" t="s">
        <v>134</v>
      </c>
      <c r="B21" s="80">
        <f>SUM(B18:B20)</f>
        <v>44000000</v>
      </c>
      <c r="C21" s="61"/>
      <c r="D21" s="69">
        <f>B21*100%/$B$90</f>
        <v>2.3450407717315994E-2</v>
      </c>
    </row>
    <row r="22" spans="1:4">
      <c r="A22" s="82" t="s">
        <v>17</v>
      </c>
      <c r="B22" s="77"/>
      <c r="C22" s="59"/>
      <c r="D22" s="67"/>
    </row>
    <row r="23" spans="1:4">
      <c r="A23" s="60" t="s">
        <v>154</v>
      </c>
      <c r="B23" s="78"/>
      <c r="C23" s="60"/>
      <c r="D23" s="68">
        <f>B23*100%/$B$90</f>
        <v>0</v>
      </c>
    </row>
    <row r="24" spans="1:4">
      <c r="A24" s="60" t="s">
        <v>155</v>
      </c>
      <c r="B24" s="78">
        <v>0</v>
      </c>
      <c r="C24" s="60"/>
      <c r="D24" s="68">
        <f>B24*100%/$B$90</f>
        <v>0</v>
      </c>
    </row>
    <row r="25" spans="1:4" ht="15" thickBot="1">
      <c r="A25" s="60"/>
      <c r="B25" s="79">
        <v>0</v>
      </c>
      <c r="C25" s="60"/>
      <c r="D25" s="71">
        <f>B25*100%/$B$90</f>
        <v>0</v>
      </c>
    </row>
    <row r="26" spans="1:4" ht="15" thickTop="1">
      <c r="A26" s="83" t="s">
        <v>135</v>
      </c>
      <c r="B26" s="80">
        <f>SUM(B23:B25)</f>
        <v>0</v>
      </c>
      <c r="C26" s="61"/>
      <c r="D26" s="69">
        <f>B26*100%/$B$90</f>
        <v>0</v>
      </c>
    </row>
    <row r="27" spans="1:4">
      <c r="A27" s="82" t="s">
        <v>72</v>
      </c>
      <c r="B27" s="77"/>
      <c r="C27" s="59"/>
      <c r="D27" s="67"/>
    </row>
    <row r="28" spans="1:4">
      <c r="A28" s="60" t="s">
        <v>156</v>
      </c>
      <c r="B28" s="78">
        <v>0</v>
      </c>
      <c r="C28" s="60"/>
      <c r="D28" s="68">
        <f>B28*100%/$B$90</f>
        <v>0</v>
      </c>
    </row>
    <row r="29" spans="1:4">
      <c r="A29" s="60" t="s">
        <v>157</v>
      </c>
      <c r="B29" s="78">
        <v>10000000</v>
      </c>
      <c r="C29" s="60" t="s">
        <v>165</v>
      </c>
      <c r="D29" s="68">
        <f>B29*100%/$B$90</f>
        <v>5.3296381175718171E-3</v>
      </c>
    </row>
    <row r="30" spans="1:4" ht="15" thickBot="1">
      <c r="A30" s="60" t="s">
        <v>164</v>
      </c>
      <c r="B30" s="79">
        <v>300000</v>
      </c>
      <c r="C30" s="60"/>
      <c r="D30" s="71">
        <f>B30*100%/$B$90</f>
        <v>1.5988914352715452E-4</v>
      </c>
    </row>
    <row r="31" spans="1:4" ht="15" thickTop="1">
      <c r="A31" s="83" t="s">
        <v>136</v>
      </c>
      <c r="B31" s="80">
        <f>SUM(B28:B30)</f>
        <v>10300000</v>
      </c>
      <c r="C31" s="61"/>
      <c r="D31" s="69">
        <f>B31*100%/$B$90</f>
        <v>5.4895272610989716E-3</v>
      </c>
    </row>
    <row r="32" spans="1:4">
      <c r="A32" s="82" t="s">
        <v>137</v>
      </c>
      <c r="B32" s="77"/>
      <c r="C32" s="59"/>
      <c r="D32" s="67"/>
    </row>
    <row r="33" spans="1:4">
      <c r="A33" s="60" t="s">
        <v>158</v>
      </c>
      <c r="B33" s="78">
        <v>7000000</v>
      </c>
      <c r="C33" s="60" t="s">
        <v>159</v>
      </c>
      <c r="D33" s="68">
        <f t="shared" ref="D33:D38" si="1">B33*100%/$B$90</f>
        <v>3.7307466823002719E-3</v>
      </c>
    </row>
    <row r="34" spans="1:4">
      <c r="A34" s="60" t="s">
        <v>158</v>
      </c>
      <c r="B34" s="78">
        <v>15000000</v>
      </c>
      <c r="C34" s="60" t="s">
        <v>160</v>
      </c>
      <c r="D34" s="68">
        <f t="shared" si="1"/>
        <v>7.9944571763577253E-3</v>
      </c>
    </row>
    <row r="35" spans="1:4">
      <c r="A35" s="60" t="s">
        <v>158</v>
      </c>
      <c r="B35" s="78">
        <v>1000000</v>
      </c>
      <c r="C35" s="60" t="s">
        <v>161</v>
      </c>
      <c r="D35" s="68">
        <f t="shared" si="1"/>
        <v>5.3296381175718167E-4</v>
      </c>
    </row>
    <row r="36" spans="1:4">
      <c r="A36" s="60" t="s">
        <v>162</v>
      </c>
      <c r="B36" s="78">
        <v>0</v>
      </c>
      <c r="C36" s="60"/>
      <c r="D36" s="68">
        <f t="shared" si="1"/>
        <v>0</v>
      </c>
    </row>
    <row r="37" spans="1:4" ht="15" thickBot="1">
      <c r="A37" s="60"/>
      <c r="B37" s="79">
        <v>0</v>
      </c>
      <c r="C37" s="60"/>
      <c r="D37" s="71">
        <f t="shared" si="1"/>
        <v>0</v>
      </c>
    </row>
    <row r="38" spans="1:4" ht="15" thickTop="1">
      <c r="A38" s="83" t="s">
        <v>138</v>
      </c>
      <c r="B38" s="80">
        <f>SUM(B33:B37)</f>
        <v>23000000</v>
      </c>
      <c r="C38" s="61"/>
      <c r="D38" s="69">
        <f t="shared" si="1"/>
        <v>1.2258167670415179E-2</v>
      </c>
    </row>
    <row r="39" spans="1:4">
      <c r="A39" s="82" t="s">
        <v>18</v>
      </c>
      <c r="B39" s="77"/>
      <c r="C39" s="59"/>
      <c r="D39" s="67"/>
    </row>
    <row r="40" spans="1:4">
      <c r="A40" s="60" t="s">
        <v>163</v>
      </c>
      <c r="B40" s="78">
        <v>15300000</v>
      </c>
      <c r="C40" s="60" t="s">
        <v>179</v>
      </c>
      <c r="D40" s="68">
        <f t="shared" ref="D40:D45" si="2">B40*100%/$B$90</f>
        <v>8.1543463198848806E-3</v>
      </c>
    </row>
    <row r="41" spans="1:4">
      <c r="A41" s="60" t="s">
        <v>119</v>
      </c>
      <c r="B41" s="78">
        <v>8700000</v>
      </c>
      <c r="C41" s="60" t="s">
        <v>180</v>
      </c>
      <c r="D41" s="68">
        <f t="shared" si="2"/>
        <v>4.6367851622874804E-3</v>
      </c>
    </row>
    <row r="42" spans="1:4">
      <c r="A42" s="60"/>
      <c r="B42" s="78">
        <v>0</v>
      </c>
      <c r="C42" s="60"/>
      <c r="D42" s="68">
        <f t="shared" si="2"/>
        <v>0</v>
      </c>
    </row>
    <row r="43" spans="1:4">
      <c r="A43" s="60"/>
      <c r="B43" s="78">
        <v>0</v>
      </c>
      <c r="C43" s="60"/>
      <c r="D43" s="68">
        <f t="shared" si="2"/>
        <v>0</v>
      </c>
    </row>
    <row r="44" spans="1:4" ht="15" thickBot="1">
      <c r="A44" s="60"/>
      <c r="B44" s="79">
        <v>0</v>
      </c>
      <c r="C44" s="60"/>
      <c r="D44" s="71">
        <f t="shared" si="2"/>
        <v>0</v>
      </c>
    </row>
    <row r="45" spans="1:4" ht="15" thickTop="1">
      <c r="A45" s="83" t="s">
        <v>139</v>
      </c>
      <c r="B45" s="80">
        <f>SUM(B40:B44)</f>
        <v>24000000</v>
      </c>
      <c r="C45" s="61"/>
      <c r="D45" s="69">
        <f t="shared" si="2"/>
        <v>1.279113148217236E-2</v>
      </c>
    </row>
    <row r="46" spans="1:4">
      <c r="A46" s="82" t="s">
        <v>19</v>
      </c>
      <c r="B46" s="77"/>
      <c r="C46" s="59"/>
      <c r="D46" s="67"/>
    </row>
    <row r="47" spans="1:4">
      <c r="A47" s="60" t="s">
        <v>120</v>
      </c>
      <c r="B47" s="78">
        <v>525000000</v>
      </c>
      <c r="C47" s="60" t="s">
        <v>122</v>
      </c>
      <c r="D47" s="68">
        <f t="shared" ref="D47:D52" si="3">B47*100%/$B$90</f>
        <v>0.27980600117252041</v>
      </c>
    </row>
    <row r="48" spans="1:4">
      <c r="A48" s="60" t="s">
        <v>166</v>
      </c>
      <c r="B48" s="78">
        <v>80000000</v>
      </c>
      <c r="C48" s="60" t="s">
        <v>123</v>
      </c>
      <c r="D48" s="68">
        <f t="shared" si="3"/>
        <v>4.2637104940574537E-2</v>
      </c>
    </row>
    <row r="49" spans="1:4">
      <c r="A49" s="60"/>
      <c r="B49" s="78">
        <v>0</v>
      </c>
      <c r="C49" s="60"/>
      <c r="D49" s="68">
        <f t="shared" si="3"/>
        <v>0</v>
      </c>
    </row>
    <row r="50" spans="1:4">
      <c r="A50" s="60"/>
      <c r="B50" s="78">
        <v>0</v>
      </c>
      <c r="C50" s="60"/>
      <c r="D50" s="68">
        <f t="shared" si="3"/>
        <v>0</v>
      </c>
    </row>
    <row r="51" spans="1:4" ht="15" thickBot="1">
      <c r="A51" s="60"/>
      <c r="B51" s="79">
        <v>0</v>
      </c>
      <c r="C51" s="60"/>
      <c r="D51" s="71">
        <f t="shared" si="3"/>
        <v>0</v>
      </c>
    </row>
    <row r="52" spans="1:4" ht="15" thickTop="1">
      <c r="A52" s="83" t="s">
        <v>140</v>
      </c>
      <c r="B52" s="80">
        <f>SUM(B47:B51)</f>
        <v>605000000</v>
      </c>
      <c r="C52" s="61"/>
      <c r="D52" s="69">
        <f t="shared" si="3"/>
        <v>0.3224431061130949</v>
      </c>
    </row>
    <row r="53" spans="1:4">
      <c r="A53" s="82" t="s">
        <v>6</v>
      </c>
      <c r="B53" s="77"/>
      <c r="C53" s="59"/>
      <c r="D53" s="67"/>
    </row>
    <row r="54" spans="1:4">
      <c r="A54" s="60" t="s">
        <v>167</v>
      </c>
      <c r="B54" s="78">
        <v>25000000</v>
      </c>
      <c r="C54" s="60"/>
      <c r="D54" s="68">
        <f t="shared" ref="D54:D59" si="4">B54*100%/$B$90</f>
        <v>1.3324095293929542E-2</v>
      </c>
    </row>
    <row r="55" spans="1:4">
      <c r="A55" s="60" t="s">
        <v>168</v>
      </c>
      <c r="B55" s="78">
        <v>300000000</v>
      </c>
      <c r="C55" s="60"/>
      <c r="D55" s="68">
        <f t="shared" si="4"/>
        <v>0.1598891435271545</v>
      </c>
    </row>
    <row r="56" spans="1:4">
      <c r="A56" s="60"/>
      <c r="B56" s="78">
        <v>0</v>
      </c>
      <c r="C56" s="60"/>
      <c r="D56" s="68">
        <f t="shared" si="4"/>
        <v>0</v>
      </c>
    </row>
    <row r="57" spans="1:4">
      <c r="A57" s="60"/>
      <c r="B57" s="78">
        <v>0</v>
      </c>
      <c r="C57" s="60"/>
      <c r="D57" s="68">
        <f t="shared" si="4"/>
        <v>0</v>
      </c>
    </row>
    <row r="58" spans="1:4" ht="15" thickBot="1">
      <c r="A58" s="60"/>
      <c r="B58" s="79">
        <v>0</v>
      </c>
      <c r="C58" s="60"/>
      <c r="D58" s="71">
        <f t="shared" si="4"/>
        <v>0</v>
      </c>
    </row>
    <row r="59" spans="1:4" ht="15" thickTop="1">
      <c r="A59" s="83" t="s">
        <v>141</v>
      </c>
      <c r="B59" s="80">
        <f>SUM(B54:B58)</f>
        <v>325000000</v>
      </c>
      <c r="C59" s="61"/>
      <c r="D59" s="69">
        <f t="shared" si="4"/>
        <v>0.17321323882108405</v>
      </c>
    </row>
    <row r="60" spans="1:4">
      <c r="A60" s="82" t="s">
        <v>23</v>
      </c>
      <c r="B60" s="77"/>
      <c r="C60" s="59"/>
      <c r="D60" s="67"/>
    </row>
    <row r="61" spans="1:4">
      <c r="A61" s="60" t="s">
        <v>169</v>
      </c>
      <c r="B61" s="78">
        <v>20000000</v>
      </c>
      <c r="C61" s="60" t="s">
        <v>170</v>
      </c>
      <c r="D61" s="68">
        <f>B61*100%/$B$90</f>
        <v>1.0659276235143634E-2</v>
      </c>
    </row>
    <row r="62" spans="1:4">
      <c r="A62" s="60" t="s">
        <v>171</v>
      </c>
      <c r="B62" s="78">
        <v>15000000</v>
      </c>
      <c r="C62" s="60" t="s">
        <v>172</v>
      </c>
      <c r="D62" s="68">
        <f>B62*100%/$B$90</f>
        <v>7.9944571763577253E-3</v>
      </c>
    </row>
    <row r="63" spans="1:4" ht="15" thickBot="1">
      <c r="A63" s="60"/>
      <c r="B63" s="79">
        <v>0</v>
      </c>
      <c r="C63" s="60"/>
      <c r="D63" s="68">
        <f>B63*100%/$B$90</f>
        <v>0</v>
      </c>
    </row>
    <row r="64" spans="1:4" ht="15" thickTop="1">
      <c r="A64" s="83" t="s">
        <v>142</v>
      </c>
      <c r="B64" s="80">
        <f>SUM(B61:B63)</f>
        <v>35000000</v>
      </c>
      <c r="C64" s="61"/>
      <c r="D64" s="69">
        <f>B64*100%/$B$90</f>
        <v>1.8653733411501359E-2</v>
      </c>
    </row>
    <row r="65" spans="1:4">
      <c r="A65" s="82" t="s">
        <v>20</v>
      </c>
      <c r="B65" s="77"/>
      <c r="C65" s="59"/>
      <c r="D65" s="67"/>
    </row>
    <row r="66" spans="1:4">
      <c r="A66" s="60"/>
      <c r="B66" s="78">
        <v>0</v>
      </c>
      <c r="C66" s="60"/>
      <c r="D66" s="68">
        <f>B66*100%/$B$90</f>
        <v>0</v>
      </c>
    </row>
    <row r="67" spans="1:4">
      <c r="A67" s="60"/>
      <c r="B67" s="78">
        <v>0</v>
      </c>
      <c r="C67" s="60"/>
      <c r="D67" s="68">
        <f>B67*100%/$B$90</f>
        <v>0</v>
      </c>
    </row>
    <row r="68" spans="1:4" ht="15" thickBot="1">
      <c r="A68" s="60"/>
      <c r="B68" s="79">
        <v>0</v>
      </c>
      <c r="C68" s="60"/>
      <c r="D68" s="71">
        <f>B68*100%/$B$90</f>
        <v>0</v>
      </c>
    </row>
    <row r="69" spans="1:4" ht="15" thickTop="1">
      <c r="A69" s="83" t="s">
        <v>143</v>
      </c>
      <c r="B69" s="80">
        <f>SUM(B66:B68)</f>
        <v>0</v>
      </c>
      <c r="C69" s="61"/>
      <c r="D69" s="69">
        <f>B69*100%/$B$90</f>
        <v>0</v>
      </c>
    </row>
    <row r="70" spans="1:4">
      <c r="A70" s="63" t="s">
        <v>144</v>
      </c>
      <c r="B70" s="81">
        <f>+B11+B16+B21+B26+B31+B38+B45+B52+B59+B64+B69</f>
        <v>1070000000</v>
      </c>
      <c r="C70" s="64">
        <f t="shared" ref="C70:D70" si="5">+C11+C16+C21+C26+C31+C38+C45+C52+C59+C64+C69</f>
        <v>0</v>
      </c>
      <c r="D70" s="70">
        <f t="shared" si="5"/>
        <v>0.57027127858018434</v>
      </c>
    </row>
    <row r="71" spans="1:4">
      <c r="A71" s="114" t="s">
        <v>145</v>
      </c>
      <c r="B71" s="114"/>
      <c r="C71" s="114"/>
      <c r="D71" s="114"/>
    </row>
    <row r="72" spans="1:4">
      <c r="A72" s="82" t="s">
        <v>19</v>
      </c>
      <c r="B72" s="59"/>
      <c r="C72" s="59"/>
      <c r="D72" s="67"/>
    </row>
    <row r="73" spans="1:4">
      <c r="A73" s="60" t="s">
        <v>173</v>
      </c>
      <c r="B73" s="72">
        <v>415000000</v>
      </c>
      <c r="C73" s="60" t="s">
        <v>121</v>
      </c>
      <c r="D73" s="68">
        <f>B73*100%/$B$90</f>
        <v>0.22117998187923041</v>
      </c>
    </row>
    <row r="74" spans="1:4">
      <c r="A74" s="60" t="s">
        <v>174</v>
      </c>
      <c r="B74" s="72">
        <v>215000000</v>
      </c>
      <c r="C74" s="60" t="s">
        <v>175</v>
      </c>
      <c r="D74" s="68">
        <f>B74*100%/$B$90</f>
        <v>0.11458721952779406</v>
      </c>
    </row>
    <row r="75" spans="1:4" ht="15" thickBot="1">
      <c r="A75" s="60"/>
      <c r="B75" s="73">
        <v>0</v>
      </c>
      <c r="C75" s="60"/>
      <c r="D75" s="71">
        <f>B75*100%/$B$90</f>
        <v>0</v>
      </c>
    </row>
    <row r="76" spans="1:4" ht="15" thickTop="1">
      <c r="A76" s="83" t="s">
        <v>140</v>
      </c>
      <c r="B76" s="74">
        <f>SUM(B73:B75)</f>
        <v>630000000</v>
      </c>
      <c r="C76" s="61"/>
      <c r="D76" s="69">
        <f>B76*100%/$B$90</f>
        <v>0.33576720140702448</v>
      </c>
    </row>
    <row r="77" spans="1:4">
      <c r="A77" s="82" t="s">
        <v>124</v>
      </c>
      <c r="B77" s="75"/>
      <c r="C77" s="59"/>
      <c r="D77" s="67"/>
    </row>
    <row r="78" spans="1:4">
      <c r="A78" s="60" t="s">
        <v>125</v>
      </c>
      <c r="B78" s="72">
        <v>17000000</v>
      </c>
      <c r="C78" s="60"/>
      <c r="D78" s="68">
        <f t="shared" ref="D78:D83" si="6">B78*100%/$B$90</f>
        <v>9.0603847998720882E-3</v>
      </c>
    </row>
    <row r="79" spans="1:4">
      <c r="A79" s="60" t="s">
        <v>176</v>
      </c>
      <c r="B79" s="72">
        <v>125000000</v>
      </c>
      <c r="C79" s="60"/>
      <c r="D79" s="68">
        <f t="shared" si="6"/>
        <v>6.6620476469647708E-2</v>
      </c>
    </row>
    <row r="80" spans="1:4">
      <c r="A80" s="60" t="s">
        <v>177</v>
      </c>
      <c r="B80" s="72">
        <v>4300000</v>
      </c>
      <c r="C80" s="60"/>
      <c r="D80" s="68">
        <f t="shared" si="6"/>
        <v>2.2917443905558811E-3</v>
      </c>
    </row>
    <row r="81" spans="1:4">
      <c r="A81" s="60"/>
      <c r="B81" s="72">
        <v>0</v>
      </c>
      <c r="C81" s="60"/>
      <c r="D81" s="68">
        <f t="shared" si="6"/>
        <v>0</v>
      </c>
    </row>
    <row r="82" spans="1:4" ht="15" thickBot="1">
      <c r="A82" s="60"/>
      <c r="B82" s="73">
        <v>0</v>
      </c>
      <c r="C82" s="60"/>
      <c r="D82" s="71">
        <f t="shared" si="6"/>
        <v>0</v>
      </c>
    </row>
    <row r="83" spans="1:4" ht="15" thickTop="1">
      <c r="A83" s="83" t="s">
        <v>126</v>
      </c>
      <c r="B83" s="74">
        <f>SUM(B77:B82)</f>
        <v>146300000</v>
      </c>
      <c r="C83" s="61"/>
      <c r="D83" s="69">
        <f t="shared" si="6"/>
        <v>7.7972605660075675E-2</v>
      </c>
    </row>
    <row r="84" spans="1:4">
      <c r="A84" s="82" t="s">
        <v>20</v>
      </c>
      <c r="B84" s="75"/>
      <c r="C84" s="59"/>
      <c r="D84" s="67"/>
    </row>
    <row r="85" spans="1:4">
      <c r="A85" s="60" t="s">
        <v>128</v>
      </c>
      <c r="B85" s="72">
        <v>15000000</v>
      </c>
      <c r="C85" s="60" t="s">
        <v>127</v>
      </c>
      <c r="D85" s="68">
        <f>B85*100%/$B$90</f>
        <v>7.9944571763577253E-3</v>
      </c>
    </row>
    <row r="86" spans="1:4">
      <c r="A86" s="60" t="s">
        <v>178</v>
      </c>
      <c r="B86" s="72">
        <v>15000000</v>
      </c>
      <c r="C86" s="60" t="s">
        <v>129</v>
      </c>
      <c r="D86" s="68">
        <f>B86*100%/$B$90</f>
        <v>7.9944571763577253E-3</v>
      </c>
    </row>
    <row r="87" spans="1:4" ht="15" thickBot="1">
      <c r="A87" s="60"/>
      <c r="B87" s="73">
        <v>0</v>
      </c>
      <c r="C87" s="60"/>
      <c r="D87" s="71">
        <f>B87*100%/$B$90</f>
        <v>0</v>
      </c>
    </row>
    <row r="88" spans="1:4" ht="15" thickTop="1">
      <c r="A88" s="83" t="s">
        <v>143</v>
      </c>
      <c r="B88" s="74">
        <f>SUM(B84:B87)</f>
        <v>30000000</v>
      </c>
      <c r="C88" s="61"/>
      <c r="D88" s="69">
        <f>B88*100%/$B$90</f>
        <v>1.5988914352715451E-2</v>
      </c>
    </row>
    <row r="89" spans="1:4">
      <c r="A89" s="65" t="s">
        <v>146</v>
      </c>
      <c r="B89" s="76">
        <f>SUM(B76+B83+B88)</f>
        <v>806300000</v>
      </c>
      <c r="C89" s="64">
        <f t="shared" ref="C89:D89" si="7">SUM(C76+C83+C88)</f>
        <v>0</v>
      </c>
      <c r="D89" s="70">
        <f t="shared" si="7"/>
        <v>0.42972872141981561</v>
      </c>
    </row>
    <row r="90" spans="1:4">
      <c r="A90" s="62" t="s">
        <v>148</v>
      </c>
      <c r="B90" s="76">
        <f>B70+B89</f>
        <v>1876300000</v>
      </c>
      <c r="C90" s="64">
        <f t="shared" ref="C90:D90" si="8">C70+C89</f>
        <v>0</v>
      </c>
      <c r="D90" s="70">
        <f t="shared" si="8"/>
        <v>1</v>
      </c>
    </row>
  </sheetData>
  <mergeCells count="3">
    <mergeCell ref="A71:D71"/>
    <mergeCell ref="A2:D2"/>
    <mergeCell ref="A4:D4"/>
  </mergeCells>
  <conditionalFormatting sqref="D6:D10 D13:D15 D18:D20 D23:D25 D28:D30 D33:D37 D40:D44 D47:D51 D54:D58 D61:D63 D66:D68 D73:D75 D78:D82 D85:D8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{F2D6F0BE-26DD-4EEB-90BD-557CB13A2565}</x14:id>
        </ext>
      </extLst>
    </cfRule>
  </conditionalFormatting>
  <conditionalFormatting sqref="D11 F75 D21 D26 D31 D38 D45 D52 D59 D64 D69 D76 D83 D8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{7F419354-46C2-4563-87B4-253409B73EA2}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D6F0BE-26DD-4EEB-90BD-557CB13A25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D6:D10 D13:D15 D18:D20 D23:D25 D28:D30 D33:D37 D40:D44 D47:D51 D54:D58 D61:D63 D66:D68 D73:D75 D78:D82 D85:D87</xm:sqref>
        </x14:conditionalFormatting>
        <x14:conditionalFormatting xmlns:xm="http://schemas.microsoft.com/office/excel/2006/main">
          <x14:cfRule type="dataBar" id="{7F419354-46C2-4563-87B4-253409B73E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D11 F75 D21 D26 D31 D38 D45 D52 D59 D64 D69 D76 D83 D88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D41"/>
  <sheetViews>
    <sheetView topLeftCell="A24" zoomScale="80" zoomScaleNormal="80" zoomScalePageLayoutView="80" workbookViewId="0">
      <selection activeCell="A50" sqref="A50"/>
    </sheetView>
  </sheetViews>
  <sheetFormatPr baseColWidth="10" defaultRowHeight="14" x14ac:dyDescent="0"/>
  <cols>
    <col min="1" max="1" width="29.1640625" customWidth="1"/>
    <col min="2" max="2" width="16" customWidth="1"/>
    <col min="3" max="3" width="25.5" customWidth="1"/>
  </cols>
  <sheetData>
    <row r="1" spans="1:4">
      <c r="A1" s="118" t="s">
        <v>27</v>
      </c>
      <c r="B1" s="119"/>
      <c r="C1" s="119"/>
      <c r="D1" s="120"/>
    </row>
    <row r="2" spans="1:4">
      <c r="A2" s="66" t="s">
        <v>112</v>
      </c>
      <c r="B2" s="66" t="s">
        <v>113</v>
      </c>
      <c r="C2" s="66" t="s">
        <v>114</v>
      </c>
      <c r="D2" s="66"/>
    </row>
    <row r="3" spans="1:4">
      <c r="A3" s="114"/>
      <c r="B3" s="114"/>
      <c r="C3" s="114"/>
      <c r="D3" s="114"/>
    </row>
    <row r="4" spans="1:4">
      <c r="A4" s="82" t="s">
        <v>253</v>
      </c>
      <c r="B4" s="77"/>
      <c r="C4" s="59"/>
      <c r="D4" s="59"/>
    </row>
    <row r="5" spans="1:4">
      <c r="A5" s="60" t="s">
        <v>254</v>
      </c>
      <c r="B5" s="78">
        <v>500000</v>
      </c>
      <c r="C5" s="60" t="s">
        <v>130</v>
      </c>
      <c r="D5" s="68">
        <f t="shared" ref="D5:D10" si="0">B5*100%/$B$41</f>
        <v>9.7895252080274116E-4</v>
      </c>
    </row>
    <row r="6" spans="1:4">
      <c r="A6" s="60" t="s">
        <v>255</v>
      </c>
      <c r="B6" s="78">
        <v>1000000</v>
      </c>
      <c r="C6" s="60" t="s">
        <v>257</v>
      </c>
      <c r="D6" s="68">
        <f t="shared" si="0"/>
        <v>1.9579050416054823E-3</v>
      </c>
    </row>
    <row r="7" spans="1:4">
      <c r="A7" s="60" t="s">
        <v>256</v>
      </c>
      <c r="B7" s="78">
        <v>12000000</v>
      </c>
      <c r="C7" s="60" t="s">
        <v>258</v>
      </c>
      <c r="D7" s="68">
        <f t="shared" si="0"/>
        <v>2.3494860499265784E-2</v>
      </c>
    </row>
    <row r="8" spans="1:4">
      <c r="A8" s="60"/>
      <c r="B8" s="78">
        <v>3000000</v>
      </c>
      <c r="C8" s="60"/>
      <c r="D8" s="68">
        <f t="shared" si="0"/>
        <v>5.8737151248164461E-3</v>
      </c>
    </row>
    <row r="9" spans="1:4" ht="15" thickBot="1">
      <c r="A9" s="60"/>
      <c r="B9" s="79">
        <v>0</v>
      </c>
      <c r="C9" s="60"/>
      <c r="D9" s="71">
        <f t="shared" si="0"/>
        <v>0</v>
      </c>
    </row>
    <row r="10" spans="1:4" ht="15" thickTop="1">
      <c r="A10" s="83" t="s">
        <v>259</v>
      </c>
      <c r="B10" s="80">
        <f>SUM(B5:B9)</f>
        <v>16500000</v>
      </c>
      <c r="C10" s="61"/>
      <c r="D10" s="69">
        <f t="shared" si="0"/>
        <v>3.2305433186490456E-2</v>
      </c>
    </row>
    <row r="11" spans="1:4">
      <c r="A11" s="82" t="s">
        <v>111</v>
      </c>
      <c r="B11" s="77"/>
      <c r="C11" s="59"/>
      <c r="D11" s="67"/>
    </row>
    <row r="12" spans="1:4">
      <c r="A12" s="60" t="s">
        <v>173</v>
      </c>
      <c r="B12" s="72">
        <v>200000000</v>
      </c>
      <c r="C12" s="60" t="s">
        <v>121</v>
      </c>
      <c r="D12" s="68">
        <f>B12*100%/$B$41</f>
        <v>0.39158100832109644</v>
      </c>
    </row>
    <row r="13" spans="1:4">
      <c r="A13" s="60" t="s">
        <v>174</v>
      </c>
      <c r="B13" s="72">
        <v>135000000</v>
      </c>
      <c r="C13" s="60" t="s">
        <v>175</v>
      </c>
      <c r="D13" s="68">
        <f>B13*100%/$B$41</f>
        <v>0.26431718061674009</v>
      </c>
    </row>
    <row r="14" spans="1:4" ht="15" thickBot="1">
      <c r="A14" s="60"/>
      <c r="B14" s="79">
        <v>0</v>
      </c>
      <c r="C14" s="60"/>
      <c r="D14" s="71">
        <f>B14*100%/$B$41</f>
        <v>0</v>
      </c>
    </row>
    <row r="15" spans="1:4" ht="15" thickTop="1">
      <c r="A15" s="83" t="s">
        <v>260</v>
      </c>
      <c r="B15" s="80">
        <f>SUM(B12:B14)</f>
        <v>335000000</v>
      </c>
      <c r="C15" s="61"/>
      <c r="D15" s="69">
        <f>B15*100%/$B$41</f>
        <v>0.65589818893783647</v>
      </c>
    </row>
    <row r="16" spans="1:4">
      <c r="A16" s="82" t="s">
        <v>261</v>
      </c>
      <c r="B16" s="77"/>
      <c r="C16" s="59"/>
      <c r="D16" s="67"/>
    </row>
    <row r="17" spans="1:4">
      <c r="A17" s="60" t="s">
        <v>176</v>
      </c>
      <c r="B17" s="72">
        <v>65000000</v>
      </c>
      <c r="C17" s="60" t="s">
        <v>121</v>
      </c>
      <c r="D17" s="68">
        <f>B17*100%/$B$41</f>
        <v>0.12726382770435635</v>
      </c>
    </row>
    <row r="18" spans="1:4">
      <c r="A18" s="60"/>
      <c r="B18" s="72"/>
      <c r="C18" s="60" t="s">
        <v>175</v>
      </c>
      <c r="D18" s="68">
        <f>B18*100%/$B$41</f>
        <v>0</v>
      </c>
    </row>
    <row r="19" spans="1:4" ht="15" thickBot="1">
      <c r="A19" s="60"/>
      <c r="B19" s="79">
        <v>0</v>
      </c>
      <c r="C19" s="60"/>
      <c r="D19" s="71">
        <f>B19*100%/$B$41</f>
        <v>0</v>
      </c>
    </row>
    <row r="20" spans="1:4" ht="15" thickTop="1">
      <c r="A20" s="83" t="s">
        <v>262</v>
      </c>
      <c r="B20" s="80">
        <f>SUM(B17:B19)</f>
        <v>65000000</v>
      </c>
      <c r="C20" s="61"/>
      <c r="D20" s="69">
        <f>B20*100%/$B$41</f>
        <v>0.12726382770435635</v>
      </c>
    </row>
    <row r="21" spans="1:4">
      <c r="A21" s="82" t="s">
        <v>263</v>
      </c>
      <c r="B21" s="77"/>
      <c r="C21" s="59"/>
      <c r="D21" s="67"/>
    </row>
    <row r="22" spans="1:4">
      <c r="A22" s="60" t="s">
        <v>265</v>
      </c>
      <c r="B22" s="72">
        <v>35000000</v>
      </c>
      <c r="C22" s="60" t="s">
        <v>130</v>
      </c>
      <c r="D22" s="68">
        <f>B22*100%/$B$41</f>
        <v>6.8526676456191871E-2</v>
      </c>
    </row>
    <row r="23" spans="1:4">
      <c r="A23" s="60" t="s">
        <v>266</v>
      </c>
      <c r="B23" s="72">
        <v>2000000</v>
      </c>
      <c r="C23" s="60" t="s">
        <v>257</v>
      </c>
      <c r="D23" s="68">
        <f>B23*100%/$B$41</f>
        <v>3.9158100832109646E-3</v>
      </c>
    </row>
    <row r="24" spans="1:4" ht="15" thickBot="1">
      <c r="A24" s="60"/>
      <c r="B24" s="79">
        <v>750000</v>
      </c>
      <c r="C24" s="60" t="s">
        <v>267</v>
      </c>
      <c r="D24" s="71">
        <f>B24*100%/$B$41</f>
        <v>1.4684287812041115E-3</v>
      </c>
    </row>
    <row r="25" spans="1:4" ht="15" thickTop="1">
      <c r="A25" s="83" t="s">
        <v>264</v>
      </c>
      <c r="B25" s="80">
        <f>SUM(B22:B24)</f>
        <v>37750000</v>
      </c>
      <c r="C25" s="61"/>
      <c r="D25" s="69">
        <f>B25*100%/$B$41</f>
        <v>7.3910915320606951E-2</v>
      </c>
    </row>
    <row r="26" spans="1:4">
      <c r="A26" s="82" t="s">
        <v>275</v>
      </c>
      <c r="B26" s="77"/>
      <c r="C26" s="59"/>
      <c r="D26" s="67"/>
    </row>
    <row r="27" spans="1:4">
      <c r="A27" s="60" t="s">
        <v>277</v>
      </c>
      <c r="B27" s="72">
        <v>45000000</v>
      </c>
      <c r="C27" s="60" t="s">
        <v>276</v>
      </c>
      <c r="D27" s="68">
        <f>B27*100%/$B$41</f>
        <v>8.8105726872246701E-2</v>
      </c>
    </row>
    <row r="28" spans="1:4">
      <c r="A28" s="60"/>
      <c r="B28" s="72"/>
      <c r="C28" s="60"/>
      <c r="D28" s="68">
        <f>B28*100%/$B$41</f>
        <v>0</v>
      </c>
    </row>
    <row r="29" spans="1:4" ht="15" thickBot="1">
      <c r="A29" s="60"/>
      <c r="B29" s="79">
        <v>0</v>
      </c>
      <c r="C29" s="60"/>
      <c r="D29" s="71">
        <f>B29*100%/$B$41</f>
        <v>0</v>
      </c>
    </row>
    <row r="30" spans="1:4" ht="15" thickTop="1">
      <c r="A30" s="83" t="s">
        <v>279</v>
      </c>
      <c r="B30" s="80">
        <f>SUM(B27:B29)</f>
        <v>45000000</v>
      </c>
      <c r="C30" s="61"/>
      <c r="D30" s="69">
        <f>B30*100%/$B$41</f>
        <v>8.8105726872246701E-2</v>
      </c>
    </row>
    <row r="31" spans="1:4">
      <c r="A31" s="82" t="s">
        <v>268</v>
      </c>
      <c r="B31" s="77"/>
      <c r="C31" s="59"/>
      <c r="D31" s="67"/>
    </row>
    <row r="32" spans="1:4">
      <c r="A32" s="60"/>
      <c r="B32" s="72">
        <v>6500000</v>
      </c>
      <c r="C32" s="60" t="s">
        <v>269</v>
      </c>
      <c r="D32" s="68">
        <f>B32*100%/$B$41</f>
        <v>1.2726382770435633E-2</v>
      </c>
    </row>
    <row r="33" spans="1:4">
      <c r="A33" s="60"/>
      <c r="B33" s="72">
        <v>2000000</v>
      </c>
      <c r="C33" s="60" t="s">
        <v>270</v>
      </c>
      <c r="D33" s="68">
        <f>B33*100%/$B$41</f>
        <v>3.9158100832109646E-3</v>
      </c>
    </row>
    <row r="34" spans="1:4" ht="15" thickBot="1">
      <c r="A34" s="60"/>
      <c r="B34" s="79">
        <v>0</v>
      </c>
      <c r="C34" s="60"/>
      <c r="D34" s="71">
        <f>B34*100%/$B$41</f>
        <v>0</v>
      </c>
    </row>
    <row r="35" spans="1:4" ht="15" thickTop="1">
      <c r="A35" s="83" t="s">
        <v>280</v>
      </c>
      <c r="B35" s="80">
        <f>SUM(B32:B34)</f>
        <v>8500000</v>
      </c>
      <c r="C35" s="61"/>
      <c r="D35" s="69">
        <f>B35*100%/$B$41</f>
        <v>1.6642192853646598E-2</v>
      </c>
    </row>
    <row r="36" spans="1:4">
      <c r="A36" s="82" t="s">
        <v>271</v>
      </c>
      <c r="B36" s="77"/>
      <c r="C36" s="59"/>
      <c r="D36" s="67"/>
    </row>
    <row r="37" spans="1:4">
      <c r="A37" s="60"/>
      <c r="B37" s="72">
        <v>1000000</v>
      </c>
      <c r="C37" s="60" t="s">
        <v>273</v>
      </c>
      <c r="D37" s="68">
        <f>B37*100%/$B$41</f>
        <v>1.9579050416054823E-3</v>
      </c>
    </row>
    <row r="38" spans="1:4">
      <c r="A38" s="60"/>
      <c r="B38" s="72">
        <v>2000000</v>
      </c>
      <c r="C38" s="60" t="s">
        <v>274</v>
      </c>
      <c r="D38" s="68">
        <f>B38*100%/$B$41</f>
        <v>3.9158100832109646E-3</v>
      </c>
    </row>
    <row r="39" spans="1:4" ht="15" thickBot="1">
      <c r="A39" s="60"/>
      <c r="B39" s="79">
        <v>0</v>
      </c>
      <c r="C39" s="60"/>
      <c r="D39" s="71">
        <f>B39*100%/$B$41</f>
        <v>0</v>
      </c>
    </row>
    <row r="40" spans="1:4" ht="15" thickTop="1">
      <c r="A40" s="83" t="s">
        <v>272</v>
      </c>
      <c r="B40" s="80">
        <f>SUM(B37:B39)</f>
        <v>3000000</v>
      </c>
      <c r="C40" s="61"/>
      <c r="D40" s="69">
        <f>B40*100%/$B$41</f>
        <v>5.8737151248164461E-3</v>
      </c>
    </row>
    <row r="41" spans="1:4">
      <c r="A41" s="98" t="s">
        <v>278</v>
      </c>
      <c r="B41" s="100">
        <f>B10+B15+B20+B25+B30+B35+B40</f>
        <v>510750000</v>
      </c>
      <c r="C41" s="99"/>
      <c r="D41" s="101">
        <f t="shared" ref="D41" si="1">D10+D15+D20+D25+D30+D35+D40</f>
        <v>1.0000000000000002</v>
      </c>
    </row>
  </sheetData>
  <mergeCells count="2">
    <mergeCell ref="A1:D1"/>
    <mergeCell ref="A3:D3"/>
  </mergeCells>
  <conditionalFormatting sqref="D5:D9 D12:D1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{BA92F152-F8BB-4D33-9681-DD9C619C75DA}</x14:id>
        </ext>
      </extLst>
    </cfRule>
  </conditionalFormatting>
  <conditionalFormatting sqref="D1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{74D5A43D-B7B9-4994-AD2B-5395C5FCCDC6}</x14:id>
        </ext>
      </extLst>
    </cfRule>
  </conditionalFormatting>
  <conditionalFormatting sqref="D17:D1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{9679672C-A3E7-466A-B115-754C538ED641}</x14:id>
        </ext>
      </extLst>
    </cfRule>
  </conditionalFormatting>
  <conditionalFormatting sqref="D22:D2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{2B1DE3FF-D66D-4323-B314-8BA29B0F9405}</x14:id>
        </ext>
      </extLst>
    </cfRule>
  </conditionalFormatting>
  <conditionalFormatting sqref="D32:D3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{D0BC3D31-DB36-4375-9243-1A9042E9C53A}</x14:id>
        </ext>
      </extLst>
    </cfRule>
  </conditionalFormatting>
  <conditionalFormatting sqref="D37:D3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{32C9B73F-FDB5-413C-8033-B07269A87BA6}</x14:id>
        </ext>
      </extLst>
    </cfRule>
  </conditionalFormatting>
  <conditionalFormatting sqref="D27:D2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{0FFD8B30-2449-4942-A05B-B0A4729F9557}</x14:id>
        </ext>
      </extLst>
    </cfRule>
  </conditionalFormatting>
  <conditionalFormatting sqref="D1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{2E1586E7-BBB7-47DF-8E8C-C1264AB04B6A}</x14:id>
        </ext>
      </extLst>
    </cfRule>
  </conditionalFormatting>
  <conditionalFormatting sqref="D2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{D7ACEAF8-7056-4AA7-BE8F-2A0621586BA9}</x14:id>
        </ext>
      </extLst>
    </cfRule>
  </conditionalFormatting>
  <conditionalFormatting sqref="D15 D10 D20 D30 D35 D4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{4722F64C-D886-40BF-A37E-502CFA44ACF2}</x14:id>
        </ext>
      </extLst>
    </cfRule>
  </conditionalFormatting>
  <conditionalFormatting sqref="D10 D15 D20 D25 D30 D35 D4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{F0C4ABDE-F368-419C-AE7A-9A0EC9341D02}</x14:id>
        </ext>
      </extLst>
    </cfRule>
  </conditionalFormatting>
  <conditionalFormatting sqref="D5:D9 D12:D14 D17:D19 D22:D24 D27:D29 D32:D34 D37:D39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{ACE96560-B41B-4354-B0E3-45B1C285E994}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92F152-F8BB-4D33-9681-DD9C619C7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D5:D9 D12:D14</xm:sqref>
        </x14:conditionalFormatting>
        <x14:conditionalFormatting xmlns:xm="http://schemas.microsoft.com/office/excel/2006/main">
          <x14:cfRule type="dataBar" id="{74D5A43D-B7B9-4994-AD2B-5395C5FCC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D10</xm:sqref>
        </x14:conditionalFormatting>
        <x14:conditionalFormatting xmlns:xm="http://schemas.microsoft.com/office/excel/2006/main">
          <x14:cfRule type="dataBar" id="{9679672C-A3E7-466A-B115-754C538ED6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D17:D19</xm:sqref>
        </x14:conditionalFormatting>
        <x14:conditionalFormatting xmlns:xm="http://schemas.microsoft.com/office/excel/2006/main">
          <x14:cfRule type="dataBar" id="{2B1DE3FF-D66D-4323-B314-8BA29B0F94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D22:D24</xm:sqref>
        </x14:conditionalFormatting>
        <x14:conditionalFormatting xmlns:xm="http://schemas.microsoft.com/office/excel/2006/main">
          <x14:cfRule type="dataBar" id="{D0BC3D31-DB36-4375-9243-1A9042E9C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D32:D34</xm:sqref>
        </x14:conditionalFormatting>
        <x14:conditionalFormatting xmlns:xm="http://schemas.microsoft.com/office/excel/2006/main">
          <x14:cfRule type="dataBar" id="{32C9B73F-FDB5-413C-8033-B07269A87B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D37:D39</xm:sqref>
        </x14:conditionalFormatting>
        <x14:conditionalFormatting xmlns:xm="http://schemas.microsoft.com/office/excel/2006/main">
          <x14:cfRule type="dataBar" id="{0FFD8B30-2449-4942-A05B-B0A4729F95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D27:D29</xm:sqref>
        </x14:conditionalFormatting>
        <x14:conditionalFormatting xmlns:xm="http://schemas.microsoft.com/office/excel/2006/main">
          <x14:cfRule type="dataBar" id="{2E1586E7-BBB7-47DF-8E8C-C1264AB04B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D15</xm:sqref>
        </x14:conditionalFormatting>
        <x14:conditionalFormatting xmlns:xm="http://schemas.microsoft.com/office/excel/2006/main">
          <x14:cfRule type="dataBar" id="{D7ACEAF8-7056-4AA7-BE8F-2A0621586B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</xm:sqref>
        </x14:conditionalFormatting>
        <x14:conditionalFormatting xmlns:xm="http://schemas.microsoft.com/office/excel/2006/main">
          <x14:cfRule type="dataBar" id="{4722F64C-D886-40BF-A37E-502CFA44AC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D15 D10 D20 D30 D35 D40</xm:sqref>
        </x14:conditionalFormatting>
        <x14:conditionalFormatting xmlns:xm="http://schemas.microsoft.com/office/excel/2006/main">
          <x14:cfRule type="dataBar" id="{F0C4ABDE-F368-419C-AE7A-9A0EC9341D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 D15 D20 D25 D30 D35 D40</xm:sqref>
        </x14:conditionalFormatting>
        <x14:conditionalFormatting xmlns:xm="http://schemas.microsoft.com/office/excel/2006/main">
          <x14:cfRule type="dataBar" id="{ACE96560-B41B-4354-B0E3-45B1C285E99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D5:D9 D12:D14 D17:D19 D22:D24 D27:D29 D32:D34 D37:D39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BALANCE Y ESTADO DE RESULTADOS</vt:lpstr>
      <vt:lpstr>GASTOS</vt:lpstr>
      <vt:lpstr>ACTIVOS Y POSESIONES</vt:lpstr>
      <vt:lpstr>PASIVOS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FORERO</dc:creator>
  <cp:lastModifiedBy>Usuario de Microsoft Office</cp:lastModifiedBy>
  <cp:lastPrinted>2015-11-24T15:17:05Z</cp:lastPrinted>
  <dcterms:created xsi:type="dcterms:W3CDTF">2015-11-02T21:29:54Z</dcterms:created>
  <dcterms:modified xsi:type="dcterms:W3CDTF">2016-03-02T00:33:02Z</dcterms:modified>
</cp:coreProperties>
</file>