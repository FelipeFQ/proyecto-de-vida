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tablas tbr programas\"/>
    </mc:Choice>
  </mc:AlternateContent>
  <bookViews>
    <workbookView xWindow="-120" yWindow="-120" windowWidth="29040" windowHeight="15720"/>
  </bookViews>
  <sheets>
    <sheet name="SELECCION" sheetId="3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3" l="1"/>
  <c r="I17" i="3" s="1"/>
  <c r="H16" i="3"/>
  <c r="I16" i="3" s="1"/>
  <c r="H14" i="3"/>
  <c r="I14" i="3" s="1"/>
  <c r="H13" i="3"/>
  <c r="I13" i="3" s="1"/>
  <c r="H12" i="3"/>
  <c r="I12" i="3" s="1"/>
  <c r="H11" i="3"/>
  <c r="I11" i="3" s="1"/>
  <c r="H5" i="3"/>
  <c r="I5" i="3" s="1"/>
  <c r="H8" i="3"/>
  <c r="I8" i="3" s="1"/>
  <c r="H10" i="3"/>
  <c r="I10" i="3" s="1"/>
  <c r="H15" i="3"/>
  <c r="I15" i="3" s="1"/>
  <c r="H9" i="3"/>
  <c r="I9" i="3" s="1"/>
  <c r="H7" i="3"/>
  <c r="I7" i="3" s="1"/>
  <c r="H6" i="3"/>
  <c r="I6" i="3" s="1"/>
  <c r="H19" i="3"/>
  <c r="I19" i="3" s="1"/>
  <c r="H18" i="3"/>
  <c r="I18" i="3" s="1"/>
  <c r="G20" i="3"/>
  <c r="I20" i="3" l="1"/>
</calcChain>
</file>

<file path=xl/sharedStrings.xml><?xml version="1.0" encoding="utf-8"?>
<sst xmlns="http://schemas.openxmlformats.org/spreadsheetml/2006/main" count="74" uniqueCount="59">
  <si>
    <t>PONDERADO</t>
  </si>
  <si>
    <t>CALIFICACION</t>
  </si>
  <si>
    <t>CERCANIA A TRANSPORTE PUBLICO</t>
  </si>
  <si>
    <t>2 CUADRAS</t>
  </si>
  <si>
    <t>UNA</t>
  </si>
  <si>
    <t>2° O 3° PISO SIN ASCENSOR</t>
  </si>
  <si>
    <t>CERCANIA A COMERCIO</t>
  </si>
  <si>
    <t>1 O 3 CUADRAS</t>
  </si>
  <si>
    <t>DOS</t>
  </si>
  <si>
    <t>ASCENSOR EN BUEN ESTADO</t>
  </si>
  <si>
    <t>CERCANIA A PARQUES</t>
  </si>
  <si>
    <t>4 CUADRAS</t>
  </si>
  <si>
    <t>TRES O MAS</t>
  </si>
  <si>
    <t>ASCENSOR EN MAL ESTADO</t>
  </si>
  <si>
    <t>VIAS PRINCIPALES DE ACCESO</t>
  </si>
  <si>
    <t>5 CUADRAS</t>
  </si>
  <si>
    <t>1° O &gt;3° SIN ASCENSOR</t>
  </si>
  <si>
    <t>CERCANIA A IGLESIA</t>
  </si>
  <si>
    <t>CERCANIA A POLICIA</t>
  </si>
  <si>
    <t>BUENA</t>
  </si>
  <si>
    <t>CUBIERTO Y AMPLIO</t>
  </si>
  <si>
    <t>MAL GUSTO Y EN BUEN ESTADO</t>
  </si>
  <si>
    <t>ASCENSOR</t>
  </si>
  <si>
    <t>REGULAR</t>
  </si>
  <si>
    <t>DESCUBIERTO Y AMPLIO</t>
  </si>
  <si>
    <t>BUEN GUSTO Y EN BUEN ESTADO</t>
  </si>
  <si>
    <t>DISTRIBUCION</t>
  </si>
  <si>
    <t>MALA</t>
  </si>
  <si>
    <t>CUBIERTO Y JUSTO</t>
  </si>
  <si>
    <t>CUALQUIERA Y EN MAL ESTADO</t>
  </si>
  <si>
    <t>PARQUEADERO</t>
  </si>
  <si>
    <t>DESCUBIERTO Y JUSTO</t>
  </si>
  <si>
    <t>ANTIGÜEDAD</t>
  </si>
  <si>
    <t>MENOS A 15 AÑOS</t>
  </si>
  <si>
    <t>MAYOR A 15 AÑOS</t>
  </si>
  <si>
    <t>NO TIENE</t>
  </si>
  <si>
    <t>ACABADOS</t>
  </si>
  <si>
    <t>SERVICIOS COMUNALES</t>
  </si>
  <si>
    <t>REGULARES</t>
  </si>
  <si>
    <t>BUENOS</t>
  </si>
  <si>
    <t>100 A 150</t>
  </si>
  <si>
    <t>HASTA 10%</t>
  </si>
  <si>
    <t>CANTIDAD DE UNIDADES</t>
  </si>
  <si>
    <t>150 A 200</t>
  </si>
  <si>
    <t>DE 10% A 20%</t>
  </si>
  <si>
    <t>CARTERA MOROSA</t>
  </si>
  <si>
    <t>MALOS</t>
  </si>
  <si>
    <t>&gt;200</t>
  </si>
  <si>
    <t>MAS DE 20%</t>
  </si>
  <si>
    <t>CUOTAS EXTRAORDINARIAS PENDIENTES</t>
  </si>
  <si>
    <t>NO</t>
  </si>
  <si>
    <t>SI</t>
  </si>
  <si>
    <t>BUSCAR INMUEBLES CON CALIFICACION SUPERIOR A 80% &gt;&gt;&gt;</t>
  </si>
  <si>
    <t>VARIABLES A CAMBIAR</t>
  </si>
  <si>
    <t>CELDAS CON FÓRMULAS NO SE CAMBIAN</t>
  </si>
  <si>
    <t>RESULTADOS IMPORTANTES NO SE CAMBIAN</t>
  </si>
  <si>
    <r>
      <t xml:space="preserve">MÁS INFORMACIÓN: </t>
    </r>
    <r>
      <rPr>
        <sz val="8"/>
        <color theme="0"/>
        <rFont val="Montserrat"/>
      </rPr>
      <t>www.carlosdevis.com</t>
    </r>
  </si>
  <si>
    <t>SI TIENES ALGUN INCONVENIENTE CONTACTA A :</t>
  </si>
  <si>
    <t>soporte@carlosdevis.com.co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</si>
</sst>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7" x14ac:knownFonts="1">
    <font>
      <sz val="11"/>
      <color indexed="8"/>
      <name val="Arial"/>
    </font>
    <font>
      <sz val="36"/>
      <color indexed="9"/>
      <name val="Bebas Neue"/>
    </font>
    <font>
      <sz val="10"/>
      <color indexed="8"/>
      <name val="Tahoma"/>
      <family val="2"/>
    </font>
    <font>
      <sz val="11"/>
      <color indexed="8"/>
      <name val="Calibri"/>
      <family val="2"/>
    </font>
    <font>
      <b/>
      <sz val="10"/>
      <color indexed="8"/>
      <name val="Montserrat"/>
    </font>
    <font>
      <sz val="9"/>
      <color indexed="8"/>
      <name val="Montserrat"/>
    </font>
    <font>
      <sz val="9"/>
      <color indexed="9"/>
      <name val="Montserrat"/>
    </font>
    <font>
      <b/>
      <sz val="9"/>
      <color indexed="8"/>
      <name val="Montserrat"/>
    </font>
    <font>
      <b/>
      <sz val="9"/>
      <name val="Montserrat"/>
    </font>
    <font>
      <sz val="9"/>
      <name val="Montserrat"/>
    </font>
    <font>
      <b/>
      <sz val="9"/>
      <color indexed="9"/>
      <name val="Montserrat"/>
    </font>
    <font>
      <b/>
      <sz val="9"/>
      <color theme="0"/>
      <name val="Montserrat"/>
    </font>
    <font>
      <u/>
      <sz val="10"/>
      <color theme="10"/>
      <name val="Arial"/>
      <family val="2"/>
    </font>
    <font>
      <sz val="11"/>
      <color indexed="8"/>
      <name val="Arial"/>
      <family val="2"/>
    </font>
    <font>
      <b/>
      <sz val="8"/>
      <color indexed="8"/>
      <name val="Montserrat"/>
    </font>
    <font>
      <b/>
      <sz val="8"/>
      <color theme="0"/>
      <name val="Montserrat"/>
    </font>
    <font>
      <sz val="8"/>
      <color theme="0"/>
      <name val="Montserrat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ABE2FF"/>
        <bgColor indexed="64"/>
      </patternFill>
    </fill>
    <fill>
      <patternFill patternType="solid">
        <fgColor rgb="FF2A8CCB"/>
        <bgColor indexed="64"/>
      </patternFill>
    </fill>
    <fill>
      <patternFill patternType="solid">
        <fgColor rgb="FF1A9AA7"/>
        <bgColor indexed="64"/>
      </patternFill>
    </fill>
    <fill>
      <patternFill patternType="solid">
        <fgColor rgb="FF02A29A"/>
        <bgColor indexed="64"/>
      </patternFill>
    </fill>
    <fill>
      <patternFill patternType="solid">
        <fgColor rgb="FF0E4470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/>
      <right/>
      <top style="thick">
        <color indexed="9"/>
      </top>
      <bottom style="medium">
        <color indexed="9"/>
      </bottom>
      <diagonal/>
    </border>
    <border>
      <left/>
      <right style="medium">
        <color indexed="9"/>
      </right>
      <top style="thick">
        <color indexed="9"/>
      </top>
      <bottom style="medium">
        <color indexed="9"/>
      </bottom>
      <diagonal/>
    </border>
    <border>
      <left style="medium">
        <color indexed="9"/>
      </left>
      <right/>
      <top style="thick">
        <color indexed="9"/>
      </top>
      <bottom style="medium">
        <color indexed="9"/>
      </bottom>
      <diagonal/>
    </border>
    <border>
      <left/>
      <right style="thin">
        <color indexed="11"/>
      </right>
      <top style="medium">
        <color indexed="9"/>
      </top>
      <bottom style="medium">
        <color indexed="9"/>
      </bottom>
      <diagonal/>
    </border>
    <border>
      <left style="thin">
        <color indexed="11"/>
      </left>
      <right style="thin">
        <color indexed="11"/>
      </right>
      <top style="medium">
        <color indexed="9"/>
      </top>
      <bottom style="medium">
        <color indexed="9"/>
      </bottom>
      <diagonal/>
    </border>
    <border>
      <left style="thin">
        <color indexed="11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11"/>
      </left>
      <right/>
      <top style="medium">
        <color indexed="9"/>
      </top>
      <bottom/>
      <diagonal/>
    </border>
    <border>
      <left/>
      <right/>
      <top style="medium">
        <color indexed="9"/>
      </top>
      <bottom/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11"/>
      </left>
      <right/>
      <top style="thick">
        <color indexed="9"/>
      </top>
      <bottom/>
      <diagonal/>
    </border>
    <border>
      <left/>
      <right/>
      <top style="thick">
        <color indexed="9"/>
      </top>
      <bottom/>
      <diagonal/>
    </border>
    <border>
      <left style="medium">
        <color indexed="9"/>
      </left>
      <right style="thin">
        <color indexed="11"/>
      </right>
      <top/>
      <bottom style="medium">
        <color indexed="9"/>
      </bottom>
      <diagonal/>
    </border>
    <border>
      <left style="thin">
        <color indexed="11"/>
      </left>
      <right style="thin">
        <color indexed="11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thin">
        <color rgb="FF0E4470"/>
      </left>
      <right style="thin">
        <color indexed="64"/>
      </right>
      <top style="thin">
        <color rgb="FF0E4470"/>
      </top>
      <bottom style="thin">
        <color rgb="FF0E4470"/>
      </bottom>
      <diagonal/>
    </border>
    <border>
      <left style="thin">
        <color indexed="64"/>
      </left>
      <right style="thin">
        <color rgb="FF0E4470"/>
      </right>
      <top style="thin">
        <color rgb="FF0E4470"/>
      </top>
      <bottom style="thin">
        <color rgb="FF0E4470"/>
      </bottom>
      <diagonal/>
    </border>
  </borders>
  <cellStyleXfs count="3">
    <xf numFmtId="0" fontId="0" fillId="0" borderId="0" applyNumberFormat="0" applyFill="0" applyBorder="0" applyProtection="0"/>
    <xf numFmtId="0" fontId="12" fillId="0" borderId="1" applyNumberFormat="0" applyFill="0" applyBorder="0" applyAlignment="0" applyProtection="0"/>
    <xf numFmtId="0" fontId="13" fillId="0" borderId="1" applyNumberFormat="0" applyFill="0" applyBorder="0" applyProtection="0"/>
  </cellStyleXfs>
  <cellXfs count="64">
    <xf numFmtId="0" fontId="0" fillId="0" borderId="0" xfId="0" applyFont="1" applyAlignment="1"/>
    <xf numFmtId="3" fontId="2" fillId="2" borderId="1" xfId="0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0" fontId="0" fillId="0" borderId="0" xfId="0" applyNumberFormat="1" applyFont="1" applyAlignment="1"/>
    <xf numFmtId="0" fontId="3" fillId="2" borderId="1" xfId="0" applyNumberFormat="1" applyFont="1" applyFill="1" applyBorder="1" applyAlignment="1"/>
    <xf numFmtId="0" fontId="3" fillId="2" borderId="2" xfId="0" applyNumberFormat="1" applyFont="1" applyFill="1" applyBorder="1" applyAlignment="1"/>
    <xf numFmtId="0" fontId="3" fillId="2" borderId="14" xfId="0" applyNumberFormat="1" applyFont="1" applyFill="1" applyBorder="1" applyAlignment="1"/>
    <xf numFmtId="0" fontId="3" fillId="2" borderId="15" xfId="0" applyNumberFormat="1" applyFont="1" applyFill="1" applyBorder="1" applyAlignment="1"/>
    <xf numFmtId="2" fontId="3" fillId="2" borderId="15" xfId="0" applyNumberFormat="1" applyFont="1" applyFill="1" applyBorder="1" applyAlignment="1"/>
    <xf numFmtId="0" fontId="3" fillId="2" borderId="3" xfId="0" applyNumberFormat="1" applyFont="1" applyFill="1" applyBorder="1" applyAlignment="1"/>
    <xf numFmtId="2" fontId="3" fillId="2" borderId="1" xfId="0" applyNumberFormat="1" applyFont="1" applyFill="1" applyBorder="1" applyAlignment="1"/>
    <xf numFmtId="0" fontId="3" fillId="2" borderId="4" xfId="0" applyNumberFormat="1" applyFont="1" applyFill="1" applyBorder="1" applyAlignment="1"/>
    <xf numFmtId="0" fontId="3" fillId="2" borderId="5" xfId="0" applyNumberFormat="1" applyFont="1" applyFill="1" applyBorder="1" applyAlignment="1"/>
    <xf numFmtId="0" fontId="3" fillId="2" borderId="6" xfId="0" applyNumberFormat="1" applyFont="1" applyFill="1" applyBorder="1" applyAlignment="1"/>
    <xf numFmtId="0" fontId="0" fillId="0" borderId="0" xfId="0" applyNumberFormat="1" applyFont="1" applyAlignment="1"/>
    <xf numFmtId="49" fontId="2" fillId="3" borderId="13" xfId="0" applyNumberFormat="1" applyFont="1" applyFill="1" applyBorder="1" applyAlignment="1">
      <alignment horizontal="left" vertical="center"/>
    </xf>
    <xf numFmtId="164" fontId="2" fillId="3" borderId="13" xfId="0" applyNumberFormat="1" applyFont="1" applyFill="1" applyBorder="1" applyAlignment="1">
      <alignment horizontal="center" vertical="center"/>
    </xf>
    <xf numFmtId="49" fontId="2" fillId="3" borderId="13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/>
    <xf numFmtId="3" fontId="6" fillId="2" borderId="17" xfId="0" applyNumberFormat="1" applyFont="1" applyFill="1" applyBorder="1" applyAlignment="1">
      <alignment horizontal="center" vertical="center"/>
    </xf>
    <xf numFmtId="3" fontId="6" fillId="2" borderId="18" xfId="0" applyNumberFormat="1" applyFont="1" applyFill="1" applyBorder="1" applyAlignment="1">
      <alignment horizontal="center" vertical="center"/>
    </xf>
    <xf numFmtId="3" fontId="6" fillId="2" borderId="7" xfId="0" applyNumberFormat="1" applyFont="1" applyFill="1" applyBorder="1" applyAlignment="1">
      <alignment horizontal="center" vertical="center"/>
    </xf>
    <xf numFmtId="3" fontId="6" fillId="2" borderId="8" xfId="0" applyNumberFormat="1" applyFont="1" applyFill="1" applyBorder="1" applyAlignment="1">
      <alignment horizontal="center" vertical="center"/>
    </xf>
    <xf numFmtId="49" fontId="7" fillId="2" borderId="9" xfId="0" applyNumberFormat="1" applyFont="1" applyFill="1" applyBorder="1" applyAlignment="1">
      <alignment horizontal="center" vertical="center"/>
    </xf>
    <xf numFmtId="3" fontId="7" fillId="2" borderId="8" xfId="0" applyNumberFormat="1" applyFont="1" applyFill="1" applyBorder="1" applyAlignment="1">
      <alignment vertical="center"/>
    </xf>
    <xf numFmtId="3" fontId="5" fillId="3" borderId="13" xfId="0" applyNumberFormat="1" applyFont="1" applyFill="1" applyBorder="1" applyAlignment="1">
      <alignment horizontal="center" vertical="center"/>
    </xf>
    <xf numFmtId="2" fontId="5" fillId="3" borderId="13" xfId="0" applyNumberFormat="1" applyFont="1" applyFill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right" vertical="center"/>
    </xf>
    <xf numFmtId="0" fontId="9" fillId="2" borderId="20" xfId="0" applyNumberFormat="1" applyFont="1" applyFill="1" applyBorder="1" applyAlignment="1"/>
    <xf numFmtId="0" fontId="9" fillId="2" borderId="11" xfId="0" applyNumberFormat="1" applyFont="1" applyFill="1" applyBorder="1" applyAlignment="1"/>
    <xf numFmtId="0" fontId="9" fillId="2" borderId="12" xfId="0" applyNumberFormat="1" applyFont="1" applyFill="1" applyBorder="1" applyAlignment="1"/>
    <xf numFmtId="3" fontId="6" fillId="2" borderId="13" xfId="0" applyNumberFormat="1" applyFont="1" applyFill="1" applyBorder="1" applyAlignment="1">
      <alignment horizontal="center" vertical="center"/>
    </xf>
    <xf numFmtId="2" fontId="5" fillId="2" borderId="13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/>
    <xf numFmtId="3" fontId="2" fillId="0" borderId="1" xfId="0" applyNumberFormat="1" applyFont="1" applyFill="1" applyBorder="1" applyAlignment="1">
      <alignment horizontal="center" vertical="center"/>
    </xf>
    <xf numFmtId="49" fontId="2" fillId="3" borderId="21" xfId="0" applyNumberFormat="1" applyFont="1" applyFill="1" applyBorder="1" applyAlignment="1">
      <alignment horizontal="left" vertical="center"/>
    </xf>
    <xf numFmtId="164" fontId="2" fillId="3" borderId="2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/>
    <xf numFmtId="3" fontId="1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/>
    </xf>
    <xf numFmtId="164" fontId="2" fillId="0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left" vertical="center"/>
    </xf>
    <xf numFmtId="0" fontId="0" fillId="0" borderId="0" xfId="0" applyNumberFormat="1" applyFont="1" applyAlignment="1">
      <alignment horizontal="center"/>
    </xf>
    <xf numFmtId="49" fontId="5" fillId="4" borderId="16" xfId="0" applyNumberFormat="1" applyFont="1" applyFill="1" applyBorder="1" applyAlignment="1" applyProtection="1">
      <alignment horizontal="center" vertical="center"/>
      <protection locked="0"/>
    </xf>
    <xf numFmtId="0" fontId="5" fillId="4" borderId="10" xfId="0" applyNumberFormat="1" applyFont="1" applyFill="1" applyBorder="1" applyAlignment="1" applyProtection="1">
      <protection locked="0"/>
    </xf>
    <xf numFmtId="0" fontId="5" fillId="4" borderId="11" xfId="0" applyNumberFormat="1" applyFont="1" applyFill="1" applyBorder="1" applyAlignment="1" applyProtection="1">
      <protection locked="0"/>
    </xf>
    <xf numFmtId="0" fontId="5" fillId="4" borderId="12" xfId="0" applyNumberFormat="1" applyFont="1" applyFill="1" applyBorder="1" applyAlignment="1" applyProtection="1">
      <protection locked="0"/>
    </xf>
    <xf numFmtId="9" fontId="11" fillId="5" borderId="13" xfId="0" applyNumberFormat="1" applyFont="1" applyFill="1" applyBorder="1" applyAlignment="1">
      <alignment horizontal="center" vertical="center"/>
    </xf>
    <xf numFmtId="9" fontId="10" fillId="6" borderId="13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/>
    </xf>
    <xf numFmtId="0" fontId="4" fillId="0" borderId="1" xfId="2" applyNumberFormat="1" applyFont="1" applyFill="1" applyBorder="1" applyAlignment="1">
      <alignment vertical="center"/>
    </xf>
    <xf numFmtId="0" fontId="14" fillId="5" borderId="3" xfId="2" applyNumberFormat="1" applyFont="1" applyFill="1" applyBorder="1" applyAlignment="1">
      <alignment horizontal="center" vertical="center"/>
    </xf>
    <xf numFmtId="0" fontId="14" fillId="5" borderId="1" xfId="2" applyNumberFormat="1" applyFont="1" applyFill="1" applyBorder="1" applyAlignment="1">
      <alignment horizontal="center" vertical="center"/>
    </xf>
    <xf numFmtId="0" fontId="14" fillId="0" borderId="1" xfId="2" applyNumberFormat="1" applyFont="1" applyFill="1" applyBorder="1" applyAlignment="1">
      <alignment vertical="center"/>
    </xf>
    <xf numFmtId="0" fontId="14" fillId="4" borderId="3" xfId="2" applyNumberFormat="1" applyFont="1" applyFill="1" applyBorder="1" applyAlignment="1">
      <alignment horizontal="center" vertical="center"/>
    </xf>
    <xf numFmtId="0" fontId="14" fillId="4" borderId="1" xfId="2" applyNumberFormat="1" applyFont="1" applyFill="1" applyBorder="1" applyAlignment="1">
      <alignment horizontal="center" vertical="center"/>
    </xf>
    <xf numFmtId="0" fontId="15" fillId="6" borderId="3" xfId="2" applyNumberFormat="1" applyFont="1" applyFill="1" applyBorder="1" applyAlignment="1">
      <alignment horizontal="center" vertical="center"/>
    </xf>
    <xf numFmtId="0" fontId="15" fillId="6" borderId="1" xfId="2" applyNumberFormat="1" applyFont="1" applyFill="1" applyBorder="1" applyAlignment="1">
      <alignment horizontal="center" vertical="center"/>
    </xf>
    <xf numFmtId="0" fontId="15" fillId="0" borderId="1" xfId="2" applyNumberFormat="1" applyFont="1" applyFill="1" applyBorder="1" applyAlignment="1">
      <alignment vertical="center"/>
    </xf>
    <xf numFmtId="0" fontId="15" fillId="7" borderId="1" xfId="1" applyFont="1" applyFill="1" applyBorder="1" applyAlignment="1">
      <alignment horizontal="center"/>
    </xf>
    <xf numFmtId="0" fontId="15" fillId="8" borderId="1" xfId="1" applyFont="1" applyFill="1" applyAlignment="1">
      <alignment horizontal="center"/>
    </xf>
    <xf numFmtId="0" fontId="16" fillId="8" borderId="1" xfId="1" applyFont="1" applyFill="1" applyAlignment="1">
      <alignment horizontal="center"/>
    </xf>
    <xf numFmtId="49" fontId="7" fillId="0" borderId="22" xfId="0" applyNumberFormat="1" applyFont="1" applyFill="1" applyBorder="1" applyAlignment="1">
      <alignment horizontal="center" vertical="center"/>
    </xf>
    <xf numFmtId="0" fontId="5" fillId="0" borderId="23" xfId="0" applyNumberFormat="1" applyFont="1" applyFill="1" applyBorder="1" applyAlignment="1">
      <alignment horizontal="center"/>
    </xf>
  </cellXfs>
  <cellStyles count="3">
    <cellStyle name="Hipervínculo" xfId="1" builtinId="8"/>
    <cellStyle name="Normal" xfId="0" builtinId="0"/>
    <cellStyle name="Normal 4" xfId="2"/>
  </cellStyles>
  <dxfs count="1">
    <dxf>
      <font>
        <b/>
        <i val="0"/>
        <color theme="0"/>
      </font>
      <fill>
        <patternFill>
          <bgColor rgb="FF00B050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B0F0"/>
      <rgbColor rgb="FFAAAAAA"/>
      <rgbColor rgb="FFD8D8D8"/>
      <rgbColor rgb="FFFFFF99"/>
      <rgbColor rgb="FF11FF7D"/>
      <rgbColor rgb="FFFF0000"/>
      <rgbColor rgb="FFF2F2F2"/>
      <rgbColor rgb="FFFABF8F"/>
      <rgbColor rgb="FF92D050"/>
      <rgbColor rgb="FFEAF1DD"/>
      <rgbColor rgb="FFFFA15D"/>
      <rgbColor rgb="FFF8F8F8"/>
      <rgbColor rgb="FF00297A"/>
      <rgbColor rgb="FFEEECE1"/>
      <rgbColor rgb="FF002060"/>
      <rgbColor rgb="FFFFFF00"/>
      <rgbColor rgb="FFC2D69B"/>
      <rgbColor rgb="FFFDE9D9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E4470"/>
      <color rgb="FF1A9AA7"/>
      <color rgb="FF2A8CCB"/>
      <color rgb="FFABE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7326</xdr:colOff>
      <xdr:row>2</xdr:row>
      <xdr:rowOff>10975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89076" cy="582475"/>
        </a:xfrm>
        <a:prstGeom prst="rect">
          <a:avLst/>
        </a:prstGeom>
      </xdr:spPr>
    </xdr:pic>
    <xdr:clientData/>
  </xdr:twoCellAnchor>
  <xdr:twoCellAnchor editAs="oneCell">
    <xdr:from>
      <xdr:col>0</xdr:col>
      <xdr:colOff>7326</xdr:colOff>
      <xdr:row>0</xdr:row>
      <xdr:rowOff>55501</xdr:rowOff>
    </xdr:from>
    <xdr:to>
      <xdr:col>0</xdr:col>
      <xdr:colOff>1985595</xdr:colOff>
      <xdr:row>1</xdr:row>
      <xdr:rowOff>255334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6" y="55501"/>
          <a:ext cx="1978269" cy="485583"/>
        </a:xfrm>
        <a:prstGeom prst="rect">
          <a:avLst/>
        </a:prstGeom>
      </xdr:spPr>
    </xdr:pic>
    <xdr:clientData/>
  </xdr:twoCellAnchor>
  <xdr:oneCellAnchor>
    <xdr:from>
      <xdr:col>1</xdr:col>
      <xdr:colOff>373673</xdr:colOff>
      <xdr:row>0</xdr:row>
      <xdr:rowOff>227134</xdr:rowOff>
    </xdr:from>
    <xdr:ext cx="3764811" cy="311173"/>
    <xdr:sp macro="" textlink="">
      <xdr:nvSpPr>
        <xdr:cNvPr id="5" name="CuadroTexto 4"/>
        <xdr:cNvSpPr txBox="1"/>
      </xdr:nvSpPr>
      <xdr:spPr>
        <a:xfrm>
          <a:off x="2461846" y="227134"/>
          <a:ext cx="3764811" cy="311173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none" lIns="45719" tIns="45719" rIns="45719" bIns="45719" numCol="1" spcCol="38100" rtlCol="0" anchor="t">
          <a:sp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400" b="1" i="0" u="none" strike="noStrike" cap="none" spc="0" normalizeH="0" baseline="0">
              <a:ln>
                <a:noFill/>
              </a:ln>
              <a:solidFill>
                <a:schemeClr val="bg1"/>
              </a:solidFill>
              <a:effectLst/>
              <a:uFillTx/>
              <a:latin typeface="Montserrat" panose="00000500000000000000" pitchFamily="2" charset="0"/>
              <a:ea typeface="Calibri"/>
              <a:cs typeface="Calibri"/>
              <a:sym typeface="Calibri"/>
            </a:rPr>
            <a:t>MATRIZ DE SELECCIÓN DE INMUEBLES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porte@carlosdevis.com.co" TargetMode="Externa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02"/>
  <sheetViews>
    <sheetView showGridLines="0" tabSelected="1" zoomScale="130" zoomScaleNormal="130" workbookViewId="0">
      <selection activeCell="K6" sqref="K6:M6"/>
    </sheetView>
  </sheetViews>
  <sheetFormatPr baseColWidth="10" defaultColWidth="12.625" defaultRowHeight="15" customHeight="1" x14ac:dyDescent="0.2"/>
  <cols>
    <col min="1" max="1" width="27.375" style="3" customWidth="1"/>
    <col min="2" max="2" width="8.875" style="3" customWidth="1"/>
    <col min="3" max="5" width="7.625" style="3" customWidth="1"/>
    <col min="6" max="6" width="11.375" style="3" customWidth="1"/>
    <col min="7" max="7" width="13.875" style="3" hidden="1" customWidth="1"/>
    <col min="8" max="8" width="10" style="3" hidden="1" customWidth="1"/>
    <col min="9" max="9" width="13.375" style="3" bestFit="1" customWidth="1"/>
    <col min="10" max="10" width="0.625" style="3" customWidth="1"/>
    <col min="11" max="14" width="10" style="3" customWidth="1"/>
    <col min="15" max="15" width="10" style="3" hidden="1" customWidth="1"/>
    <col min="16" max="16" width="13.875" style="3" hidden="1" customWidth="1"/>
    <col min="17" max="36" width="10" style="3" customWidth="1"/>
    <col min="37" max="256" width="12.625" style="3" customWidth="1"/>
  </cols>
  <sheetData>
    <row r="1" spans="1:256" ht="22.5" customHeight="1" x14ac:dyDescent="0.2">
      <c r="A1" s="42"/>
      <c r="B1" s="42"/>
      <c r="C1" s="42"/>
      <c r="D1" s="42"/>
      <c r="E1" s="42"/>
      <c r="F1" s="42"/>
      <c r="G1" s="42"/>
      <c r="H1" s="42"/>
      <c r="I1" s="42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</row>
    <row r="2" spans="1:256" ht="22.5" customHeight="1" x14ac:dyDescent="0.2">
      <c r="A2" s="42"/>
      <c r="B2" s="42"/>
      <c r="C2" s="42"/>
      <c r="D2" s="42"/>
      <c r="E2" s="42"/>
      <c r="F2" s="42"/>
      <c r="G2" s="42"/>
      <c r="H2" s="42"/>
      <c r="I2" s="42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</row>
    <row r="3" spans="1:256" ht="15" customHeight="1" thickBot="1" x14ac:dyDescent="0.3">
      <c r="A3" s="18"/>
      <c r="B3" s="18"/>
      <c r="C3" s="18"/>
      <c r="D3" s="18"/>
      <c r="E3" s="18"/>
      <c r="F3" s="18"/>
      <c r="G3" s="18"/>
      <c r="H3" s="18"/>
      <c r="I3" s="18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  <c r="IS3" s="14"/>
      <c r="IT3" s="14"/>
      <c r="IU3" s="14"/>
      <c r="IV3" s="14"/>
    </row>
    <row r="4" spans="1:256" ht="15" customHeight="1" thickTop="1" thickBot="1" x14ac:dyDescent="0.3">
      <c r="A4" s="19"/>
      <c r="B4" s="20"/>
      <c r="C4" s="21"/>
      <c r="D4" s="21"/>
      <c r="E4" s="21"/>
      <c r="F4" s="22"/>
      <c r="G4" s="23" t="s">
        <v>0</v>
      </c>
      <c r="H4" s="24"/>
      <c r="I4" s="23" t="s">
        <v>1</v>
      </c>
      <c r="J4" s="38"/>
      <c r="K4" s="38"/>
      <c r="L4" s="38"/>
      <c r="M4" s="38"/>
      <c r="N4" s="38"/>
      <c r="O4" s="39" t="s">
        <v>3</v>
      </c>
      <c r="P4" s="40">
        <v>1</v>
      </c>
      <c r="Q4" s="33"/>
      <c r="R4" s="33"/>
      <c r="S4" s="37"/>
      <c r="T4" s="37"/>
      <c r="U4" s="37"/>
      <c r="Z4" s="4"/>
      <c r="AA4" s="4"/>
      <c r="AB4" s="4"/>
      <c r="AC4" s="4"/>
      <c r="AD4" s="4"/>
      <c r="AE4" s="4"/>
      <c r="AF4" s="4"/>
      <c r="AG4" s="4"/>
      <c r="AH4" s="4"/>
      <c r="AI4" s="4"/>
      <c r="AJ4" s="5"/>
    </row>
    <row r="5" spans="1:256" ht="15" customHeight="1" thickBot="1" x14ac:dyDescent="0.3">
      <c r="A5" s="62" t="s">
        <v>2</v>
      </c>
      <c r="B5" s="63"/>
      <c r="C5" s="43" t="s">
        <v>3</v>
      </c>
      <c r="D5" s="44"/>
      <c r="E5" s="45"/>
      <c r="F5" s="46"/>
      <c r="G5" s="25">
        <v>12</v>
      </c>
      <c r="H5" s="26">
        <f>VLOOKUP(C5,O4:P7,2,FALSE)</f>
        <v>1</v>
      </c>
      <c r="I5" s="47">
        <f>G5*H5/100</f>
        <v>0.12</v>
      </c>
      <c r="J5" s="37"/>
      <c r="K5" s="37"/>
      <c r="L5" s="37"/>
      <c r="M5" s="37"/>
      <c r="N5" s="37"/>
      <c r="O5" s="39" t="s">
        <v>7</v>
      </c>
      <c r="P5" s="40">
        <v>0.7</v>
      </c>
      <c r="Q5" s="34"/>
      <c r="R5" s="34"/>
      <c r="S5" s="37"/>
      <c r="T5" s="37"/>
      <c r="U5" s="37"/>
      <c r="Z5" s="1"/>
      <c r="AA5" s="1"/>
      <c r="AB5" s="1"/>
      <c r="AC5" s="1"/>
      <c r="AD5" s="1"/>
      <c r="AE5" s="1"/>
      <c r="AF5" s="1"/>
      <c r="AG5" s="1"/>
      <c r="AH5" s="1"/>
      <c r="AI5" s="1"/>
      <c r="AJ5" s="2"/>
    </row>
    <row r="6" spans="1:256" ht="15" customHeight="1" thickBot="1" x14ac:dyDescent="0.3">
      <c r="A6" s="62" t="s">
        <v>6</v>
      </c>
      <c r="B6" s="63"/>
      <c r="C6" s="43" t="s">
        <v>3</v>
      </c>
      <c r="D6" s="44"/>
      <c r="E6" s="45"/>
      <c r="F6" s="46"/>
      <c r="G6" s="25">
        <v>12</v>
      </c>
      <c r="H6" s="26">
        <f>VLOOKUP(C6,O4:P7,2,FALSE)</f>
        <v>1</v>
      </c>
      <c r="I6" s="47">
        <f t="shared" ref="I6:I19" si="0">G6*H6/100</f>
        <v>0.12</v>
      </c>
      <c r="J6" s="37"/>
      <c r="K6" s="49"/>
      <c r="L6" s="49"/>
      <c r="M6" s="49"/>
      <c r="N6" s="37"/>
      <c r="O6" s="39" t="s">
        <v>11</v>
      </c>
      <c r="P6" s="40">
        <v>0.4</v>
      </c>
      <c r="Q6" s="34"/>
      <c r="R6" s="34"/>
      <c r="S6" s="37"/>
      <c r="T6" s="37"/>
      <c r="U6" s="37"/>
      <c r="Z6" s="1"/>
      <c r="AA6" s="1"/>
      <c r="AB6" s="1"/>
      <c r="AC6" s="1"/>
      <c r="AD6" s="1"/>
      <c r="AE6" s="1"/>
      <c r="AF6" s="1"/>
      <c r="AG6" s="1"/>
      <c r="AH6" s="1"/>
      <c r="AI6" s="1"/>
      <c r="AJ6" s="2"/>
    </row>
    <row r="7" spans="1:256" ht="15" customHeight="1" thickBot="1" x14ac:dyDescent="0.3">
      <c r="A7" s="62" t="s">
        <v>10</v>
      </c>
      <c r="B7" s="63"/>
      <c r="C7" s="43" t="s">
        <v>11</v>
      </c>
      <c r="D7" s="44"/>
      <c r="E7" s="45"/>
      <c r="F7" s="46"/>
      <c r="G7" s="25">
        <v>4</v>
      </c>
      <c r="H7" s="26">
        <f>VLOOKUP(C7,O4:P7,2,FALSE)</f>
        <v>0.4</v>
      </c>
      <c r="I7" s="47">
        <f t="shared" si="0"/>
        <v>1.6E-2</v>
      </c>
      <c r="J7" s="37"/>
      <c r="K7" s="37"/>
      <c r="L7" s="37"/>
      <c r="M7" s="37"/>
      <c r="N7" s="37"/>
      <c r="O7" s="39" t="s">
        <v>15</v>
      </c>
      <c r="P7" s="40">
        <v>0.1</v>
      </c>
      <c r="Q7" s="34"/>
      <c r="R7" s="34"/>
      <c r="S7" s="37"/>
      <c r="T7" s="37"/>
      <c r="U7" s="37"/>
      <c r="Z7" s="1"/>
      <c r="AA7" s="1"/>
      <c r="AB7" s="1"/>
      <c r="AC7" s="1"/>
      <c r="AD7" s="1"/>
      <c r="AE7" s="1"/>
      <c r="AF7" s="1"/>
      <c r="AG7" s="1"/>
      <c r="AH7" s="1"/>
      <c r="AI7" s="1"/>
      <c r="AJ7" s="2"/>
    </row>
    <row r="8" spans="1:256" ht="15" customHeight="1" thickBot="1" x14ac:dyDescent="0.3">
      <c r="A8" s="62" t="s">
        <v>14</v>
      </c>
      <c r="B8" s="63"/>
      <c r="C8" s="43" t="s">
        <v>12</v>
      </c>
      <c r="D8" s="44"/>
      <c r="E8" s="45"/>
      <c r="F8" s="46"/>
      <c r="G8" s="25">
        <v>5</v>
      </c>
      <c r="H8" s="26">
        <f>VLOOKUP(C8,O8:P10,2,FALSE)</f>
        <v>1</v>
      </c>
      <c r="I8" s="47">
        <f t="shared" si="0"/>
        <v>0.05</v>
      </c>
      <c r="J8" s="37"/>
      <c r="K8" s="37"/>
      <c r="L8" s="37"/>
      <c r="M8" s="37"/>
      <c r="N8" s="37"/>
      <c r="O8" s="39" t="s">
        <v>4</v>
      </c>
      <c r="P8" s="40">
        <v>0.5</v>
      </c>
      <c r="Q8" s="41"/>
      <c r="R8" s="34"/>
      <c r="S8" s="37"/>
      <c r="T8" s="37"/>
      <c r="U8" s="37"/>
      <c r="Z8" s="1"/>
      <c r="AA8" s="1"/>
      <c r="AB8" s="1"/>
      <c r="AC8" s="1"/>
      <c r="AD8" s="1"/>
      <c r="AE8" s="1"/>
      <c r="AF8" s="1"/>
      <c r="AG8" s="1"/>
      <c r="AH8" s="1"/>
      <c r="AI8" s="1"/>
      <c r="AJ8" s="2"/>
    </row>
    <row r="9" spans="1:256" ht="15" customHeight="1" thickBot="1" x14ac:dyDescent="0.3">
      <c r="A9" s="62" t="s">
        <v>17</v>
      </c>
      <c r="B9" s="63"/>
      <c r="C9" s="43" t="s">
        <v>7</v>
      </c>
      <c r="D9" s="44"/>
      <c r="E9" s="45"/>
      <c r="F9" s="46"/>
      <c r="G9" s="25">
        <v>2</v>
      </c>
      <c r="H9" s="26">
        <f>VLOOKUP(C9,O4:P7,2,FALSE)</f>
        <v>0.7</v>
      </c>
      <c r="I9" s="47">
        <f t="shared" si="0"/>
        <v>1.3999999999999999E-2</v>
      </c>
      <c r="J9" s="37"/>
      <c r="K9" s="37"/>
      <c r="L9" s="37"/>
      <c r="M9" s="37"/>
      <c r="N9" s="37"/>
      <c r="O9" s="39" t="s">
        <v>8</v>
      </c>
      <c r="P9" s="40">
        <v>0.75</v>
      </c>
      <c r="Q9" s="34"/>
      <c r="R9" s="34"/>
      <c r="S9" s="37"/>
      <c r="T9" s="37"/>
      <c r="U9" s="37"/>
      <c r="Z9" s="1"/>
      <c r="AA9" s="1"/>
      <c r="AB9" s="1"/>
      <c r="AC9" s="1"/>
      <c r="AD9" s="1"/>
      <c r="AE9" s="1"/>
      <c r="AF9" s="1"/>
      <c r="AG9" s="1"/>
      <c r="AH9" s="1"/>
      <c r="AI9" s="1"/>
      <c r="AJ9" s="2"/>
    </row>
    <row r="10" spans="1:256" ht="15" customHeight="1" thickBot="1" x14ac:dyDescent="0.3">
      <c r="A10" s="62" t="s">
        <v>18</v>
      </c>
      <c r="B10" s="63"/>
      <c r="C10" s="43" t="s">
        <v>7</v>
      </c>
      <c r="D10" s="44"/>
      <c r="E10" s="45"/>
      <c r="F10" s="46"/>
      <c r="G10" s="25">
        <v>3</v>
      </c>
      <c r="H10" s="26">
        <f>VLOOKUP(C10,O4:P7,2,FALSE)</f>
        <v>0.7</v>
      </c>
      <c r="I10" s="47">
        <f t="shared" si="0"/>
        <v>2.0999999999999998E-2</v>
      </c>
      <c r="J10" s="37"/>
      <c r="K10" s="37"/>
      <c r="L10" s="37"/>
      <c r="M10" s="37"/>
      <c r="N10" s="37"/>
      <c r="O10" s="39" t="s">
        <v>12</v>
      </c>
      <c r="P10" s="40">
        <v>1</v>
      </c>
      <c r="Q10" s="34"/>
      <c r="R10" s="34"/>
      <c r="S10" s="37"/>
      <c r="T10" s="37"/>
      <c r="U10" s="37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2"/>
    </row>
    <row r="11" spans="1:256" ht="15" customHeight="1" thickBot="1" x14ac:dyDescent="0.3">
      <c r="A11" s="62" t="s">
        <v>22</v>
      </c>
      <c r="B11" s="63"/>
      <c r="C11" s="43" t="s">
        <v>5</v>
      </c>
      <c r="D11" s="44"/>
      <c r="E11" s="45"/>
      <c r="F11" s="46"/>
      <c r="G11" s="25">
        <v>10</v>
      </c>
      <c r="H11" s="26">
        <f>VLOOKUP(C11,O11:P14,2,FALSE)</f>
        <v>1</v>
      </c>
      <c r="I11" s="47">
        <f t="shared" si="0"/>
        <v>0.1</v>
      </c>
      <c r="J11" s="37"/>
      <c r="K11" s="37"/>
      <c r="L11" s="37"/>
      <c r="M11" s="37"/>
      <c r="N11" s="37"/>
      <c r="O11" s="39" t="s">
        <v>5</v>
      </c>
      <c r="P11" s="40">
        <v>1</v>
      </c>
      <c r="Q11" s="34"/>
      <c r="R11" s="34"/>
      <c r="S11" s="37"/>
      <c r="T11" s="37"/>
      <c r="U11" s="37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2"/>
    </row>
    <row r="12" spans="1:256" ht="15" customHeight="1" thickBot="1" x14ac:dyDescent="0.3">
      <c r="A12" s="62" t="s">
        <v>26</v>
      </c>
      <c r="B12" s="63"/>
      <c r="C12" s="43" t="s">
        <v>19</v>
      </c>
      <c r="D12" s="44"/>
      <c r="E12" s="45"/>
      <c r="F12" s="46"/>
      <c r="G12" s="25">
        <v>8</v>
      </c>
      <c r="H12" s="26">
        <f>VLOOKUP(C12,O15:P17,2,FALSE)</f>
        <v>1</v>
      </c>
      <c r="I12" s="47">
        <f t="shared" si="0"/>
        <v>0.08</v>
      </c>
      <c r="J12" s="37"/>
      <c r="K12" s="37"/>
      <c r="L12" s="37"/>
      <c r="M12" s="37"/>
      <c r="N12" s="37"/>
      <c r="O12" s="39" t="s">
        <v>9</v>
      </c>
      <c r="P12" s="40">
        <v>0.8</v>
      </c>
      <c r="Q12" s="34"/>
      <c r="R12" s="34"/>
      <c r="S12" s="37"/>
      <c r="T12" s="37"/>
      <c r="U12" s="37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2"/>
    </row>
    <row r="13" spans="1:256" ht="15" customHeight="1" thickBot="1" x14ac:dyDescent="0.3">
      <c r="A13" s="62" t="s">
        <v>30</v>
      </c>
      <c r="B13" s="63"/>
      <c r="C13" s="43" t="s">
        <v>31</v>
      </c>
      <c r="D13" s="44"/>
      <c r="E13" s="45"/>
      <c r="F13" s="46"/>
      <c r="G13" s="25">
        <v>6</v>
      </c>
      <c r="H13" s="26">
        <f>VLOOKUP(C13,O18:P22,2,FALSE)</f>
        <v>0.4</v>
      </c>
      <c r="I13" s="47">
        <f t="shared" si="0"/>
        <v>2.4000000000000004E-2</v>
      </c>
      <c r="J13" s="37"/>
      <c r="K13" s="37"/>
      <c r="L13" s="37"/>
      <c r="M13" s="37"/>
      <c r="N13" s="37"/>
      <c r="O13" s="39" t="s">
        <v>13</v>
      </c>
      <c r="P13" s="40">
        <v>0.6</v>
      </c>
      <c r="Q13" s="34"/>
      <c r="R13" s="34"/>
      <c r="S13" s="37"/>
      <c r="T13" s="37"/>
      <c r="U13" s="37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2"/>
    </row>
    <row r="14" spans="1:256" ht="15" customHeight="1" thickBot="1" x14ac:dyDescent="0.3">
      <c r="A14" s="62" t="s">
        <v>32</v>
      </c>
      <c r="B14" s="63"/>
      <c r="C14" s="43" t="s">
        <v>34</v>
      </c>
      <c r="D14" s="44"/>
      <c r="E14" s="45"/>
      <c r="F14" s="46"/>
      <c r="G14" s="25">
        <v>2</v>
      </c>
      <c r="H14" s="26">
        <f>VLOOKUP(C14,O26:P27,2,FALSE)</f>
        <v>0.5</v>
      </c>
      <c r="I14" s="47">
        <f t="shared" si="0"/>
        <v>0.01</v>
      </c>
      <c r="J14" s="37"/>
      <c r="K14" s="37"/>
      <c r="L14" s="37"/>
      <c r="M14" s="37"/>
      <c r="N14" s="37"/>
      <c r="O14" s="39" t="s">
        <v>16</v>
      </c>
      <c r="P14" s="40">
        <v>0.2</v>
      </c>
      <c r="Q14" s="34"/>
      <c r="R14" s="34"/>
      <c r="S14" s="37"/>
      <c r="T14" s="37"/>
      <c r="U14" s="37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2"/>
    </row>
    <row r="15" spans="1:256" ht="15" customHeight="1" thickBot="1" x14ac:dyDescent="0.3">
      <c r="A15" s="62" t="s">
        <v>36</v>
      </c>
      <c r="B15" s="63"/>
      <c r="C15" s="43" t="s">
        <v>21</v>
      </c>
      <c r="D15" s="44"/>
      <c r="E15" s="45"/>
      <c r="F15" s="46"/>
      <c r="G15" s="25">
        <v>12</v>
      </c>
      <c r="H15" s="26">
        <f>VLOOKUP(C15,O23:P25,2,FALSE)</f>
        <v>0.5</v>
      </c>
      <c r="I15" s="47">
        <f t="shared" si="0"/>
        <v>0.06</v>
      </c>
      <c r="J15" s="37"/>
      <c r="K15" s="37"/>
      <c r="L15" s="37"/>
      <c r="M15" s="37"/>
      <c r="N15" s="37"/>
      <c r="O15" s="39" t="s">
        <v>19</v>
      </c>
      <c r="P15" s="40">
        <v>1</v>
      </c>
      <c r="Q15" s="34"/>
      <c r="R15" s="34"/>
      <c r="S15" s="37"/>
      <c r="T15" s="37"/>
      <c r="U15" s="37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2"/>
    </row>
    <row r="16" spans="1:256" ht="15" customHeight="1" thickBot="1" x14ac:dyDescent="0.3">
      <c r="A16" s="62" t="s">
        <v>37</v>
      </c>
      <c r="B16" s="63"/>
      <c r="C16" s="43" t="s">
        <v>39</v>
      </c>
      <c r="D16" s="44"/>
      <c r="E16" s="45"/>
      <c r="F16" s="46"/>
      <c r="G16" s="25">
        <v>8</v>
      </c>
      <c r="H16" s="26">
        <f>VLOOKUP(C16,O28:P30,2,FALSE)</f>
        <v>1</v>
      </c>
      <c r="I16" s="47">
        <f t="shared" si="0"/>
        <v>0.08</v>
      </c>
      <c r="J16" s="37"/>
      <c r="K16" s="37"/>
      <c r="L16" s="37"/>
      <c r="M16" s="37"/>
      <c r="N16" s="37"/>
      <c r="O16" s="39" t="s">
        <v>23</v>
      </c>
      <c r="P16" s="40">
        <v>0.5</v>
      </c>
      <c r="Q16" s="34"/>
      <c r="R16" s="34"/>
      <c r="S16" s="37"/>
      <c r="T16" s="37"/>
      <c r="U16" s="37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2"/>
    </row>
    <row r="17" spans="1:36" ht="15" customHeight="1" thickBot="1" x14ac:dyDescent="0.3">
      <c r="A17" s="62" t="s">
        <v>42</v>
      </c>
      <c r="B17" s="63"/>
      <c r="C17" s="43" t="s">
        <v>47</v>
      </c>
      <c r="D17" s="44"/>
      <c r="E17" s="45"/>
      <c r="F17" s="46"/>
      <c r="G17" s="25">
        <v>6</v>
      </c>
      <c r="H17" s="26">
        <f>VLOOKUP(C17,O33:P35,2,FALSE)</f>
        <v>0.3</v>
      </c>
      <c r="I17" s="47">
        <f t="shared" si="0"/>
        <v>1.7999999999999999E-2</v>
      </c>
      <c r="J17" s="37"/>
      <c r="K17" s="37"/>
      <c r="L17" s="37"/>
      <c r="M17" s="37"/>
      <c r="N17" s="37"/>
      <c r="O17" s="39" t="s">
        <v>27</v>
      </c>
      <c r="P17" s="40">
        <v>0.1</v>
      </c>
      <c r="Q17" s="34"/>
      <c r="R17" s="34"/>
      <c r="S17" s="37"/>
      <c r="T17" s="37"/>
      <c r="U17" s="37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2"/>
    </row>
    <row r="18" spans="1:36" ht="15" customHeight="1" thickBot="1" x14ac:dyDescent="0.3">
      <c r="A18" s="62" t="s">
        <v>45</v>
      </c>
      <c r="B18" s="63"/>
      <c r="C18" s="43" t="s">
        <v>41</v>
      </c>
      <c r="D18" s="44"/>
      <c r="E18" s="45"/>
      <c r="F18" s="46"/>
      <c r="G18" s="25">
        <v>8</v>
      </c>
      <c r="H18" s="26">
        <f>VLOOKUP(C18,O36:P38,2,FALSE)</f>
        <v>1</v>
      </c>
      <c r="I18" s="47">
        <f t="shared" si="0"/>
        <v>0.08</v>
      </c>
      <c r="J18" s="37"/>
      <c r="K18" s="37"/>
      <c r="L18" s="37"/>
      <c r="M18" s="37"/>
      <c r="N18" s="37"/>
      <c r="O18" s="39" t="s">
        <v>20</v>
      </c>
      <c r="P18" s="40">
        <v>1</v>
      </c>
      <c r="Q18" s="34"/>
      <c r="R18" s="34"/>
      <c r="S18" s="37"/>
      <c r="T18" s="37"/>
      <c r="U18" s="37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2"/>
    </row>
    <row r="19" spans="1:36" ht="15" customHeight="1" thickBot="1" x14ac:dyDescent="0.3">
      <c r="A19" s="62" t="s">
        <v>49</v>
      </c>
      <c r="B19" s="63"/>
      <c r="C19" s="43" t="s">
        <v>51</v>
      </c>
      <c r="D19" s="44"/>
      <c r="E19" s="45"/>
      <c r="F19" s="46"/>
      <c r="G19" s="25">
        <v>2</v>
      </c>
      <c r="H19" s="26">
        <f>VLOOKUP(C19,O31:P32,2,FALSE)</f>
        <v>0</v>
      </c>
      <c r="I19" s="47">
        <f t="shared" si="0"/>
        <v>0</v>
      </c>
      <c r="J19" s="37"/>
      <c r="K19" s="37"/>
      <c r="L19" s="37"/>
      <c r="M19" s="37"/>
      <c r="N19" s="37"/>
      <c r="O19" s="39" t="s">
        <v>24</v>
      </c>
      <c r="P19" s="40">
        <v>0.8</v>
      </c>
      <c r="Q19" s="34"/>
      <c r="R19" s="34"/>
      <c r="S19" s="37"/>
      <c r="T19" s="37"/>
      <c r="U19" s="37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2"/>
    </row>
    <row r="20" spans="1:36" ht="23.25" customHeight="1" thickBot="1" x14ac:dyDescent="0.3">
      <c r="A20" s="27" t="s">
        <v>52</v>
      </c>
      <c r="B20" s="28"/>
      <c r="C20" s="29"/>
      <c r="D20" s="29"/>
      <c r="E20" s="29"/>
      <c r="F20" s="30"/>
      <c r="G20" s="31">
        <f>SUM(G5:G19)</f>
        <v>100</v>
      </c>
      <c r="H20" s="32"/>
      <c r="I20" s="48">
        <f>SUM(I5:I19)</f>
        <v>0.79299999999999993</v>
      </c>
      <c r="J20" s="37"/>
      <c r="K20" s="37"/>
      <c r="L20" s="37"/>
      <c r="M20" s="37"/>
      <c r="N20" s="37"/>
      <c r="O20" s="39" t="s">
        <v>28</v>
      </c>
      <c r="P20" s="40">
        <v>0.6</v>
      </c>
      <c r="Q20" s="34"/>
      <c r="R20" s="34"/>
      <c r="S20" s="34"/>
      <c r="T20" s="34"/>
      <c r="U20" s="34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2"/>
    </row>
    <row r="21" spans="1:36" ht="15.6" customHeight="1" x14ac:dyDescent="0.25">
      <c r="A21" s="6"/>
      <c r="B21" s="7"/>
      <c r="C21" s="7"/>
      <c r="D21" s="7"/>
      <c r="E21" s="7"/>
      <c r="F21" s="7"/>
      <c r="G21" s="7"/>
      <c r="H21" s="8"/>
      <c r="I21" s="7"/>
      <c r="J21" s="33"/>
      <c r="K21" s="33"/>
      <c r="L21" s="33"/>
      <c r="M21" s="33"/>
      <c r="N21" s="33"/>
      <c r="O21" s="39" t="s">
        <v>31</v>
      </c>
      <c r="P21" s="40">
        <v>0.4</v>
      </c>
      <c r="Q21" s="33"/>
      <c r="R21" s="33"/>
      <c r="S21" s="33"/>
      <c r="T21" s="33"/>
      <c r="U21" s="33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5"/>
    </row>
    <row r="22" spans="1:36" ht="15" customHeight="1" x14ac:dyDescent="0.25">
      <c r="A22" s="54" t="s">
        <v>53</v>
      </c>
      <c r="B22" s="55"/>
      <c r="C22" s="50"/>
      <c r="D22" s="59" t="s">
        <v>56</v>
      </c>
      <c r="E22" s="59"/>
      <c r="F22" s="59"/>
      <c r="G22" s="59"/>
      <c r="H22" s="59"/>
      <c r="I22" s="59"/>
      <c r="J22" s="59"/>
      <c r="K22" s="33"/>
      <c r="L22" s="33"/>
      <c r="M22" s="33"/>
      <c r="N22" s="33"/>
      <c r="O22" s="39" t="s">
        <v>35</v>
      </c>
      <c r="P22" s="40">
        <v>0</v>
      </c>
      <c r="Q22" s="33"/>
      <c r="R22" s="33"/>
      <c r="S22" s="33"/>
      <c r="T22" s="33"/>
      <c r="U22" s="33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5"/>
    </row>
    <row r="23" spans="1:36" ht="15.75" customHeight="1" x14ac:dyDescent="0.25">
      <c r="A23" s="51" t="s">
        <v>54</v>
      </c>
      <c r="B23" s="52"/>
      <c r="C23" s="53"/>
      <c r="D23" s="60" t="s">
        <v>57</v>
      </c>
      <c r="E23" s="60"/>
      <c r="F23" s="60"/>
      <c r="G23" s="60"/>
      <c r="H23" s="60"/>
      <c r="I23" s="60"/>
      <c r="J23" s="60"/>
      <c r="K23" s="33"/>
      <c r="L23" s="33"/>
      <c r="M23" s="33"/>
      <c r="N23" s="33"/>
      <c r="O23" s="39" t="s">
        <v>21</v>
      </c>
      <c r="P23" s="40">
        <v>0.5</v>
      </c>
      <c r="Q23" s="33"/>
      <c r="R23" s="33"/>
      <c r="S23" s="33"/>
      <c r="T23" s="33"/>
      <c r="U23" s="33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5"/>
    </row>
    <row r="24" spans="1:36" ht="15.75" customHeight="1" x14ac:dyDescent="0.25">
      <c r="A24" s="56" t="s">
        <v>55</v>
      </c>
      <c r="B24" s="57"/>
      <c r="C24" s="58"/>
      <c r="D24" s="61" t="s">
        <v>58</v>
      </c>
      <c r="E24" s="60"/>
      <c r="F24" s="60"/>
      <c r="G24" s="60"/>
      <c r="H24" s="60"/>
      <c r="I24" s="60"/>
      <c r="J24" s="60"/>
      <c r="K24" s="33"/>
      <c r="L24" s="33"/>
      <c r="M24" s="33"/>
      <c r="N24" s="33"/>
      <c r="O24" s="39" t="s">
        <v>25</v>
      </c>
      <c r="P24" s="40">
        <v>1</v>
      </c>
      <c r="Q24" s="33"/>
      <c r="R24" s="33"/>
      <c r="S24" s="33"/>
      <c r="T24" s="33"/>
      <c r="U24" s="33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5"/>
    </row>
    <row r="25" spans="1:36" ht="15.7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33"/>
      <c r="K25" s="33"/>
      <c r="L25" s="33"/>
      <c r="M25" s="33"/>
      <c r="N25" s="33"/>
      <c r="O25" s="39" t="s">
        <v>29</v>
      </c>
      <c r="P25" s="40">
        <v>0.75</v>
      </c>
      <c r="Q25" s="33"/>
      <c r="R25" s="33"/>
      <c r="S25" s="33"/>
      <c r="T25" s="33"/>
      <c r="U25" s="33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5"/>
    </row>
    <row r="26" spans="1:36" ht="15.7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33"/>
      <c r="K26" s="33"/>
      <c r="L26" s="33"/>
      <c r="M26" s="33"/>
      <c r="N26" s="33"/>
      <c r="O26" s="39" t="s">
        <v>34</v>
      </c>
      <c r="P26" s="40">
        <v>0.5</v>
      </c>
      <c r="Q26" s="33"/>
      <c r="R26" s="33"/>
      <c r="S26" s="33"/>
      <c r="T26" s="33"/>
      <c r="U26" s="33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5"/>
    </row>
    <row r="27" spans="1:36" ht="15.75" customHeight="1" thickBo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35" t="s">
        <v>33</v>
      </c>
      <c r="P27" s="36">
        <v>1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5"/>
    </row>
    <row r="28" spans="1:36" ht="15.75" customHeight="1" thickBo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15" t="s">
        <v>39</v>
      </c>
      <c r="P28" s="16">
        <v>1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5"/>
    </row>
    <row r="29" spans="1:36" ht="15.75" customHeight="1" thickBo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15" t="s">
        <v>38</v>
      </c>
      <c r="P29" s="16">
        <v>0.5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5"/>
    </row>
    <row r="30" spans="1:36" ht="15.75" customHeight="1" thickBo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15" t="s">
        <v>46</v>
      </c>
      <c r="P30" s="16">
        <v>0.1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5"/>
    </row>
    <row r="31" spans="1:36" ht="15.75" customHeight="1" thickBo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15" t="s">
        <v>51</v>
      </c>
      <c r="P31" s="16">
        <v>0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5"/>
    </row>
    <row r="32" spans="1:36" ht="15.75" customHeight="1" thickBo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15" t="s">
        <v>50</v>
      </c>
      <c r="P32" s="16">
        <v>1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5"/>
    </row>
    <row r="33" spans="1:36" ht="15.75" customHeight="1" thickBo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17" t="s">
        <v>40</v>
      </c>
      <c r="P33" s="16">
        <v>0.7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5"/>
    </row>
    <row r="34" spans="1:36" ht="15.75" customHeight="1" thickBo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17" t="s">
        <v>43</v>
      </c>
      <c r="P34" s="16">
        <v>1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5"/>
    </row>
    <row r="35" spans="1:36" ht="15.75" customHeight="1" thickBo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17" t="s">
        <v>47</v>
      </c>
      <c r="P35" s="16">
        <v>0.3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5"/>
    </row>
    <row r="36" spans="1:36" ht="15.75" customHeight="1" thickBo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15" t="s">
        <v>41</v>
      </c>
      <c r="P36" s="16">
        <v>1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5"/>
    </row>
    <row r="37" spans="1:36" ht="15.75" customHeight="1" thickBo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15" t="s">
        <v>44</v>
      </c>
      <c r="P37" s="16">
        <v>0.5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5"/>
    </row>
    <row r="38" spans="1:36" ht="15.75" customHeight="1" thickBo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15" t="s">
        <v>48</v>
      </c>
      <c r="P38" s="16">
        <v>0.1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5"/>
    </row>
    <row r="39" spans="1:36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5"/>
    </row>
    <row r="40" spans="1:36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5"/>
    </row>
    <row r="41" spans="1:36" ht="15.75" customHeight="1" x14ac:dyDescent="0.25">
      <c r="A41" s="9"/>
      <c r="B41" s="4"/>
      <c r="C41" s="4"/>
      <c r="D41" s="4"/>
      <c r="E41" s="4"/>
      <c r="F41" s="4"/>
      <c r="G41" s="4"/>
      <c r="H41" s="10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5"/>
    </row>
    <row r="42" spans="1:36" ht="15.75" customHeight="1" x14ac:dyDescent="0.25">
      <c r="A42" s="9"/>
      <c r="B42" s="4"/>
      <c r="C42" s="4"/>
      <c r="D42" s="4"/>
      <c r="E42" s="4"/>
      <c r="F42" s="4"/>
      <c r="G42" s="4"/>
      <c r="H42" s="10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5"/>
    </row>
    <row r="43" spans="1:36" ht="15.75" customHeight="1" x14ac:dyDescent="0.25">
      <c r="A43" s="9"/>
      <c r="B43" s="4"/>
      <c r="C43" s="4"/>
      <c r="D43" s="4"/>
      <c r="E43" s="4"/>
      <c r="F43" s="4"/>
      <c r="G43" s="4"/>
      <c r="H43" s="10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5"/>
    </row>
    <row r="44" spans="1:36" ht="15.75" customHeight="1" x14ac:dyDescent="0.25">
      <c r="A44" s="9"/>
      <c r="B44" s="4"/>
      <c r="C44" s="4"/>
      <c r="D44" s="4"/>
      <c r="E44" s="4"/>
      <c r="F44" s="4"/>
      <c r="G44" s="4"/>
      <c r="H44" s="10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5"/>
    </row>
    <row r="45" spans="1:36" ht="15.75" customHeight="1" x14ac:dyDescent="0.25">
      <c r="A45" s="9"/>
      <c r="B45" s="4"/>
      <c r="C45" s="4"/>
      <c r="D45" s="4"/>
      <c r="E45" s="4"/>
      <c r="F45" s="4"/>
      <c r="G45" s="4"/>
      <c r="H45" s="10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5"/>
    </row>
    <row r="46" spans="1:36" ht="15.75" customHeight="1" x14ac:dyDescent="0.25">
      <c r="A46" s="9"/>
      <c r="B46" s="4"/>
      <c r="C46" s="4"/>
      <c r="D46" s="4"/>
      <c r="E46" s="4"/>
      <c r="F46" s="4"/>
      <c r="G46" s="4"/>
      <c r="H46" s="10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5"/>
    </row>
    <row r="47" spans="1:36" ht="15.75" customHeight="1" x14ac:dyDescent="0.25">
      <c r="A47" s="9"/>
      <c r="B47" s="4"/>
      <c r="C47" s="4"/>
      <c r="D47" s="4"/>
      <c r="E47" s="4"/>
      <c r="F47" s="4"/>
      <c r="G47" s="4"/>
      <c r="H47" s="10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5"/>
    </row>
    <row r="48" spans="1:36" ht="15.75" customHeight="1" x14ac:dyDescent="0.25">
      <c r="A48" s="9"/>
      <c r="B48" s="4"/>
      <c r="C48" s="4"/>
      <c r="D48" s="4"/>
      <c r="E48" s="4"/>
      <c r="F48" s="4"/>
      <c r="G48" s="4"/>
      <c r="H48" s="10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5"/>
    </row>
    <row r="49" spans="1:36" ht="15.75" customHeight="1" x14ac:dyDescent="0.25">
      <c r="A49" s="9"/>
      <c r="B49" s="4"/>
      <c r="C49" s="4"/>
      <c r="D49" s="4"/>
      <c r="E49" s="4"/>
      <c r="F49" s="4"/>
      <c r="G49" s="4"/>
      <c r="H49" s="10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5"/>
    </row>
    <row r="50" spans="1:36" ht="15.75" customHeight="1" x14ac:dyDescent="0.25">
      <c r="A50" s="9"/>
      <c r="B50" s="4"/>
      <c r="C50" s="4"/>
      <c r="D50" s="4"/>
      <c r="E50" s="4"/>
      <c r="F50" s="4"/>
      <c r="G50" s="4"/>
      <c r="H50" s="10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5"/>
    </row>
    <row r="51" spans="1:36" ht="15.75" customHeight="1" x14ac:dyDescent="0.25">
      <c r="A51" s="9"/>
      <c r="B51" s="4"/>
      <c r="C51" s="4"/>
      <c r="D51" s="4"/>
      <c r="E51" s="4"/>
      <c r="F51" s="4"/>
      <c r="G51" s="4"/>
      <c r="H51" s="10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5"/>
    </row>
    <row r="52" spans="1:36" ht="15.75" customHeight="1" x14ac:dyDescent="0.25">
      <c r="A52" s="9"/>
      <c r="B52" s="4"/>
      <c r="C52" s="4"/>
      <c r="D52" s="4"/>
      <c r="E52" s="4"/>
      <c r="F52" s="4"/>
      <c r="G52" s="4"/>
      <c r="H52" s="10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5"/>
    </row>
    <row r="53" spans="1:36" ht="15.75" customHeight="1" x14ac:dyDescent="0.25">
      <c r="A53" s="9"/>
      <c r="B53" s="4"/>
      <c r="C53" s="4"/>
      <c r="D53" s="4"/>
      <c r="E53" s="4"/>
      <c r="F53" s="4"/>
      <c r="G53" s="4"/>
      <c r="H53" s="10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5"/>
    </row>
    <row r="54" spans="1:36" ht="15.75" customHeight="1" x14ac:dyDescent="0.25">
      <c r="A54" s="9"/>
      <c r="B54" s="4"/>
      <c r="C54" s="4"/>
      <c r="D54" s="4"/>
      <c r="E54" s="4"/>
      <c r="F54" s="4"/>
      <c r="G54" s="4"/>
      <c r="H54" s="10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5"/>
    </row>
    <row r="55" spans="1:36" ht="15.75" customHeight="1" x14ac:dyDescent="0.25">
      <c r="A55" s="9"/>
      <c r="B55" s="4"/>
      <c r="C55" s="4"/>
      <c r="D55" s="4"/>
      <c r="E55" s="4"/>
      <c r="F55" s="4"/>
      <c r="G55" s="4"/>
      <c r="H55" s="10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5"/>
    </row>
    <row r="56" spans="1:36" ht="15.75" customHeight="1" x14ac:dyDescent="0.25">
      <c r="A56" s="9"/>
      <c r="B56" s="4"/>
      <c r="C56" s="4"/>
      <c r="D56" s="4"/>
      <c r="E56" s="4"/>
      <c r="F56" s="4"/>
      <c r="G56" s="4"/>
      <c r="H56" s="10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5"/>
    </row>
    <row r="57" spans="1:36" ht="15.75" customHeight="1" x14ac:dyDescent="0.25">
      <c r="A57" s="9"/>
      <c r="B57" s="4"/>
      <c r="C57" s="4"/>
      <c r="D57" s="4"/>
      <c r="E57" s="4"/>
      <c r="F57" s="4"/>
      <c r="G57" s="4"/>
      <c r="H57" s="10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5"/>
    </row>
    <row r="58" spans="1:36" ht="15.75" customHeight="1" x14ac:dyDescent="0.25">
      <c r="A58" s="9"/>
      <c r="B58" s="4"/>
      <c r="C58" s="4"/>
      <c r="D58" s="4"/>
      <c r="E58" s="4"/>
      <c r="F58" s="4"/>
      <c r="G58" s="4"/>
      <c r="H58" s="10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5"/>
    </row>
    <row r="59" spans="1:36" ht="15.75" customHeight="1" x14ac:dyDescent="0.25">
      <c r="A59" s="9"/>
      <c r="B59" s="4"/>
      <c r="C59" s="4"/>
      <c r="D59" s="4"/>
      <c r="E59" s="4"/>
      <c r="F59" s="4"/>
      <c r="G59" s="4"/>
      <c r="H59" s="10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5"/>
    </row>
    <row r="60" spans="1:36" ht="15.75" customHeight="1" x14ac:dyDescent="0.25">
      <c r="A60" s="9"/>
      <c r="B60" s="4"/>
      <c r="C60" s="4"/>
      <c r="D60" s="4"/>
      <c r="E60" s="4"/>
      <c r="F60" s="4"/>
      <c r="G60" s="4"/>
      <c r="H60" s="10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5"/>
    </row>
    <row r="61" spans="1:36" ht="15.75" customHeight="1" x14ac:dyDescent="0.25">
      <c r="A61" s="9"/>
      <c r="B61" s="4"/>
      <c r="C61" s="4"/>
      <c r="D61" s="4"/>
      <c r="E61" s="4"/>
      <c r="F61" s="4"/>
      <c r="G61" s="4"/>
      <c r="H61" s="10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5"/>
    </row>
    <row r="62" spans="1:36" ht="15.75" customHeight="1" x14ac:dyDescent="0.25">
      <c r="A62" s="9"/>
      <c r="B62" s="4"/>
      <c r="C62" s="4"/>
      <c r="D62" s="4"/>
      <c r="E62" s="4"/>
      <c r="F62" s="4"/>
      <c r="G62" s="4"/>
      <c r="H62" s="10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5"/>
    </row>
    <row r="63" spans="1:36" ht="15.75" customHeight="1" x14ac:dyDescent="0.25">
      <c r="A63" s="9"/>
      <c r="B63" s="4"/>
      <c r="C63" s="4"/>
      <c r="D63" s="4"/>
      <c r="E63" s="4"/>
      <c r="F63" s="4"/>
      <c r="G63" s="4"/>
      <c r="H63" s="10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5"/>
    </row>
    <row r="64" spans="1:36" ht="15.75" customHeight="1" x14ac:dyDescent="0.25">
      <c r="A64" s="9"/>
      <c r="B64" s="4"/>
      <c r="C64" s="4"/>
      <c r="D64" s="4"/>
      <c r="E64" s="4"/>
      <c r="F64" s="4"/>
      <c r="G64" s="4"/>
      <c r="H64" s="10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5"/>
    </row>
    <row r="65" spans="1:36" ht="15.75" customHeight="1" x14ac:dyDescent="0.25">
      <c r="A65" s="9"/>
      <c r="B65" s="4"/>
      <c r="C65" s="4"/>
      <c r="D65" s="4"/>
      <c r="E65" s="4"/>
      <c r="F65" s="4"/>
      <c r="G65" s="4"/>
      <c r="H65" s="10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5"/>
    </row>
    <row r="66" spans="1:36" ht="15.75" customHeight="1" x14ac:dyDescent="0.25">
      <c r="A66" s="9"/>
      <c r="B66" s="4"/>
      <c r="C66" s="4"/>
      <c r="D66" s="4"/>
      <c r="E66" s="4"/>
      <c r="F66" s="4"/>
      <c r="G66" s="4"/>
      <c r="H66" s="10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5"/>
    </row>
    <row r="67" spans="1:36" ht="15.75" customHeight="1" x14ac:dyDescent="0.25">
      <c r="A67" s="9"/>
      <c r="B67" s="4"/>
      <c r="C67" s="4"/>
      <c r="D67" s="4"/>
      <c r="E67" s="4"/>
      <c r="F67" s="4"/>
      <c r="G67" s="4"/>
      <c r="H67" s="10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5"/>
    </row>
    <row r="68" spans="1:36" ht="15.75" customHeight="1" x14ac:dyDescent="0.25">
      <c r="A68" s="9"/>
      <c r="B68" s="4"/>
      <c r="C68" s="4"/>
      <c r="D68" s="4"/>
      <c r="E68" s="4"/>
      <c r="F68" s="4"/>
      <c r="G68" s="4"/>
      <c r="H68" s="10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5"/>
    </row>
    <row r="69" spans="1:36" ht="15.75" customHeight="1" x14ac:dyDescent="0.25">
      <c r="A69" s="9"/>
      <c r="B69" s="4"/>
      <c r="C69" s="4"/>
      <c r="D69" s="4"/>
      <c r="E69" s="4"/>
      <c r="F69" s="4"/>
      <c r="G69" s="4"/>
      <c r="H69" s="10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5"/>
    </row>
    <row r="70" spans="1:36" ht="15.75" customHeight="1" x14ac:dyDescent="0.25">
      <c r="A70" s="9"/>
      <c r="B70" s="4"/>
      <c r="C70" s="4"/>
      <c r="D70" s="4"/>
      <c r="E70" s="4"/>
      <c r="F70" s="4"/>
      <c r="G70" s="4"/>
      <c r="H70" s="10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5"/>
    </row>
    <row r="71" spans="1:36" ht="15.75" customHeight="1" x14ac:dyDescent="0.25">
      <c r="A71" s="9"/>
      <c r="B71" s="4"/>
      <c r="C71" s="4"/>
      <c r="D71" s="4"/>
      <c r="E71" s="4"/>
      <c r="F71" s="4"/>
      <c r="G71" s="4"/>
      <c r="H71" s="10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5"/>
    </row>
    <row r="72" spans="1:36" ht="15.75" customHeight="1" x14ac:dyDescent="0.25">
      <c r="A72" s="9"/>
      <c r="B72" s="4"/>
      <c r="C72" s="4"/>
      <c r="D72" s="4"/>
      <c r="E72" s="4"/>
      <c r="F72" s="4"/>
      <c r="G72" s="4"/>
      <c r="H72" s="10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5"/>
    </row>
    <row r="73" spans="1:36" ht="15.75" customHeight="1" x14ac:dyDescent="0.25">
      <c r="A73" s="9"/>
      <c r="B73" s="4"/>
      <c r="C73" s="4"/>
      <c r="D73" s="4"/>
      <c r="E73" s="4"/>
      <c r="F73" s="4"/>
      <c r="G73" s="4"/>
      <c r="H73" s="10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5"/>
    </row>
    <row r="74" spans="1:36" ht="15.75" customHeight="1" x14ac:dyDescent="0.25">
      <c r="A74" s="9"/>
      <c r="B74" s="4"/>
      <c r="C74" s="4"/>
      <c r="D74" s="4"/>
      <c r="E74" s="4"/>
      <c r="F74" s="4"/>
      <c r="G74" s="4"/>
      <c r="H74" s="10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5"/>
    </row>
    <row r="75" spans="1:36" ht="15.75" customHeight="1" x14ac:dyDescent="0.25">
      <c r="A75" s="9"/>
      <c r="B75" s="4"/>
      <c r="C75" s="4"/>
      <c r="D75" s="4"/>
      <c r="E75" s="4"/>
      <c r="F75" s="4"/>
      <c r="G75" s="4"/>
      <c r="H75" s="10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5"/>
    </row>
    <row r="76" spans="1:36" ht="15.75" customHeight="1" x14ac:dyDescent="0.25">
      <c r="A76" s="9"/>
      <c r="B76" s="4"/>
      <c r="C76" s="4"/>
      <c r="D76" s="4"/>
      <c r="E76" s="4"/>
      <c r="F76" s="4"/>
      <c r="G76" s="4"/>
      <c r="H76" s="10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5"/>
    </row>
    <row r="77" spans="1:36" ht="15.75" customHeight="1" x14ac:dyDescent="0.25">
      <c r="A77" s="9"/>
      <c r="B77" s="4"/>
      <c r="C77" s="4"/>
      <c r="D77" s="4"/>
      <c r="E77" s="4"/>
      <c r="F77" s="4"/>
      <c r="G77" s="4"/>
      <c r="H77" s="10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5"/>
    </row>
    <row r="78" spans="1:36" ht="15.75" customHeight="1" x14ac:dyDescent="0.25">
      <c r="A78" s="9"/>
      <c r="B78" s="4"/>
      <c r="C78" s="4"/>
      <c r="D78" s="4"/>
      <c r="E78" s="4"/>
      <c r="F78" s="4"/>
      <c r="G78" s="4"/>
      <c r="H78" s="10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5"/>
    </row>
    <row r="79" spans="1:36" ht="15.75" customHeight="1" x14ac:dyDescent="0.25">
      <c r="A79" s="9"/>
      <c r="B79" s="4"/>
      <c r="C79" s="4"/>
      <c r="D79" s="4"/>
      <c r="E79" s="4"/>
      <c r="F79" s="4"/>
      <c r="G79" s="4"/>
      <c r="H79" s="10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5"/>
    </row>
    <row r="80" spans="1:36" ht="15.75" customHeight="1" x14ac:dyDescent="0.25">
      <c r="A80" s="9"/>
      <c r="B80" s="4"/>
      <c r="C80" s="4"/>
      <c r="D80" s="4"/>
      <c r="E80" s="4"/>
      <c r="F80" s="4"/>
      <c r="G80" s="4"/>
      <c r="H80" s="10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5"/>
    </row>
    <row r="81" spans="1:36" ht="15.75" customHeight="1" x14ac:dyDescent="0.25">
      <c r="A81" s="9"/>
      <c r="B81" s="4"/>
      <c r="C81" s="4"/>
      <c r="D81" s="4"/>
      <c r="E81" s="4"/>
      <c r="F81" s="4"/>
      <c r="G81" s="4"/>
      <c r="H81" s="10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5"/>
    </row>
    <row r="82" spans="1:36" ht="15.75" customHeight="1" x14ac:dyDescent="0.25">
      <c r="A82" s="9"/>
      <c r="B82" s="4"/>
      <c r="C82" s="4"/>
      <c r="D82" s="4"/>
      <c r="E82" s="4"/>
      <c r="F82" s="4"/>
      <c r="G82" s="4"/>
      <c r="H82" s="10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5"/>
    </row>
    <row r="83" spans="1:36" ht="15.75" customHeight="1" x14ac:dyDescent="0.25">
      <c r="A83" s="9"/>
      <c r="B83" s="4"/>
      <c r="C83" s="4"/>
      <c r="D83" s="4"/>
      <c r="E83" s="4"/>
      <c r="F83" s="4"/>
      <c r="G83" s="4"/>
      <c r="H83" s="10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5"/>
    </row>
    <row r="84" spans="1:36" ht="15.75" customHeight="1" x14ac:dyDescent="0.25">
      <c r="A84" s="9"/>
      <c r="B84" s="4"/>
      <c r="C84" s="4"/>
      <c r="D84" s="4"/>
      <c r="E84" s="4"/>
      <c r="F84" s="4"/>
      <c r="G84" s="4"/>
      <c r="H84" s="10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5"/>
    </row>
    <row r="85" spans="1:36" ht="15.75" customHeight="1" x14ac:dyDescent="0.25">
      <c r="A85" s="9"/>
      <c r="B85" s="4"/>
      <c r="C85" s="4"/>
      <c r="D85" s="4"/>
      <c r="E85" s="4"/>
      <c r="F85" s="4"/>
      <c r="G85" s="4"/>
      <c r="H85" s="10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5"/>
    </row>
    <row r="86" spans="1:36" ht="15.75" customHeight="1" x14ac:dyDescent="0.25">
      <c r="A86" s="9"/>
      <c r="B86" s="4"/>
      <c r="C86" s="4"/>
      <c r="D86" s="4"/>
      <c r="E86" s="4"/>
      <c r="F86" s="4"/>
      <c r="G86" s="4"/>
      <c r="H86" s="10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5"/>
    </row>
    <row r="87" spans="1:36" ht="15.75" customHeight="1" x14ac:dyDescent="0.25">
      <c r="A87" s="9"/>
      <c r="B87" s="4"/>
      <c r="C87" s="4"/>
      <c r="D87" s="4"/>
      <c r="E87" s="4"/>
      <c r="F87" s="4"/>
      <c r="G87" s="4"/>
      <c r="H87" s="10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5"/>
    </row>
    <row r="88" spans="1:36" ht="15.75" customHeight="1" x14ac:dyDescent="0.25">
      <c r="A88" s="9"/>
      <c r="B88" s="4"/>
      <c r="C88" s="4"/>
      <c r="D88" s="4"/>
      <c r="E88" s="4"/>
      <c r="F88" s="4"/>
      <c r="G88" s="4"/>
      <c r="H88" s="10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5"/>
    </row>
    <row r="89" spans="1:36" ht="15.75" customHeight="1" x14ac:dyDescent="0.25">
      <c r="A89" s="9"/>
      <c r="B89" s="4"/>
      <c r="C89" s="4"/>
      <c r="D89" s="4"/>
      <c r="E89" s="4"/>
      <c r="F89" s="4"/>
      <c r="G89" s="4"/>
      <c r="H89" s="10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5"/>
    </row>
    <row r="90" spans="1:36" ht="15.75" customHeight="1" x14ac:dyDescent="0.25">
      <c r="A90" s="9"/>
      <c r="B90" s="4"/>
      <c r="C90" s="4"/>
      <c r="D90" s="4"/>
      <c r="E90" s="4"/>
      <c r="F90" s="4"/>
      <c r="G90" s="4"/>
      <c r="H90" s="10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5"/>
    </row>
    <row r="91" spans="1:36" ht="15.75" customHeight="1" x14ac:dyDescent="0.25">
      <c r="A91" s="9"/>
      <c r="B91" s="4"/>
      <c r="C91" s="4"/>
      <c r="D91" s="4"/>
      <c r="E91" s="4"/>
      <c r="F91" s="4"/>
      <c r="G91" s="4"/>
      <c r="H91" s="10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5"/>
    </row>
    <row r="92" spans="1:36" ht="15.75" customHeight="1" x14ac:dyDescent="0.25">
      <c r="A92" s="9"/>
      <c r="B92" s="4"/>
      <c r="C92" s="4"/>
      <c r="D92" s="4"/>
      <c r="E92" s="4"/>
      <c r="F92" s="4"/>
      <c r="G92" s="4"/>
      <c r="H92" s="10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5"/>
    </row>
    <row r="93" spans="1:36" ht="15.75" customHeight="1" x14ac:dyDescent="0.25">
      <c r="A93" s="9"/>
      <c r="B93" s="4"/>
      <c r="C93" s="4"/>
      <c r="D93" s="4"/>
      <c r="E93" s="4"/>
      <c r="F93" s="4"/>
      <c r="G93" s="4"/>
      <c r="H93" s="10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5"/>
    </row>
    <row r="94" spans="1:36" ht="15.75" customHeight="1" x14ac:dyDescent="0.25">
      <c r="A94" s="9"/>
      <c r="B94" s="4"/>
      <c r="C94" s="4"/>
      <c r="D94" s="4"/>
      <c r="E94" s="4"/>
      <c r="F94" s="4"/>
      <c r="G94" s="4"/>
      <c r="H94" s="10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5"/>
    </row>
    <row r="95" spans="1:36" ht="15.75" customHeight="1" x14ac:dyDescent="0.25">
      <c r="A95" s="9"/>
      <c r="B95" s="4"/>
      <c r="C95" s="4"/>
      <c r="D95" s="4"/>
      <c r="E95" s="4"/>
      <c r="F95" s="4"/>
      <c r="G95" s="4"/>
      <c r="H95" s="10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5"/>
    </row>
    <row r="96" spans="1:36" ht="15.75" customHeight="1" x14ac:dyDescent="0.25">
      <c r="A96" s="9"/>
      <c r="B96" s="4"/>
      <c r="C96" s="4"/>
      <c r="D96" s="4"/>
      <c r="E96" s="4"/>
      <c r="F96" s="4"/>
      <c r="G96" s="4"/>
      <c r="H96" s="10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5"/>
    </row>
    <row r="97" spans="1:36" ht="15.75" customHeight="1" x14ac:dyDescent="0.25">
      <c r="A97" s="9"/>
      <c r="B97" s="4"/>
      <c r="C97" s="4"/>
      <c r="D97" s="4"/>
      <c r="E97" s="4"/>
      <c r="F97" s="4"/>
      <c r="G97" s="4"/>
      <c r="H97" s="10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5"/>
    </row>
    <row r="98" spans="1:36" ht="15.75" customHeight="1" x14ac:dyDescent="0.25">
      <c r="A98" s="9"/>
      <c r="B98" s="4"/>
      <c r="C98" s="4"/>
      <c r="D98" s="4"/>
      <c r="E98" s="4"/>
      <c r="F98" s="4"/>
      <c r="G98" s="4"/>
      <c r="H98" s="10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5"/>
    </row>
    <row r="99" spans="1:36" ht="15.75" customHeight="1" x14ac:dyDescent="0.25">
      <c r="A99" s="9"/>
      <c r="B99" s="4"/>
      <c r="C99" s="4"/>
      <c r="D99" s="4"/>
      <c r="E99" s="4"/>
      <c r="F99" s="4"/>
      <c r="G99" s="4"/>
      <c r="H99" s="10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5"/>
    </row>
    <row r="100" spans="1:36" ht="15.75" customHeight="1" x14ac:dyDescent="0.25">
      <c r="A100" s="9"/>
      <c r="B100" s="4"/>
      <c r="C100" s="4"/>
      <c r="D100" s="4"/>
      <c r="E100" s="4"/>
      <c r="F100" s="4"/>
      <c r="G100" s="4"/>
      <c r="H100" s="10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5"/>
    </row>
    <row r="101" spans="1:36" ht="15.75" customHeight="1" x14ac:dyDescent="0.25">
      <c r="A101" s="9"/>
      <c r="B101" s="4"/>
      <c r="C101" s="4"/>
      <c r="D101" s="4"/>
      <c r="E101" s="4"/>
      <c r="F101" s="4"/>
      <c r="G101" s="4"/>
      <c r="H101" s="10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5"/>
    </row>
    <row r="102" spans="1:36" ht="15.75" customHeight="1" x14ac:dyDescent="0.25">
      <c r="A102" s="9"/>
      <c r="B102" s="4"/>
      <c r="C102" s="4"/>
      <c r="D102" s="4"/>
      <c r="E102" s="4"/>
      <c r="F102" s="4"/>
      <c r="G102" s="4"/>
      <c r="H102" s="10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5"/>
    </row>
    <row r="103" spans="1:36" ht="15.75" customHeight="1" x14ac:dyDescent="0.25">
      <c r="A103" s="9"/>
      <c r="B103" s="4"/>
      <c r="C103" s="4"/>
      <c r="D103" s="4"/>
      <c r="E103" s="4"/>
      <c r="F103" s="4"/>
      <c r="G103" s="4"/>
      <c r="H103" s="10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5"/>
    </row>
    <row r="104" spans="1:36" ht="15.75" customHeight="1" x14ac:dyDescent="0.25">
      <c r="A104" s="9"/>
      <c r="B104" s="4"/>
      <c r="C104" s="4"/>
      <c r="D104" s="4"/>
      <c r="E104" s="4"/>
      <c r="F104" s="4"/>
      <c r="G104" s="4"/>
      <c r="H104" s="10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5"/>
    </row>
    <row r="105" spans="1:36" ht="15.75" customHeight="1" x14ac:dyDescent="0.25">
      <c r="A105" s="9"/>
      <c r="B105" s="4"/>
      <c r="C105" s="4"/>
      <c r="D105" s="4"/>
      <c r="E105" s="4"/>
      <c r="F105" s="4"/>
      <c r="G105" s="4"/>
      <c r="H105" s="10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5"/>
    </row>
    <row r="106" spans="1:36" ht="15.75" customHeight="1" x14ac:dyDescent="0.25">
      <c r="A106" s="9"/>
      <c r="B106" s="4"/>
      <c r="C106" s="4"/>
      <c r="D106" s="4"/>
      <c r="E106" s="4"/>
      <c r="F106" s="4"/>
      <c r="G106" s="4"/>
      <c r="H106" s="10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5"/>
    </row>
    <row r="107" spans="1:36" ht="15.75" customHeight="1" x14ac:dyDescent="0.25">
      <c r="A107" s="9"/>
      <c r="B107" s="4"/>
      <c r="C107" s="4"/>
      <c r="D107" s="4"/>
      <c r="E107" s="4"/>
      <c r="F107" s="4"/>
      <c r="G107" s="4"/>
      <c r="H107" s="10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5"/>
    </row>
    <row r="108" spans="1:36" ht="15.75" customHeight="1" x14ac:dyDescent="0.25">
      <c r="A108" s="9"/>
      <c r="B108" s="4"/>
      <c r="C108" s="4"/>
      <c r="D108" s="4"/>
      <c r="E108" s="4"/>
      <c r="F108" s="4"/>
      <c r="G108" s="4"/>
      <c r="H108" s="10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5"/>
    </row>
    <row r="109" spans="1:36" ht="15.75" customHeight="1" x14ac:dyDescent="0.25">
      <c r="A109" s="9"/>
      <c r="B109" s="4"/>
      <c r="C109" s="4"/>
      <c r="D109" s="4"/>
      <c r="E109" s="4"/>
      <c r="F109" s="4"/>
      <c r="G109" s="4"/>
      <c r="H109" s="10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5"/>
    </row>
    <row r="110" spans="1:36" ht="15.75" customHeight="1" x14ac:dyDescent="0.25">
      <c r="A110" s="9"/>
      <c r="B110" s="4"/>
      <c r="C110" s="4"/>
      <c r="D110" s="4"/>
      <c r="E110" s="4"/>
      <c r="F110" s="4"/>
      <c r="G110" s="4"/>
      <c r="H110" s="10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5"/>
    </row>
    <row r="111" spans="1:36" ht="15.75" customHeight="1" x14ac:dyDescent="0.25">
      <c r="A111" s="9"/>
      <c r="B111" s="4"/>
      <c r="C111" s="4"/>
      <c r="D111" s="4"/>
      <c r="E111" s="4"/>
      <c r="F111" s="4"/>
      <c r="G111" s="4"/>
      <c r="H111" s="10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5"/>
    </row>
    <row r="112" spans="1:36" ht="15.75" customHeight="1" x14ac:dyDescent="0.25">
      <c r="A112" s="9"/>
      <c r="B112" s="4"/>
      <c r="C112" s="4"/>
      <c r="D112" s="4"/>
      <c r="E112" s="4"/>
      <c r="F112" s="4"/>
      <c r="G112" s="4"/>
      <c r="H112" s="10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5"/>
    </row>
    <row r="113" spans="1:36" ht="15.75" customHeight="1" x14ac:dyDescent="0.25">
      <c r="A113" s="9"/>
      <c r="B113" s="4"/>
      <c r="C113" s="4"/>
      <c r="D113" s="4"/>
      <c r="E113" s="4"/>
      <c r="F113" s="4"/>
      <c r="G113" s="4"/>
      <c r="H113" s="10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5"/>
    </row>
    <row r="114" spans="1:36" ht="15.75" customHeight="1" x14ac:dyDescent="0.25">
      <c r="A114" s="9"/>
      <c r="B114" s="4"/>
      <c r="C114" s="4"/>
      <c r="D114" s="4"/>
      <c r="E114" s="4"/>
      <c r="F114" s="4"/>
      <c r="G114" s="4"/>
      <c r="H114" s="10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5"/>
    </row>
    <row r="115" spans="1:36" ht="15.75" customHeight="1" x14ac:dyDescent="0.25">
      <c r="A115" s="9"/>
      <c r="B115" s="4"/>
      <c r="C115" s="4"/>
      <c r="D115" s="4"/>
      <c r="E115" s="4"/>
      <c r="F115" s="4"/>
      <c r="G115" s="4"/>
      <c r="H115" s="10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5"/>
    </row>
    <row r="116" spans="1:36" ht="15.75" customHeight="1" x14ac:dyDescent="0.25">
      <c r="A116" s="9"/>
      <c r="B116" s="4"/>
      <c r="C116" s="4"/>
      <c r="D116" s="4"/>
      <c r="E116" s="4"/>
      <c r="F116" s="4"/>
      <c r="G116" s="4"/>
      <c r="H116" s="10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5"/>
    </row>
    <row r="117" spans="1:36" ht="15.75" customHeight="1" x14ac:dyDescent="0.25">
      <c r="A117" s="9"/>
      <c r="B117" s="4"/>
      <c r="C117" s="4"/>
      <c r="D117" s="4"/>
      <c r="E117" s="4"/>
      <c r="F117" s="4"/>
      <c r="G117" s="4"/>
      <c r="H117" s="10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5"/>
    </row>
    <row r="118" spans="1:36" ht="15.75" customHeight="1" x14ac:dyDescent="0.25">
      <c r="A118" s="9"/>
      <c r="B118" s="4"/>
      <c r="C118" s="4"/>
      <c r="D118" s="4"/>
      <c r="E118" s="4"/>
      <c r="F118" s="4"/>
      <c r="G118" s="4"/>
      <c r="H118" s="10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5"/>
    </row>
    <row r="119" spans="1:36" ht="15.75" customHeight="1" x14ac:dyDescent="0.25">
      <c r="A119" s="9"/>
      <c r="B119" s="4"/>
      <c r="C119" s="4"/>
      <c r="D119" s="4"/>
      <c r="E119" s="4"/>
      <c r="F119" s="4"/>
      <c r="G119" s="4"/>
      <c r="H119" s="10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5"/>
    </row>
    <row r="120" spans="1:36" ht="15.75" customHeight="1" x14ac:dyDescent="0.25">
      <c r="A120" s="9"/>
      <c r="B120" s="4"/>
      <c r="C120" s="4"/>
      <c r="D120" s="4"/>
      <c r="E120" s="4"/>
      <c r="F120" s="4"/>
      <c r="G120" s="4"/>
      <c r="H120" s="10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5"/>
    </row>
    <row r="121" spans="1:36" ht="15.75" customHeight="1" x14ac:dyDescent="0.25">
      <c r="A121" s="9"/>
      <c r="B121" s="4"/>
      <c r="C121" s="4"/>
      <c r="D121" s="4"/>
      <c r="E121" s="4"/>
      <c r="F121" s="4"/>
      <c r="G121" s="4"/>
      <c r="H121" s="10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5"/>
    </row>
    <row r="122" spans="1:36" ht="15.75" customHeight="1" x14ac:dyDescent="0.25">
      <c r="A122" s="9"/>
      <c r="B122" s="4"/>
      <c r="C122" s="4"/>
      <c r="D122" s="4"/>
      <c r="E122" s="4"/>
      <c r="F122" s="4"/>
      <c r="G122" s="4"/>
      <c r="H122" s="10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5"/>
    </row>
    <row r="123" spans="1:36" ht="15.75" customHeight="1" x14ac:dyDescent="0.25">
      <c r="A123" s="9"/>
      <c r="B123" s="4"/>
      <c r="C123" s="4"/>
      <c r="D123" s="4"/>
      <c r="E123" s="4"/>
      <c r="F123" s="4"/>
      <c r="G123" s="4"/>
      <c r="H123" s="10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5"/>
    </row>
    <row r="124" spans="1:36" ht="15.75" customHeight="1" x14ac:dyDescent="0.25">
      <c r="A124" s="9"/>
      <c r="B124" s="4"/>
      <c r="C124" s="4"/>
      <c r="D124" s="4"/>
      <c r="E124" s="4"/>
      <c r="F124" s="4"/>
      <c r="G124" s="4"/>
      <c r="H124" s="10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5"/>
    </row>
    <row r="125" spans="1:36" ht="15.75" customHeight="1" x14ac:dyDescent="0.25">
      <c r="A125" s="9"/>
      <c r="B125" s="4"/>
      <c r="C125" s="4"/>
      <c r="D125" s="4"/>
      <c r="E125" s="4"/>
      <c r="F125" s="4"/>
      <c r="G125" s="4"/>
      <c r="H125" s="10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5"/>
    </row>
    <row r="126" spans="1:36" ht="15.75" customHeight="1" x14ac:dyDescent="0.25">
      <c r="A126" s="9"/>
      <c r="B126" s="4"/>
      <c r="C126" s="4"/>
      <c r="D126" s="4"/>
      <c r="E126" s="4"/>
      <c r="F126" s="4"/>
      <c r="G126" s="4"/>
      <c r="H126" s="10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5"/>
    </row>
    <row r="127" spans="1:36" ht="15.75" customHeight="1" x14ac:dyDescent="0.25">
      <c r="A127" s="9"/>
      <c r="B127" s="4"/>
      <c r="C127" s="4"/>
      <c r="D127" s="4"/>
      <c r="E127" s="4"/>
      <c r="F127" s="4"/>
      <c r="G127" s="4"/>
      <c r="H127" s="10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5"/>
    </row>
    <row r="128" spans="1:36" ht="15.75" customHeight="1" x14ac:dyDescent="0.25">
      <c r="A128" s="9"/>
      <c r="B128" s="4"/>
      <c r="C128" s="4"/>
      <c r="D128" s="4"/>
      <c r="E128" s="4"/>
      <c r="F128" s="4"/>
      <c r="G128" s="4"/>
      <c r="H128" s="10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5"/>
    </row>
    <row r="129" spans="1:36" ht="15.75" customHeight="1" x14ac:dyDescent="0.25">
      <c r="A129" s="9"/>
      <c r="B129" s="4"/>
      <c r="C129" s="4"/>
      <c r="D129" s="4"/>
      <c r="E129" s="4"/>
      <c r="F129" s="4"/>
      <c r="G129" s="4"/>
      <c r="H129" s="10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5"/>
    </row>
    <row r="130" spans="1:36" ht="15.75" customHeight="1" x14ac:dyDescent="0.25">
      <c r="A130" s="9"/>
      <c r="B130" s="4"/>
      <c r="C130" s="4"/>
      <c r="D130" s="4"/>
      <c r="E130" s="4"/>
      <c r="F130" s="4"/>
      <c r="G130" s="4"/>
      <c r="H130" s="10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5"/>
    </row>
    <row r="131" spans="1:36" ht="15.75" customHeight="1" x14ac:dyDescent="0.25">
      <c r="A131" s="9"/>
      <c r="B131" s="4"/>
      <c r="C131" s="4"/>
      <c r="D131" s="4"/>
      <c r="E131" s="4"/>
      <c r="F131" s="4"/>
      <c r="G131" s="4"/>
      <c r="H131" s="10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5"/>
    </row>
    <row r="132" spans="1:36" ht="15.75" customHeight="1" x14ac:dyDescent="0.25">
      <c r="A132" s="9"/>
      <c r="B132" s="4"/>
      <c r="C132" s="4"/>
      <c r="D132" s="4"/>
      <c r="E132" s="4"/>
      <c r="F132" s="4"/>
      <c r="G132" s="4"/>
      <c r="H132" s="10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5"/>
    </row>
    <row r="133" spans="1:36" ht="15.75" customHeight="1" x14ac:dyDescent="0.25">
      <c r="A133" s="9"/>
      <c r="B133" s="4"/>
      <c r="C133" s="4"/>
      <c r="D133" s="4"/>
      <c r="E133" s="4"/>
      <c r="F133" s="4"/>
      <c r="G133" s="4"/>
      <c r="H133" s="10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5"/>
    </row>
    <row r="134" spans="1:36" ht="15.75" customHeight="1" x14ac:dyDescent="0.25">
      <c r="A134" s="9"/>
      <c r="B134" s="4"/>
      <c r="C134" s="4"/>
      <c r="D134" s="4"/>
      <c r="E134" s="4"/>
      <c r="F134" s="4"/>
      <c r="G134" s="4"/>
      <c r="H134" s="10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5"/>
    </row>
    <row r="135" spans="1:36" ht="15.75" customHeight="1" x14ac:dyDescent="0.25">
      <c r="A135" s="9"/>
      <c r="B135" s="4"/>
      <c r="C135" s="4"/>
      <c r="D135" s="4"/>
      <c r="E135" s="4"/>
      <c r="F135" s="4"/>
      <c r="G135" s="4"/>
      <c r="H135" s="10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5"/>
    </row>
    <row r="136" spans="1:36" ht="15.75" customHeight="1" x14ac:dyDescent="0.25">
      <c r="A136" s="9"/>
      <c r="B136" s="4"/>
      <c r="C136" s="4"/>
      <c r="D136" s="4"/>
      <c r="E136" s="4"/>
      <c r="F136" s="4"/>
      <c r="G136" s="4"/>
      <c r="H136" s="10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5"/>
    </row>
    <row r="137" spans="1:36" ht="15.75" customHeight="1" x14ac:dyDescent="0.25">
      <c r="A137" s="9"/>
      <c r="B137" s="4"/>
      <c r="C137" s="4"/>
      <c r="D137" s="4"/>
      <c r="E137" s="4"/>
      <c r="F137" s="4"/>
      <c r="G137" s="4"/>
      <c r="H137" s="10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5"/>
    </row>
    <row r="138" spans="1:36" ht="15.75" customHeight="1" x14ac:dyDescent="0.25">
      <c r="A138" s="9"/>
      <c r="B138" s="4"/>
      <c r="C138" s="4"/>
      <c r="D138" s="4"/>
      <c r="E138" s="4"/>
      <c r="F138" s="4"/>
      <c r="G138" s="4"/>
      <c r="H138" s="10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5"/>
    </row>
    <row r="139" spans="1:36" ht="15.75" customHeight="1" x14ac:dyDescent="0.25">
      <c r="A139" s="9"/>
      <c r="B139" s="4"/>
      <c r="C139" s="4"/>
      <c r="D139" s="4"/>
      <c r="E139" s="4"/>
      <c r="F139" s="4"/>
      <c r="G139" s="4"/>
      <c r="H139" s="10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5"/>
    </row>
    <row r="140" spans="1:36" ht="15.75" customHeight="1" x14ac:dyDescent="0.25">
      <c r="A140" s="9"/>
      <c r="B140" s="4"/>
      <c r="C140" s="4"/>
      <c r="D140" s="4"/>
      <c r="E140" s="4"/>
      <c r="F140" s="4"/>
      <c r="G140" s="4"/>
      <c r="H140" s="10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5"/>
    </row>
    <row r="141" spans="1:36" ht="15.75" customHeight="1" x14ac:dyDescent="0.25">
      <c r="A141" s="9"/>
      <c r="B141" s="4"/>
      <c r="C141" s="4"/>
      <c r="D141" s="4"/>
      <c r="E141" s="4"/>
      <c r="F141" s="4"/>
      <c r="G141" s="4"/>
      <c r="H141" s="10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5"/>
    </row>
    <row r="142" spans="1:36" ht="15.75" customHeight="1" x14ac:dyDescent="0.25">
      <c r="A142" s="9"/>
      <c r="B142" s="4"/>
      <c r="C142" s="4"/>
      <c r="D142" s="4"/>
      <c r="E142" s="4"/>
      <c r="F142" s="4"/>
      <c r="G142" s="4"/>
      <c r="H142" s="10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5"/>
    </row>
    <row r="143" spans="1:36" ht="15.75" customHeight="1" x14ac:dyDescent="0.25">
      <c r="A143" s="9"/>
      <c r="B143" s="4"/>
      <c r="C143" s="4"/>
      <c r="D143" s="4"/>
      <c r="E143" s="4"/>
      <c r="F143" s="4"/>
      <c r="G143" s="4"/>
      <c r="H143" s="10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5"/>
    </row>
    <row r="144" spans="1:36" ht="15.75" customHeight="1" x14ac:dyDescent="0.25">
      <c r="A144" s="9"/>
      <c r="B144" s="4"/>
      <c r="C144" s="4"/>
      <c r="D144" s="4"/>
      <c r="E144" s="4"/>
      <c r="F144" s="4"/>
      <c r="G144" s="4"/>
      <c r="H144" s="10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5"/>
    </row>
    <row r="145" spans="1:36" ht="15.75" customHeight="1" x14ac:dyDescent="0.25">
      <c r="A145" s="9"/>
      <c r="B145" s="4"/>
      <c r="C145" s="4"/>
      <c r="D145" s="4"/>
      <c r="E145" s="4"/>
      <c r="F145" s="4"/>
      <c r="G145" s="4"/>
      <c r="H145" s="10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5"/>
    </row>
    <row r="146" spans="1:36" ht="15.75" customHeight="1" x14ac:dyDescent="0.25">
      <c r="A146" s="9"/>
      <c r="B146" s="4"/>
      <c r="C146" s="4"/>
      <c r="D146" s="4"/>
      <c r="E146" s="4"/>
      <c r="F146" s="4"/>
      <c r="G146" s="4"/>
      <c r="H146" s="10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5"/>
    </row>
    <row r="147" spans="1:36" ht="15.75" customHeight="1" x14ac:dyDescent="0.25">
      <c r="A147" s="9"/>
      <c r="B147" s="4"/>
      <c r="C147" s="4"/>
      <c r="D147" s="4"/>
      <c r="E147" s="4"/>
      <c r="F147" s="4"/>
      <c r="G147" s="4"/>
      <c r="H147" s="10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5"/>
    </row>
    <row r="148" spans="1:36" ht="15.75" customHeight="1" x14ac:dyDescent="0.25">
      <c r="A148" s="9"/>
      <c r="B148" s="4"/>
      <c r="C148" s="4"/>
      <c r="D148" s="4"/>
      <c r="E148" s="4"/>
      <c r="F148" s="4"/>
      <c r="G148" s="4"/>
      <c r="H148" s="10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5"/>
    </row>
    <row r="149" spans="1:36" ht="15.75" customHeight="1" x14ac:dyDescent="0.25">
      <c r="A149" s="9"/>
      <c r="B149" s="4"/>
      <c r="C149" s="4"/>
      <c r="D149" s="4"/>
      <c r="E149" s="4"/>
      <c r="F149" s="4"/>
      <c r="G149" s="4"/>
      <c r="H149" s="10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5"/>
    </row>
    <row r="150" spans="1:36" ht="15.75" customHeight="1" x14ac:dyDescent="0.25">
      <c r="A150" s="9"/>
      <c r="B150" s="4"/>
      <c r="C150" s="4"/>
      <c r="D150" s="4"/>
      <c r="E150" s="4"/>
      <c r="F150" s="4"/>
      <c r="G150" s="4"/>
      <c r="H150" s="10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5"/>
    </row>
    <row r="151" spans="1:36" ht="15.75" customHeight="1" x14ac:dyDescent="0.25">
      <c r="A151" s="9"/>
      <c r="B151" s="4"/>
      <c r="C151" s="4"/>
      <c r="D151" s="4"/>
      <c r="E151" s="4"/>
      <c r="F151" s="4"/>
      <c r="G151" s="4"/>
      <c r="H151" s="10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5"/>
    </row>
    <row r="152" spans="1:36" ht="15.75" customHeight="1" x14ac:dyDescent="0.25">
      <c r="A152" s="9"/>
      <c r="B152" s="4"/>
      <c r="C152" s="4"/>
      <c r="D152" s="4"/>
      <c r="E152" s="4"/>
      <c r="F152" s="4"/>
      <c r="G152" s="4"/>
      <c r="H152" s="10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5"/>
    </row>
    <row r="153" spans="1:36" ht="15.75" customHeight="1" x14ac:dyDescent="0.25">
      <c r="A153" s="9"/>
      <c r="B153" s="4"/>
      <c r="C153" s="4"/>
      <c r="D153" s="4"/>
      <c r="E153" s="4"/>
      <c r="F153" s="4"/>
      <c r="G153" s="4"/>
      <c r="H153" s="10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5"/>
    </row>
    <row r="154" spans="1:36" ht="15.75" customHeight="1" x14ac:dyDescent="0.25">
      <c r="A154" s="9"/>
      <c r="B154" s="4"/>
      <c r="C154" s="4"/>
      <c r="D154" s="4"/>
      <c r="E154" s="4"/>
      <c r="F154" s="4"/>
      <c r="G154" s="4"/>
      <c r="H154" s="10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5"/>
    </row>
    <row r="155" spans="1:36" ht="15.75" customHeight="1" x14ac:dyDescent="0.25">
      <c r="A155" s="9"/>
      <c r="B155" s="4"/>
      <c r="C155" s="4"/>
      <c r="D155" s="4"/>
      <c r="E155" s="4"/>
      <c r="F155" s="4"/>
      <c r="G155" s="4"/>
      <c r="H155" s="10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5"/>
    </row>
    <row r="156" spans="1:36" ht="15.75" customHeight="1" x14ac:dyDescent="0.25">
      <c r="A156" s="9"/>
      <c r="B156" s="4"/>
      <c r="C156" s="4"/>
      <c r="D156" s="4"/>
      <c r="E156" s="4"/>
      <c r="F156" s="4"/>
      <c r="G156" s="4"/>
      <c r="H156" s="10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5"/>
    </row>
    <row r="157" spans="1:36" ht="15.75" customHeight="1" x14ac:dyDescent="0.25">
      <c r="A157" s="9"/>
      <c r="B157" s="4"/>
      <c r="C157" s="4"/>
      <c r="D157" s="4"/>
      <c r="E157" s="4"/>
      <c r="F157" s="4"/>
      <c r="G157" s="4"/>
      <c r="H157" s="10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5"/>
    </row>
    <row r="158" spans="1:36" ht="15.75" customHeight="1" x14ac:dyDescent="0.25">
      <c r="A158" s="9"/>
      <c r="B158" s="4"/>
      <c r="C158" s="4"/>
      <c r="D158" s="4"/>
      <c r="E158" s="4"/>
      <c r="F158" s="4"/>
      <c r="G158" s="4"/>
      <c r="H158" s="10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5"/>
    </row>
    <row r="159" spans="1:36" ht="15.75" customHeight="1" x14ac:dyDescent="0.25">
      <c r="A159" s="9"/>
      <c r="B159" s="4"/>
      <c r="C159" s="4"/>
      <c r="D159" s="4"/>
      <c r="E159" s="4"/>
      <c r="F159" s="4"/>
      <c r="G159" s="4"/>
      <c r="H159" s="10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5"/>
    </row>
    <row r="160" spans="1:36" ht="15.75" customHeight="1" x14ac:dyDescent="0.25">
      <c r="A160" s="9"/>
      <c r="B160" s="4"/>
      <c r="C160" s="4"/>
      <c r="D160" s="4"/>
      <c r="E160" s="4"/>
      <c r="F160" s="4"/>
      <c r="G160" s="4"/>
      <c r="H160" s="10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5"/>
    </row>
    <row r="161" spans="1:36" ht="15.75" customHeight="1" x14ac:dyDescent="0.25">
      <c r="A161" s="9"/>
      <c r="B161" s="4"/>
      <c r="C161" s="4"/>
      <c r="D161" s="4"/>
      <c r="E161" s="4"/>
      <c r="F161" s="4"/>
      <c r="G161" s="4"/>
      <c r="H161" s="10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5"/>
    </row>
    <row r="162" spans="1:36" ht="15.75" customHeight="1" x14ac:dyDescent="0.25">
      <c r="A162" s="9"/>
      <c r="B162" s="4"/>
      <c r="C162" s="4"/>
      <c r="D162" s="4"/>
      <c r="E162" s="4"/>
      <c r="F162" s="4"/>
      <c r="G162" s="4"/>
      <c r="H162" s="10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5"/>
    </row>
    <row r="163" spans="1:36" ht="15.75" customHeight="1" x14ac:dyDescent="0.25">
      <c r="A163" s="9"/>
      <c r="B163" s="4"/>
      <c r="C163" s="4"/>
      <c r="D163" s="4"/>
      <c r="E163" s="4"/>
      <c r="F163" s="4"/>
      <c r="G163" s="4"/>
      <c r="H163" s="10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5"/>
    </row>
    <row r="164" spans="1:36" ht="15.75" customHeight="1" x14ac:dyDescent="0.25">
      <c r="A164" s="9"/>
      <c r="B164" s="4"/>
      <c r="C164" s="4"/>
      <c r="D164" s="4"/>
      <c r="E164" s="4"/>
      <c r="F164" s="4"/>
      <c r="G164" s="4"/>
      <c r="H164" s="10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5"/>
    </row>
    <row r="165" spans="1:36" ht="15.75" customHeight="1" x14ac:dyDescent="0.25">
      <c r="A165" s="9"/>
      <c r="B165" s="4"/>
      <c r="C165" s="4"/>
      <c r="D165" s="4"/>
      <c r="E165" s="4"/>
      <c r="F165" s="4"/>
      <c r="G165" s="4"/>
      <c r="H165" s="10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5"/>
    </row>
    <row r="166" spans="1:36" ht="15.75" customHeight="1" x14ac:dyDescent="0.25">
      <c r="A166" s="9"/>
      <c r="B166" s="4"/>
      <c r="C166" s="4"/>
      <c r="D166" s="4"/>
      <c r="E166" s="4"/>
      <c r="F166" s="4"/>
      <c r="G166" s="4"/>
      <c r="H166" s="10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5"/>
    </row>
    <row r="167" spans="1:36" ht="15.75" customHeight="1" x14ac:dyDescent="0.25">
      <c r="A167" s="9"/>
      <c r="B167" s="4"/>
      <c r="C167" s="4"/>
      <c r="D167" s="4"/>
      <c r="E167" s="4"/>
      <c r="F167" s="4"/>
      <c r="G167" s="4"/>
      <c r="H167" s="10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5"/>
    </row>
    <row r="168" spans="1:36" ht="15.75" customHeight="1" x14ac:dyDescent="0.25">
      <c r="A168" s="9"/>
      <c r="B168" s="4"/>
      <c r="C168" s="4"/>
      <c r="D168" s="4"/>
      <c r="E168" s="4"/>
      <c r="F168" s="4"/>
      <c r="G168" s="4"/>
      <c r="H168" s="10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5"/>
    </row>
    <row r="169" spans="1:36" ht="15.75" customHeight="1" x14ac:dyDescent="0.25">
      <c r="A169" s="9"/>
      <c r="B169" s="4"/>
      <c r="C169" s="4"/>
      <c r="D169" s="4"/>
      <c r="E169" s="4"/>
      <c r="F169" s="4"/>
      <c r="G169" s="4"/>
      <c r="H169" s="10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5"/>
    </row>
    <row r="170" spans="1:36" ht="15.75" customHeight="1" x14ac:dyDescent="0.25">
      <c r="A170" s="9"/>
      <c r="B170" s="4"/>
      <c r="C170" s="4"/>
      <c r="D170" s="4"/>
      <c r="E170" s="4"/>
      <c r="F170" s="4"/>
      <c r="G170" s="4"/>
      <c r="H170" s="10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5"/>
    </row>
    <row r="171" spans="1:36" ht="15.75" customHeight="1" x14ac:dyDescent="0.25">
      <c r="A171" s="9"/>
      <c r="B171" s="4"/>
      <c r="C171" s="4"/>
      <c r="D171" s="4"/>
      <c r="E171" s="4"/>
      <c r="F171" s="4"/>
      <c r="G171" s="4"/>
      <c r="H171" s="10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5"/>
    </row>
    <row r="172" spans="1:36" ht="15.75" customHeight="1" x14ac:dyDescent="0.25">
      <c r="A172" s="9"/>
      <c r="B172" s="4"/>
      <c r="C172" s="4"/>
      <c r="D172" s="4"/>
      <c r="E172" s="4"/>
      <c r="F172" s="4"/>
      <c r="G172" s="4"/>
      <c r="H172" s="10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5"/>
    </row>
    <row r="173" spans="1:36" ht="15.75" customHeight="1" x14ac:dyDescent="0.25">
      <c r="A173" s="9"/>
      <c r="B173" s="4"/>
      <c r="C173" s="4"/>
      <c r="D173" s="4"/>
      <c r="E173" s="4"/>
      <c r="F173" s="4"/>
      <c r="G173" s="4"/>
      <c r="H173" s="10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5"/>
    </row>
    <row r="174" spans="1:36" ht="15.75" customHeight="1" x14ac:dyDescent="0.25">
      <c r="A174" s="9"/>
      <c r="B174" s="4"/>
      <c r="C174" s="4"/>
      <c r="D174" s="4"/>
      <c r="E174" s="4"/>
      <c r="F174" s="4"/>
      <c r="G174" s="4"/>
      <c r="H174" s="10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5"/>
    </row>
    <row r="175" spans="1:36" ht="15.75" customHeight="1" x14ac:dyDescent="0.25">
      <c r="A175" s="9"/>
      <c r="B175" s="4"/>
      <c r="C175" s="4"/>
      <c r="D175" s="4"/>
      <c r="E175" s="4"/>
      <c r="F175" s="4"/>
      <c r="G175" s="4"/>
      <c r="H175" s="10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5"/>
    </row>
    <row r="176" spans="1:36" ht="15.75" customHeight="1" x14ac:dyDescent="0.25">
      <c r="A176" s="9"/>
      <c r="B176" s="4"/>
      <c r="C176" s="4"/>
      <c r="D176" s="4"/>
      <c r="E176" s="4"/>
      <c r="F176" s="4"/>
      <c r="G176" s="4"/>
      <c r="H176" s="10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5"/>
    </row>
    <row r="177" spans="1:36" ht="15.75" customHeight="1" x14ac:dyDescent="0.25">
      <c r="A177" s="9"/>
      <c r="B177" s="4"/>
      <c r="C177" s="4"/>
      <c r="D177" s="4"/>
      <c r="E177" s="4"/>
      <c r="F177" s="4"/>
      <c r="G177" s="4"/>
      <c r="H177" s="10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5"/>
    </row>
    <row r="178" spans="1:36" ht="15.75" customHeight="1" x14ac:dyDescent="0.25">
      <c r="A178" s="9"/>
      <c r="B178" s="4"/>
      <c r="C178" s="4"/>
      <c r="D178" s="4"/>
      <c r="E178" s="4"/>
      <c r="F178" s="4"/>
      <c r="G178" s="4"/>
      <c r="H178" s="10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5"/>
    </row>
    <row r="179" spans="1:36" ht="15.75" customHeight="1" x14ac:dyDescent="0.25">
      <c r="A179" s="9"/>
      <c r="B179" s="4"/>
      <c r="C179" s="4"/>
      <c r="D179" s="4"/>
      <c r="E179" s="4"/>
      <c r="F179" s="4"/>
      <c r="G179" s="4"/>
      <c r="H179" s="10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5"/>
    </row>
    <row r="180" spans="1:36" ht="15.75" customHeight="1" x14ac:dyDescent="0.25">
      <c r="A180" s="9"/>
      <c r="B180" s="4"/>
      <c r="C180" s="4"/>
      <c r="D180" s="4"/>
      <c r="E180" s="4"/>
      <c r="F180" s="4"/>
      <c r="G180" s="4"/>
      <c r="H180" s="10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5"/>
    </row>
    <row r="181" spans="1:36" ht="15.75" customHeight="1" x14ac:dyDescent="0.25">
      <c r="A181" s="9"/>
      <c r="B181" s="4"/>
      <c r="C181" s="4"/>
      <c r="D181" s="4"/>
      <c r="E181" s="4"/>
      <c r="F181" s="4"/>
      <c r="G181" s="4"/>
      <c r="H181" s="10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5"/>
    </row>
    <row r="182" spans="1:36" ht="15.75" customHeight="1" x14ac:dyDescent="0.25">
      <c r="A182" s="9"/>
      <c r="B182" s="4"/>
      <c r="C182" s="4"/>
      <c r="D182" s="4"/>
      <c r="E182" s="4"/>
      <c r="F182" s="4"/>
      <c r="G182" s="4"/>
      <c r="H182" s="10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5"/>
    </row>
    <row r="183" spans="1:36" ht="15.75" customHeight="1" x14ac:dyDescent="0.25">
      <c r="A183" s="9"/>
      <c r="B183" s="4"/>
      <c r="C183" s="4"/>
      <c r="D183" s="4"/>
      <c r="E183" s="4"/>
      <c r="F183" s="4"/>
      <c r="G183" s="4"/>
      <c r="H183" s="10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5"/>
    </row>
    <row r="184" spans="1:36" ht="15.75" customHeight="1" x14ac:dyDescent="0.25">
      <c r="A184" s="9"/>
      <c r="B184" s="4"/>
      <c r="C184" s="4"/>
      <c r="D184" s="4"/>
      <c r="E184" s="4"/>
      <c r="F184" s="4"/>
      <c r="G184" s="4"/>
      <c r="H184" s="10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5"/>
    </row>
    <row r="185" spans="1:36" ht="15.75" customHeight="1" x14ac:dyDescent="0.25">
      <c r="A185" s="9"/>
      <c r="B185" s="4"/>
      <c r="C185" s="4"/>
      <c r="D185" s="4"/>
      <c r="E185" s="4"/>
      <c r="F185" s="4"/>
      <c r="G185" s="4"/>
      <c r="H185" s="10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5"/>
    </row>
    <row r="186" spans="1:36" ht="15.75" customHeight="1" x14ac:dyDescent="0.25">
      <c r="A186" s="9"/>
      <c r="B186" s="4"/>
      <c r="C186" s="4"/>
      <c r="D186" s="4"/>
      <c r="E186" s="4"/>
      <c r="F186" s="4"/>
      <c r="G186" s="4"/>
      <c r="H186" s="10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5"/>
    </row>
    <row r="187" spans="1:36" ht="15.75" customHeight="1" x14ac:dyDescent="0.25">
      <c r="A187" s="9"/>
      <c r="B187" s="4"/>
      <c r="C187" s="4"/>
      <c r="D187" s="4"/>
      <c r="E187" s="4"/>
      <c r="F187" s="4"/>
      <c r="G187" s="4"/>
      <c r="H187" s="10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5"/>
    </row>
    <row r="188" spans="1:36" ht="15.75" customHeight="1" x14ac:dyDescent="0.25">
      <c r="A188" s="9"/>
      <c r="B188" s="4"/>
      <c r="C188" s="4"/>
      <c r="D188" s="4"/>
      <c r="E188" s="4"/>
      <c r="F188" s="4"/>
      <c r="G188" s="4"/>
      <c r="H188" s="10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5"/>
    </row>
    <row r="189" spans="1:36" ht="15.75" customHeight="1" x14ac:dyDescent="0.25">
      <c r="A189" s="9"/>
      <c r="B189" s="4"/>
      <c r="C189" s="4"/>
      <c r="D189" s="4"/>
      <c r="E189" s="4"/>
      <c r="F189" s="4"/>
      <c r="G189" s="4"/>
      <c r="H189" s="10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5"/>
    </row>
    <row r="190" spans="1:36" ht="15.75" customHeight="1" x14ac:dyDescent="0.25">
      <c r="A190" s="9"/>
      <c r="B190" s="4"/>
      <c r="C190" s="4"/>
      <c r="D190" s="4"/>
      <c r="E190" s="4"/>
      <c r="F190" s="4"/>
      <c r="G190" s="4"/>
      <c r="H190" s="10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5"/>
    </row>
    <row r="191" spans="1:36" ht="15.75" customHeight="1" x14ac:dyDescent="0.25">
      <c r="A191" s="9"/>
      <c r="B191" s="4"/>
      <c r="C191" s="4"/>
      <c r="D191" s="4"/>
      <c r="E191" s="4"/>
      <c r="F191" s="4"/>
      <c r="G191" s="4"/>
      <c r="H191" s="10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5"/>
    </row>
    <row r="192" spans="1:36" ht="15.75" customHeight="1" x14ac:dyDescent="0.25">
      <c r="A192" s="9"/>
      <c r="B192" s="4"/>
      <c r="C192" s="4"/>
      <c r="D192" s="4"/>
      <c r="E192" s="4"/>
      <c r="F192" s="4"/>
      <c r="G192" s="4"/>
      <c r="H192" s="10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5"/>
    </row>
    <row r="193" spans="1:36" ht="15.75" customHeight="1" x14ac:dyDescent="0.25">
      <c r="A193" s="9"/>
      <c r="B193" s="4"/>
      <c r="C193" s="4"/>
      <c r="D193" s="4"/>
      <c r="E193" s="4"/>
      <c r="F193" s="4"/>
      <c r="G193" s="4"/>
      <c r="H193" s="10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5"/>
    </row>
    <row r="194" spans="1:36" ht="15.75" customHeight="1" x14ac:dyDescent="0.25">
      <c r="A194" s="9"/>
      <c r="B194" s="4"/>
      <c r="C194" s="4"/>
      <c r="D194" s="4"/>
      <c r="E194" s="4"/>
      <c r="F194" s="4"/>
      <c r="G194" s="4"/>
      <c r="H194" s="10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5"/>
    </row>
    <row r="195" spans="1:36" ht="15.75" customHeight="1" x14ac:dyDescent="0.25">
      <c r="A195" s="9"/>
      <c r="B195" s="4"/>
      <c r="C195" s="4"/>
      <c r="D195" s="4"/>
      <c r="E195" s="4"/>
      <c r="F195" s="4"/>
      <c r="G195" s="4"/>
      <c r="H195" s="10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5"/>
    </row>
    <row r="196" spans="1:36" ht="15.75" customHeight="1" x14ac:dyDescent="0.25">
      <c r="A196" s="9"/>
      <c r="B196" s="4"/>
      <c r="C196" s="4"/>
      <c r="D196" s="4"/>
      <c r="E196" s="4"/>
      <c r="F196" s="4"/>
      <c r="G196" s="4"/>
      <c r="H196" s="10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5"/>
    </row>
    <row r="197" spans="1:36" ht="15.75" customHeight="1" x14ac:dyDescent="0.25">
      <c r="A197" s="9"/>
      <c r="B197" s="4"/>
      <c r="C197" s="4"/>
      <c r="D197" s="4"/>
      <c r="E197" s="4"/>
      <c r="F197" s="4"/>
      <c r="G197" s="4"/>
      <c r="H197" s="10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5"/>
    </row>
    <row r="198" spans="1:36" ht="15.75" customHeight="1" x14ac:dyDescent="0.25">
      <c r="A198" s="9"/>
      <c r="B198" s="4"/>
      <c r="C198" s="4"/>
      <c r="D198" s="4"/>
      <c r="E198" s="4"/>
      <c r="F198" s="4"/>
      <c r="G198" s="4"/>
      <c r="H198" s="10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5"/>
    </row>
    <row r="199" spans="1:36" ht="15.75" customHeight="1" x14ac:dyDescent="0.25">
      <c r="A199" s="9"/>
      <c r="B199" s="4"/>
      <c r="C199" s="4"/>
      <c r="D199" s="4"/>
      <c r="E199" s="4"/>
      <c r="F199" s="4"/>
      <c r="G199" s="4"/>
      <c r="H199" s="10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5"/>
    </row>
    <row r="200" spans="1:36" ht="15.75" customHeight="1" x14ac:dyDescent="0.25">
      <c r="A200" s="9"/>
      <c r="B200" s="4"/>
      <c r="C200" s="4"/>
      <c r="D200" s="4"/>
      <c r="E200" s="4"/>
      <c r="F200" s="4"/>
      <c r="G200" s="4"/>
      <c r="H200" s="10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5"/>
    </row>
    <row r="201" spans="1:36" ht="15.75" customHeight="1" x14ac:dyDescent="0.25">
      <c r="A201" s="9"/>
      <c r="B201" s="4"/>
      <c r="C201" s="4"/>
      <c r="D201" s="4"/>
      <c r="E201" s="4"/>
      <c r="F201" s="4"/>
      <c r="G201" s="4"/>
      <c r="H201" s="10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5"/>
    </row>
    <row r="202" spans="1:36" ht="15.75" customHeight="1" x14ac:dyDescent="0.25">
      <c r="A202" s="9"/>
      <c r="B202" s="4"/>
      <c r="C202" s="4"/>
      <c r="D202" s="4"/>
      <c r="E202" s="4"/>
      <c r="F202" s="4"/>
      <c r="G202" s="4"/>
      <c r="H202" s="10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5"/>
    </row>
    <row r="203" spans="1:36" ht="15.75" customHeight="1" x14ac:dyDescent="0.25">
      <c r="A203" s="9"/>
      <c r="B203" s="4"/>
      <c r="C203" s="4"/>
      <c r="D203" s="4"/>
      <c r="E203" s="4"/>
      <c r="F203" s="4"/>
      <c r="G203" s="4"/>
      <c r="H203" s="10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5"/>
    </row>
    <row r="204" spans="1:36" ht="15.75" customHeight="1" x14ac:dyDescent="0.25">
      <c r="A204" s="9"/>
      <c r="B204" s="4"/>
      <c r="C204" s="4"/>
      <c r="D204" s="4"/>
      <c r="E204" s="4"/>
      <c r="F204" s="4"/>
      <c r="G204" s="4"/>
      <c r="H204" s="10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5"/>
    </row>
    <row r="205" spans="1:36" ht="15.75" customHeight="1" x14ac:dyDescent="0.25">
      <c r="A205" s="9"/>
      <c r="B205" s="4"/>
      <c r="C205" s="4"/>
      <c r="D205" s="4"/>
      <c r="E205" s="4"/>
      <c r="F205" s="4"/>
      <c r="G205" s="4"/>
      <c r="H205" s="10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5"/>
    </row>
    <row r="206" spans="1:36" ht="15.75" customHeight="1" x14ac:dyDescent="0.25">
      <c r="A206" s="9"/>
      <c r="B206" s="4"/>
      <c r="C206" s="4"/>
      <c r="D206" s="4"/>
      <c r="E206" s="4"/>
      <c r="F206" s="4"/>
      <c r="G206" s="4"/>
      <c r="H206" s="10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5"/>
    </row>
    <row r="207" spans="1:36" ht="15.75" customHeight="1" x14ac:dyDescent="0.25">
      <c r="A207" s="9"/>
      <c r="B207" s="4"/>
      <c r="C207" s="4"/>
      <c r="D207" s="4"/>
      <c r="E207" s="4"/>
      <c r="F207" s="4"/>
      <c r="G207" s="4"/>
      <c r="H207" s="10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5"/>
    </row>
    <row r="208" spans="1:36" ht="15.75" customHeight="1" x14ac:dyDescent="0.25">
      <c r="A208" s="9"/>
      <c r="B208" s="4"/>
      <c r="C208" s="4"/>
      <c r="D208" s="4"/>
      <c r="E208" s="4"/>
      <c r="F208" s="4"/>
      <c r="G208" s="4"/>
      <c r="H208" s="10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5"/>
    </row>
    <row r="209" spans="1:36" ht="15.75" customHeight="1" x14ac:dyDescent="0.25">
      <c r="A209" s="9"/>
      <c r="B209" s="4"/>
      <c r="C209" s="4"/>
      <c r="D209" s="4"/>
      <c r="E209" s="4"/>
      <c r="F209" s="4"/>
      <c r="G209" s="4"/>
      <c r="H209" s="10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5"/>
    </row>
    <row r="210" spans="1:36" ht="15.75" customHeight="1" x14ac:dyDescent="0.25">
      <c r="A210" s="9"/>
      <c r="B210" s="4"/>
      <c r="C210" s="4"/>
      <c r="D210" s="4"/>
      <c r="E210" s="4"/>
      <c r="F210" s="4"/>
      <c r="G210" s="4"/>
      <c r="H210" s="10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5"/>
    </row>
    <row r="211" spans="1:36" ht="15.75" customHeight="1" x14ac:dyDescent="0.25">
      <c r="A211" s="9"/>
      <c r="B211" s="4"/>
      <c r="C211" s="4"/>
      <c r="D211" s="4"/>
      <c r="E211" s="4"/>
      <c r="F211" s="4"/>
      <c r="G211" s="4"/>
      <c r="H211" s="10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5"/>
    </row>
    <row r="212" spans="1:36" ht="15.75" customHeight="1" x14ac:dyDescent="0.25">
      <c r="A212" s="9"/>
      <c r="B212" s="4"/>
      <c r="C212" s="4"/>
      <c r="D212" s="4"/>
      <c r="E212" s="4"/>
      <c r="F212" s="4"/>
      <c r="G212" s="4"/>
      <c r="H212" s="10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5"/>
    </row>
    <row r="213" spans="1:36" ht="15.75" customHeight="1" x14ac:dyDescent="0.25">
      <c r="A213" s="9"/>
      <c r="B213" s="4"/>
      <c r="C213" s="4"/>
      <c r="D213" s="4"/>
      <c r="E213" s="4"/>
      <c r="F213" s="4"/>
      <c r="G213" s="4"/>
      <c r="H213" s="10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5"/>
    </row>
    <row r="214" spans="1:36" ht="15.75" customHeight="1" x14ac:dyDescent="0.25">
      <c r="A214" s="9"/>
      <c r="B214" s="4"/>
      <c r="C214" s="4"/>
      <c r="D214" s="4"/>
      <c r="E214" s="4"/>
      <c r="F214" s="4"/>
      <c r="G214" s="4"/>
      <c r="H214" s="10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5"/>
    </row>
    <row r="215" spans="1:36" ht="15.75" customHeight="1" x14ac:dyDescent="0.25">
      <c r="A215" s="9"/>
      <c r="B215" s="4"/>
      <c r="C215" s="4"/>
      <c r="D215" s="4"/>
      <c r="E215" s="4"/>
      <c r="F215" s="4"/>
      <c r="G215" s="4"/>
      <c r="H215" s="10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5"/>
    </row>
    <row r="216" spans="1:36" ht="15.75" customHeight="1" x14ac:dyDescent="0.25">
      <c r="A216" s="9"/>
      <c r="B216" s="4"/>
      <c r="C216" s="4"/>
      <c r="D216" s="4"/>
      <c r="E216" s="4"/>
      <c r="F216" s="4"/>
      <c r="G216" s="4"/>
      <c r="H216" s="1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5"/>
    </row>
    <row r="217" spans="1:36" ht="15.75" customHeight="1" x14ac:dyDescent="0.25">
      <c r="A217" s="9"/>
      <c r="B217" s="4"/>
      <c r="C217" s="4"/>
      <c r="D217" s="4"/>
      <c r="E217" s="4"/>
      <c r="F217" s="4"/>
      <c r="G217" s="4"/>
      <c r="H217" s="1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5"/>
    </row>
    <row r="218" spans="1:36" ht="15.75" customHeight="1" x14ac:dyDescent="0.25">
      <c r="A218" s="9"/>
      <c r="B218" s="4"/>
      <c r="C218" s="4"/>
      <c r="D218" s="4"/>
      <c r="E218" s="4"/>
      <c r="F218" s="4"/>
      <c r="G218" s="4"/>
      <c r="H218" s="10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5"/>
    </row>
    <row r="219" spans="1:36" ht="15.75" customHeight="1" x14ac:dyDescent="0.25">
      <c r="A219" s="9"/>
      <c r="B219" s="4"/>
      <c r="C219" s="4"/>
      <c r="D219" s="4"/>
      <c r="E219" s="4"/>
      <c r="F219" s="4"/>
      <c r="G219" s="4"/>
      <c r="H219" s="10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5"/>
    </row>
    <row r="220" spans="1:36" ht="15.75" customHeight="1" x14ac:dyDescent="0.25">
      <c r="A220" s="9"/>
      <c r="B220" s="4"/>
      <c r="C220" s="4"/>
      <c r="D220" s="4"/>
      <c r="E220" s="4"/>
      <c r="F220" s="4"/>
      <c r="G220" s="4"/>
      <c r="H220" s="10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5"/>
    </row>
    <row r="221" spans="1:36" ht="15.75" customHeight="1" x14ac:dyDescent="0.25">
      <c r="A221" s="9"/>
      <c r="B221" s="4"/>
      <c r="C221" s="4"/>
      <c r="D221" s="4"/>
      <c r="E221" s="4"/>
      <c r="F221" s="4"/>
      <c r="G221" s="4"/>
      <c r="H221" s="10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5"/>
    </row>
    <row r="222" spans="1:36" ht="15.75" customHeight="1" x14ac:dyDescent="0.25">
      <c r="A222" s="9"/>
      <c r="B222" s="4"/>
      <c r="C222" s="4"/>
      <c r="D222" s="4"/>
      <c r="E222" s="4"/>
      <c r="F222" s="4"/>
      <c r="G222" s="4"/>
      <c r="H222" s="10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5"/>
    </row>
    <row r="223" spans="1:36" ht="15.75" customHeight="1" x14ac:dyDescent="0.25">
      <c r="A223" s="9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5"/>
    </row>
    <row r="224" spans="1:36" ht="15.75" customHeight="1" x14ac:dyDescent="0.25">
      <c r="A224" s="9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5"/>
    </row>
    <row r="225" spans="1:36" ht="15.75" customHeight="1" x14ac:dyDescent="0.25">
      <c r="A225" s="9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5"/>
    </row>
    <row r="226" spans="1:36" ht="15.75" customHeight="1" x14ac:dyDescent="0.25">
      <c r="A226" s="9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5"/>
    </row>
    <row r="227" spans="1:36" ht="15.75" customHeight="1" x14ac:dyDescent="0.25">
      <c r="A227" s="9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5"/>
    </row>
    <row r="228" spans="1:36" ht="15.75" customHeight="1" x14ac:dyDescent="0.25">
      <c r="A228" s="9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5"/>
    </row>
    <row r="229" spans="1:36" ht="15.75" customHeight="1" x14ac:dyDescent="0.25">
      <c r="A229" s="9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5"/>
    </row>
    <row r="230" spans="1:36" ht="15.75" customHeight="1" x14ac:dyDescent="0.25">
      <c r="A230" s="9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5"/>
    </row>
    <row r="231" spans="1:36" ht="15.75" customHeight="1" x14ac:dyDescent="0.25">
      <c r="A231" s="9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5"/>
    </row>
    <row r="232" spans="1:36" ht="15.75" customHeight="1" x14ac:dyDescent="0.25">
      <c r="A232" s="9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5"/>
    </row>
    <row r="233" spans="1:36" ht="15.75" customHeight="1" x14ac:dyDescent="0.25">
      <c r="A233" s="9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5"/>
    </row>
    <row r="234" spans="1:36" ht="15.75" customHeight="1" x14ac:dyDescent="0.25">
      <c r="A234" s="9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5"/>
    </row>
    <row r="235" spans="1:36" ht="15.75" customHeight="1" x14ac:dyDescent="0.25">
      <c r="A235" s="9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5"/>
    </row>
    <row r="236" spans="1:36" ht="15.75" customHeight="1" x14ac:dyDescent="0.25">
      <c r="A236" s="9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5"/>
    </row>
    <row r="237" spans="1:36" ht="15.75" customHeight="1" x14ac:dyDescent="0.25">
      <c r="A237" s="9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5"/>
    </row>
    <row r="238" spans="1:36" ht="15.75" customHeight="1" x14ac:dyDescent="0.25">
      <c r="A238" s="9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5"/>
    </row>
    <row r="239" spans="1:36" ht="15.75" customHeight="1" x14ac:dyDescent="0.25">
      <c r="A239" s="9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5"/>
    </row>
    <row r="240" spans="1:36" ht="15.75" customHeight="1" x14ac:dyDescent="0.25">
      <c r="A240" s="9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5"/>
    </row>
    <row r="241" spans="1:36" ht="15.75" customHeight="1" x14ac:dyDescent="0.25">
      <c r="A241" s="9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5"/>
    </row>
    <row r="242" spans="1:36" ht="15.75" customHeight="1" x14ac:dyDescent="0.25">
      <c r="A242" s="9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5"/>
    </row>
    <row r="243" spans="1:36" ht="15.75" customHeight="1" x14ac:dyDescent="0.25">
      <c r="A243" s="9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5"/>
    </row>
    <row r="244" spans="1:36" ht="15.75" customHeight="1" x14ac:dyDescent="0.25">
      <c r="A244" s="9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5"/>
    </row>
    <row r="245" spans="1:36" ht="15.75" customHeight="1" x14ac:dyDescent="0.25">
      <c r="A245" s="9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5"/>
    </row>
    <row r="246" spans="1:36" ht="15.75" customHeight="1" x14ac:dyDescent="0.25">
      <c r="A246" s="9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5"/>
    </row>
    <row r="247" spans="1:36" ht="15.75" customHeight="1" x14ac:dyDescent="0.25">
      <c r="A247" s="9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5"/>
    </row>
    <row r="248" spans="1:36" ht="15.75" customHeight="1" x14ac:dyDescent="0.25">
      <c r="A248" s="9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5"/>
    </row>
    <row r="249" spans="1:36" ht="15.75" customHeight="1" x14ac:dyDescent="0.25">
      <c r="A249" s="9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5"/>
    </row>
    <row r="250" spans="1:36" ht="15.75" customHeight="1" x14ac:dyDescent="0.25">
      <c r="A250" s="9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5"/>
    </row>
    <row r="251" spans="1:36" ht="15.75" customHeight="1" x14ac:dyDescent="0.25">
      <c r="A251" s="9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5"/>
    </row>
    <row r="252" spans="1:36" ht="15.75" customHeight="1" x14ac:dyDescent="0.25">
      <c r="A252" s="9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5"/>
    </row>
    <row r="253" spans="1:36" ht="15.75" customHeight="1" x14ac:dyDescent="0.25">
      <c r="A253" s="9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5"/>
    </row>
    <row r="254" spans="1:36" ht="15.75" customHeight="1" x14ac:dyDescent="0.25">
      <c r="A254" s="9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5"/>
    </row>
    <row r="255" spans="1:36" ht="15.75" customHeight="1" x14ac:dyDescent="0.25">
      <c r="A255" s="9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5"/>
    </row>
    <row r="256" spans="1:36" ht="15.75" customHeight="1" x14ac:dyDescent="0.25">
      <c r="A256" s="9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5"/>
    </row>
    <row r="257" spans="1:36" ht="15.75" customHeight="1" x14ac:dyDescent="0.25">
      <c r="A257" s="9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5"/>
    </row>
    <row r="258" spans="1:36" ht="15.75" customHeight="1" x14ac:dyDescent="0.25">
      <c r="A258" s="9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5"/>
    </row>
    <row r="259" spans="1:36" ht="15.75" customHeight="1" x14ac:dyDescent="0.25">
      <c r="A259" s="9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5"/>
    </row>
    <row r="260" spans="1:36" ht="15.75" customHeight="1" x14ac:dyDescent="0.25">
      <c r="A260" s="9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5"/>
    </row>
    <row r="261" spans="1:36" ht="15.75" customHeight="1" x14ac:dyDescent="0.25">
      <c r="A261" s="9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5"/>
    </row>
    <row r="262" spans="1:36" ht="15.75" customHeight="1" x14ac:dyDescent="0.25">
      <c r="A262" s="9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5"/>
    </row>
    <row r="263" spans="1:36" ht="15.75" customHeight="1" x14ac:dyDescent="0.25">
      <c r="A263" s="9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5"/>
    </row>
    <row r="264" spans="1:36" ht="15.75" customHeight="1" x14ac:dyDescent="0.25">
      <c r="A264" s="9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5"/>
    </row>
    <row r="265" spans="1:36" ht="15.75" customHeight="1" x14ac:dyDescent="0.25">
      <c r="A265" s="9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5"/>
    </row>
    <row r="266" spans="1:36" ht="15.75" customHeight="1" x14ac:dyDescent="0.25">
      <c r="A266" s="9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5"/>
    </row>
    <row r="267" spans="1:36" ht="15.75" customHeight="1" x14ac:dyDescent="0.25">
      <c r="A267" s="9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5"/>
    </row>
    <row r="268" spans="1:36" ht="15.75" customHeight="1" x14ac:dyDescent="0.25">
      <c r="A268" s="9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5"/>
    </row>
    <row r="269" spans="1:36" ht="15.75" customHeight="1" x14ac:dyDescent="0.25">
      <c r="A269" s="9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5"/>
    </row>
    <row r="270" spans="1:36" ht="15.75" customHeight="1" x14ac:dyDescent="0.25">
      <c r="A270" s="9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5"/>
    </row>
    <row r="271" spans="1:36" ht="15.75" customHeight="1" x14ac:dyDescent="0.25">
      <c r="A271" s="9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5"/>
    </row>
    <row r="272" spans="1:36" ht="15.75" customHeight="1" x14ac:dyDescent="0.25">
      <c r="A272" s="9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5"/>
    </row>
    <row r="273" spans="1:36" ht="15.75" customHeight="1" x14ac:dyDescent="0.25">
      <c r="A273" s="9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5"/>
    </row>
    <row r="274" spans="1:36" ht="15.75" customHeight="1" x14ac:dyDescent="0.25">
      <c r="A274" s="9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5"/>
    </row>
    <row r="275" spans="1:36" ht="15.75" customHeight="1" x14ac:dyDescent="0.25">
      <c r="A275" s="9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5"/>
    </row>
    <row r="276" spans="1:36" ht="15.75" customHeight="1" x14ac:dyDescent="0.25">
      <c r="A276" s="9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5"/>
    </row>
    <row r="277" spans="1:36" ht="15.75" customHeight="1" x14ac:dyDescent="0.25">
      <c r="A277" s="9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5"/>
    </row>
    <row r="278" spans="1:36" ht="15.75" customHeight="1" x14ac:dyDescent="0.25">
      <c r="A278" s="9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5"/>
    </row>
    <row r="279" spans="1:36" ht="15.75" customHeight="1" x14ac:dyDescent="0.25">
      <c r="A279" s="9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5"/>
    </row>
    <row r="280" spans="1:36" ht="15.75" customHeight="1" x14ac:dyDescent="0.25">
      <c r="A280" s="9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5"/>
    </row>
    <row r="281" spans="1:36" ht="15.75" customHeight="1" x14ac:dyDescent="0.25">
      <c r="A281" s="9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5"/>
    </row>
    <row r="282" spans="1:36" ht="15.75" customHeight="1" x14ac:dyDescent="0.25">
      <c r="A282" s="9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5"/>
    </row>
    <row r="283" spans="1:36" ht="15.75" customHeight="1" x14ac:dyDescent="0.25">
      <c r="A283" s="9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5"/>
    </row>
    <row r="284" spans="1:36" ht="15.75" customHeight="1" x14ac:dyDescent="0.25">
      <c r="A284" s="9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5"/>
    </row>
    <row r="285" spans="1:36" ht="15.75" customHeight="1" x14ac:dyDescent="0.25">
      <c r="A285" s="9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5"/>
    </row>
    <row r="286" spans="1:36" ht="15.75" customHeight="1" x14ac:dyDescent="0.25">
      <c r="A286" s="9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5"/>
    </row>
    <row r="287" spans="1:36" ht="15.75" customHeight="1" x14ac:dyDescent="0.25">
      <c r="A287" s="9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5"/>
    </row>
    <row r="288" spans="1:36" ht="15.75" customHeight="1" x14ac:dyDescent="0.25">
      <c r="A288" s="9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5"/>
    </row>
    <row r="289" spans="1:36" ht="15.75" customHeight="1" x14ac:dyDescent="0.25">
      <c r="A289" s="9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5"/>
    </row>
    <row r="290" spans="1:36" ht="15.75" customHeight="1" x14ac:dyDescent="0.25">
      <c r="A290" s="9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5"/>
    </row>
    <row r="291" spans="1:36" ht="15.75" customHeight="1" x14ac:dyDescent="0.25">
      <c r="A291" s="9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5"/>
    </row>
    <row r="292" spans="1:36" ht="15.75" customHeight="1" x14ac:dyDescent="0.25">
      <c r="A292" s="9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5"/>
    </row>
    <row r="293" spans="1:36" ht="15.75" customHeight="1" x14ac:dyDescent="0.25">
      <c r="A293" s="9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5"/>
    </row>
    <row r="294" spans="1:36" ht="15.75" customHeight="1" x14ac:dyDescent="0.25">
      <c r="A294" s="9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5"/>
    </row>
    <row r="295" spans="1:36" ht="15.75" customHeight="1" x14ac:dyDescent="0.25">
      <c r="A295" s="9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5"/>
    </row>
    <row r="296" spans="1:36" ht="15.75" customHeight="1" x14ac:dyDescent="0.25">
      <c r="A296" s="9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5"/>
    </row>
    <row r="297" spans="1:36" ht="15.75" customHeight="1" x14ac:dyDescent="0.25">
      <c r="A297" s="9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5"/>
    </row>
    <row r="298" spans="1:36" ht="15.75" customHeight="1" x14ac:dyDescent="0.25">
      <c r="A298" s="9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5"/>
    </row>
    <row r="299" spans="1:36" ht="15.75" customHeight="1" x14ac:dyDescent="0.25">
      <c r="A299" s="9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5"/>
    </row>
    <row r="300" spans="1:36" ht="15.75" customHeight="1" x14ac:dyDescent="0.25">
      <c r="A300" s="9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5"/>
    </row>
    <row r="301" spans="1:36" ht="15.75" customHeight="1" x14ac:dyDescent="0.25">
      <c r="A301" s="9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5"/>
    </row>
    <row r="302" spans="1:36" ht="15.75" customHeight="1" x14ac:dyDescent="0.25">
      <c r="A302" s="9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5"/>
    </row>
    <row r="303" spans="1:36" ht="15.75" customHeight="1" x14ac:dyDescent="0.25">
      <c r="A303" s="9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5"/>
    </row>
    <row r="304" spans="1:36" ht="15.75" customHeight="1" x14ac:dyDescent="0.25">
      <c r="A304" s="9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5"/>
    </row>
    <row r="305" spans="1:36" ht="15.75" customHeight="1" x14ac:dyDescent="0.25">
      <c r="A305" s="9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5"/>
    </row>
    <row r="306" spans="1:36" ht="15.75" customHeight="1" x14ac:dyDescent="0.25">
      <c r="A306" s="9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5"/>
    </row>
    <row r="307" spans="1:36" ht="15.75" customHeight="1" x14ac:dyDescent="0.25">
      <c r="A307" s="9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5"/>
    </row>
    <row r="308" spans="1:36" ht="15.75" customHeight="1" x14ac:dyDescent="0.25">
      <c r="A308" s="9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5"/>
    </row>
    <row r="309" spans="1:36" ht="15.75" customHeight="1" x14ac:dyDescent="0.25">
      <c r="A309" s="9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5"/>
    </row>
    <row r="310" spans="1:36" ht="15.75" customHeight="1" x14ac:dyDescent="0.25">
      <c r="A310" s="9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5"/>
    </row>
    <row r="311" spans="1:36" ht="15.75" customHeight="1" x14ac:dyDescent="0.25">
      <c r="A311" s="9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5"/>
    </row>
    <row r="312" spans="1:36" ht="15.75" customHeight="1" x14ac:dyDescent="0.25">
      <c r="A312" s="9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5"/>
    </row>
    <row r="313" spans="1:36" ht="15.75" customHeight="1" x14ac:dyDescent="0.25">
      <c r="A313" s="9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5"/>
    </row>
    <row r="314" spans="1:36" ht="15.75" customHeight="1" x14ac:dyDescent="0.25">
      <c r="A314" s="9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5"/>
    </row>
    <row r="315" spans="1:36" ht="15.75" customHeight="1" x14ac:dyDescent="0.25">
      <c r="A315" s="9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5"/>
    </row>
    <row r="316" spans="1:36" ht="15.75" customHeight="1" x14ac:dyDescent="0.25">
      <c r="A316" s="9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5"/>
    </row>
    <row r="317" spans="1:36" ht="15.75" customHeight="1" x14ac:dyDescent="0.25">
      <c r="A317" s="9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5"/>
    </row>
    <row r="318" spans="1:36" ht="15.75" customHeight="1" x14ac:dyDescent="0.25">
      <c r="A318" s="9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5"/>
    </row>
    <row r="319" spans="1:36" ht="15.75" customHeight="1" x14ac:dyDescent="0.25">
      <c r="A319" s="9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5"/>
    </row>
    <row r="320" spans="1:36" ht="15.75" customHeight="1" x14ac:dyDescent="0.25">
      <c r="A320" s="9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5"/>
    </row>
    <row r="321" spans="1:36" ht="15.75" customHeight="1" x14ac:dyDescent="0.25">
      <c r="A321" s="9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5"/>
    </row>
    <row r="322" spans="1:36" ht="15.75" customHeight="1" x14ac:dyDescent="0.25">
      <c r="A322" s="9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5"/>
    </row>
    <row r="323" spans="1:36" ht="15.75" customHeight="1" x14ac:dyDescent="0.25">
      <c r="A323" s="9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5"/>
    </row>
    <row r="324" spans="1:36" ht="15.75" customHeight="1" x14ac:dyDescent="0.25">
      <c r="A324" s="9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5"/>
    </row>
    <row r="325" spans="1:36" ht="15.75" customHeight="1" x14ac:dyDescent="0.25">
      <c r="A325" s="9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5"/>
    </row>
    <row r="326" spans="1:36" ht="15.75" customHeight="1" x14ac:dyDescent="0.25">
      <c r="A326" s="9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5"/>
    </row>
    <row r="327" spans="1:36" ht="15.75" customHeight="1" x14ac:dyDescent="0.25">
      <c r="A327" s="9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5"/>
    </row>
    <row r="328" spans="1:36" ht="15.75" customHeight="1" x14ac:dyDescent="0.25">
      <c r="A328" s="9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5"/>
    </row>
    <row r="329" spans="1:36" ht="15.75" customHeight="1" x14ac:dyDescent="0.25">
      <c r="A329" s="9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5"/>
    </row>
    <row r="330" spans="1:36" ht="15.75" customHeight="1" x14ac:dyDescent="0.25">
      <c r="A330" s="9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5"/>
    </row>
    <row r="331" spans="1:36" ht="15.75" customHeight="1" x14ac:dyDescent="0.25">
      <c r="A331" s="9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5"/>
    </row>
    <row r="332" spans="1:36" ht="15.75" customHeight="1" x14ac:dyDescent="0.25">
      <c r="A332" s="9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5"/>
    </row>
    <row r="333" spans="1:36" ht="15.75" customHeight="1" x14ac:dyDescent="0.25">
      <c r="A333" s="9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5"/>
    </row>
    <row r="334" spans="1:36" ht="15.75" customHeight="1" x14ac:dyDescent="0.25">
      <c r="A334" s="9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5"/>
    </row>
    <row r="335" spans="1:36" ht="15.75" customHeight="1" x14ac:dyDescent="0.25">
      <c r="A335" s="9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5"/>
    </row>
    <row r="336" spans="1:36" ht="15.75" customHeight="1" x14ac:dyDescent="0.25">
      <c r="A336" s="9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5"/>
    </row>
    <row r="337" spans="1:36" ht="15.75" customHeight="1" x14ac:dyDescent="0.25">
      <c r="A337" s="9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5"/>
    </row>
    <row r="338" spans="1:36" ht="15.75" customHeight="1" x14ac:dyDescent="0.25">
      <c r="A338" s="9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5"/>
    </row>
    <row r="339" spans="1:36" ht="15.75" customHeight="1" x14ac:dyDescent="0.25">
      <c r="A339" s="9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5"/>
    </row>
    <row r="340" spans="1:36" ht="15.75" customHeight="1" x14ac:dyDescent="0.25">
      <c r="A340" s="9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5"/>
    </row>
    <row r="341" spans="1:36" ht="15.75" customHeight="1" x14ac:dyDescent="0.25">
      <c r="A341" s="9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5"/>
    </row>
    <row r="342" spans="1:36" ht="15.75" customHeight="1" x14ac:dyDescent="0.25">
      <c r="A342" s="9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5"/>
    </row>
    <row r="343" spans="1:36" ht="15.75" customHeight="1" x14ac:dyDescent="0.25">
      <c r="A343" s="9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5"/>
    </row>
    <row r="344" spans="1:36" ht="15.75" customHeight="1" x14ac:dyDescent="0.25">
      <c r="A344" s="9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5"/>
    </row>
    <row r="345" spans="1:36" ht="15.75" customHeight="1" x14ac:dyDescent="0.25">
      <c r="A345" s="9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5"/>
    </row>
    <row r="346" spans="1:36" ht="15.75" customHeight="1" x14ac:dyDescent="0.25">
      <c r="A346" s="9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5"/>
    </row>
    <row r="347" spans="1:36" ht="15.75" customHeight="1" x14ac:dyDescent="0.25">
      <c r="A347" s="9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5"/>
    </row>
    <row r="348" spans="1:36" ht="15.75" customHeight="1" x14ac:dyDescent="0.25">
      <c r="A348" s="9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5"/>
    </row>
    <row r="349" spans="1:36" ht="15.75" customHeight="1" x14ac:dyDescent="0.25">
      <c r="A349" s="9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5"/>
    </row>
    <row r="350" spans="1:36" ht="15.75" customHeight="1" x14ac:dyDescent="0.25">
      <c r="A350" s="9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5"/>
    </row>
    <row r="351" spans="1:36" ht="15.75" customHeight="1" x14ac:dyDescent="0.25">
      <c r="A351" s="9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5"/>
    </row>
    <row r="352" spans="1:36" ht="15.75" customHeight="1" x14ac:dyDescent="0.25">
      <c r="A352" s="9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5"/>
    </row>
    <row r="353" spans="1:36" ht="15.75" customHeight="1" x14ac:dyDescent="0.25">
      <c r="A353" s="9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5"/>
    </row>
    <row r="354" spans="1:36" ht="15.75" customHeight="1" x14ac:dyDescent="0.25">
      <c r="A354" s="9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5"/>
    </row>
    <row r="355" spans="1:36" ht="15.75" customHeight="1" x14ac:dyDescent="0.25">
      <c r="A355" s="9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5"/>
    </row>
    <row r="356" spans="1:36" ht="15.75" customHeight="1" x14ac:dyDescent="0.25">
      <c r="A356" s="9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5"/>
    </row>
    <row r="357" spans="1:36" ht="15.75" customHeight="1" x14ac:dyDescent="0.25">
      <c r="A357" s="9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5"/>
    </row>
    <row r="358" spans="1:36" ht="15.75" customHeight="1" x14ac:dyDescent="0.25">
      <c r="A358" s="9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5"/>
    </row>
    <row r="359" spans="1:36" ht="15.75" customHeight="1" x14ac:dyDescent="0.25">
      <c r="A359" s="9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5"/>
    </row>
    <row r="360" spans="1:36" ht="15.75" customHeight="1" x14ac:dyDescent="0.25">
      <c r="A360" s="9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5"/>
    </row>
    <row r="361" spans="1:36" ht="15.75" customHeight="1" x14ac:dyDescent="0.25">
      <c r="A361" s="9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5"/>
    </row>
    <row r="362" spans="1:36" ht="15.75" customHeight="1" x14ac:dyDescent="0.25">
      <c r="A362" s="9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5"/>
    </row>
    <row r="363" spans="1:36" ht="15.75" customHeight="1" x14ac:dyDescent="0.25">
      <c r="A363" s="9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5"/>
    </row>
    <row r="364" spans="1:36" ht="15.75" customHeight="1" x14ac:dyDescent="0.25">
      <c r="A364" s="9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5"/>
    </row>
    <row r="365" spans="1:36" ht="15.75" customHeight="1" x14ac:dyDescent="0.25">
      <c r="A365" s="9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5"/>
    </row>
    <row r="366" spans="1:36" ht="15.75" customHeight="1" x14ac:dyDescent="0.25">
      <c r="A366" s="9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5"/>
    </row>
    <row r="367" spans="1:36" ht="15.75" customHeight="1" x14ac:dyDescent="0.25">
      <c r="A367" s="9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5"/>
    </row>
    <row r="368" spans="1:36" ht="15.75" customHeight="1" x14ac:dyDescent="0.25">
      <c r="A368" s="9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5"/>
    </row>
    <row r="369" spans="1:36" ht="15.75" customHeight="1" x14ac:dyDescent="0.25">
      <c r="A369" s="9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5"/>
    </row>
    <row r="370" spans="1:36" ht="15.75" customHeight="1" x14ac:dyDescent="0.25">
      <c r="A370" s="9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5"/>
    </row>
    <row r="371" spans="1:36" ht="15.75" customHeight="1" x14ac:dyDescent="0.25">
      <c r="A371" s="9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5"/>
    </row>
    <row r="372" spans="1:36" ht="15.75" customHeight="1" x14ac:dyDescent="0.25">
      <c r="A372" s="9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5"/>
    </row>
    <row r="373" spans="1:36" ht="15.75" customHeight="1" x14ac:dyDescent="0.25">
      <c r="A373" s="9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5"/>
    </row>
    <row r="374" spans="1:36" ht="15.75" customHeight="1" x14ac:dyDescent="0.25">
      <c r="A374" s="9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5"/>
    </row>
    <row r="375" spans="1:36" ht="15.75" customHeight="1" x14ac:dyDescent="0.25">
      <c r="A375" s="9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5"/>
    </row>
    <row r="376" spans="1:36" ht="15.75" customHeight="1" x14ac:dyDescent="0.25">
      <c r="A376" s="9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5"/>
    </row>
    <row r="377" spans="1:36" ht="15.75" customHeight="1" x14ac:dyDescent="0.25">
      <c r="A377" s="9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5"/>
    </row>
    <row r="378" spans="1:36" ht="15.75" customHeight="1" x14ac:dyDescent="0.25">
      <c r="A378" s="9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5"/>
    </row>
    <row r="379" spans="1:36" ht="15.75" customHeight="1" x14ac:dyDescent="0.25">
      <c r="A379" s="9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5"/>
    </row>
    <row r="380" spans="1:36" ht="15.75" customHeight="1" x14ac:dyDescent="0.25">
      <c r="A380" s="9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5"/>
    </row>
    <row r="381" spans="1:36" ht="15.75" customHeight="1" x14ac:dyDescent="0.25">
      <c r="A381" s="9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5"/>
    </row>
    <row r="382" spans="1:36" ht="15.75" customHeight="1" x14ac:dyDescent="0.25">
      <c r="A382" s="9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5"/>
    </row>
    <row r="383" spans="1:36" ht="15.75" customHeight="1" x14ac:dyDescent="0.25">
      <c r="A383" s="9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5"/>
    </row>
    <row r="384" spans="1:36" ht="15.75" customHeight="1" x14ac:dyDescent="0.25">
      <c r="A384" s="9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5"/>
    </row>
    <row r="385" spans="1:36" ht="15.75" customHeight="1" x14ac:dyDescent="0.25">
      <c r="A385" s="9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5"/>
    </row>
    <row r="386" spans="1:36" ht="15.75" customHeight="1" x14ac:dyDescent="0.25">
      <c r="A386" s="9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5"/>
    </row>
    <row r="387" spans="1:36" ht="15.75" customHeight="1" x14ac:dyDescent="0.25">
      <c r="A387" s="9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5"/>
    </row>
    <row r="388" spans="1:36" ht="15.75" customHeight="1" x14ac:dyDescent="0.25">
      <c r="A388" s="9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5"/>
    </row>
    <row r="389" spans="1:36" ht="15.75" customHeight="1" x14ac:dyDescent="0.25">
      <c r="A389" s="9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5"/>
    </row>
    <row r="390" spans="1:36" ht="15.75" customHeight="1" x14ac:dyDescent="0.25">
      <c r="A390" s="9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5"/>
    </row>
    <row r="391" spans="1:36" ht="15.75" customHeight="1" x14ac:dyDescent="0.25">
      <c r="A391" s="9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5"/>
    </row>
    <row r="392" spans="1:36" ht="15.75" customHeight="1" x14ac:dyDescent="0.25">
      <c r="A392" s="9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5"/>
    </row>
    <row r="393" spans="1:36" ht="15.75" customHeight="1" x14ac:dyDescent="0.25">
      <c r="A393" s="9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5"/>
    </row>
    <row r="394" spans="1:36" ht="15.75" customHeight="1" x14ac:dyDescent="0.25">
      <c r="A394" s="9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5"/>
    </row>
    <row r="395" spans="1:36" ht="15.75" customHeight="1" x14ac:dyDescent="0.25">
      <c r="A395" s="9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5"/>
    </row>
    <row r="396" spans="1:36" ht="15.75" customHeight="1" x14ac:dyDescent="0.25">
      <c r="A396" s="9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5"/>
    </row>
    <row r="397" spans="1:36" ht="15.75" customHeight="1" x14ac:dyDescent="0.25">
      <c r="A397" s="9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5"/>
    </row>
    <row r="398" spans="1:36" ht="15.75" customHeight="1" x14ac:dyDescent="0.25">
      <c r="A398" s="9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5"/>
    </row>
    <row r="399" spans="1:36" ht="15.75" customHeight="1" x14ac:dyDescent="0.25">
      <c r="A399" s="9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5"/>
    </row>
    <row r="400" spans="1:36" ht="15.75" customHeight="1" x14ac:dyDescent="0.25">
      <c r="A400" s="9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5"/>
    </row>
    <row r="401" spans="1:36" ht="15.75" customHeight="1" x14ac:dyDescent="0.25">
      <c r="A401" s="9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5"/>
    </row>
    <row r="402" spans="1:36" ht="15.75" customHeight="1" x14ac:dyDescent="0.25">
      <c r="A402" s="9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5"/>
    </row>
    <row r="403" spans="1:36" ht="15.75" customHeight="1" x14ac:dyDescent="0.25">
      <c r="A403" s="9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5"/>
    </row>
    <row r="404" spans="1:36" ht="15.75" customHeight="1" x14ac:dyDescent="0.25">
      <c r="A404" s="9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5"/>
    </row>
    <row r="405" spans="1:36" ht="15.75" customHeight="1" x14ac:dyDescent="0.25">
      <c r="A405" s="9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5"/>
    </row>
    <row r="406" spans="1:36" ht="15.75" customHeight="1" x14ac:dyDescent="0.25">
      <c r="A406" s="9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5"/>
    </row>
    <row r="407" spans="1:36" ht="15.75" customHeight="1" x14ac:dyDescent="0.25">
      <c r="A407" s="9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5"/>
    </row>
    <row r="408" spans="1:36" ht="15.75" customHeight="1" x14ac:dyDescent="0.25">
      <c r="A408" s="9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5"/>
    </row>
    <row r="409" spans="1:36" ht="15.75" customHeight="1" x14ac:dyDescent="0.25">
      <c r="A409" s="9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5"/>
    </row>
    <row r="410" spans="1:36" ht="15.75" customHeight="1" x14ac:dyDescent="0.25">
      <c r="A410" s="9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5"/>
    </row>
    <row r="411" spans="1:36" ht="15.75" customHeight="1" x14ac:dyDescent="0.25">
      <c r="A411" s="9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5"/>
    </row>
    <row r="412" spans="1:36" ht="15.75" customHeight="1" x14ac:dyDescent="0.25">
      <c r="A412" s="9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5"/>
    </row>
    <row r="413" spans="1:36" ht="15.75" customHeight="1" x14ac:dyDescent="0.25">
      <c r="A413" s="9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5"/>
    </row>
    <row r="414" spans="1:36" ht="15.75" customHeight="1" x14ac:dyDescent="0.25">
      <c r="A414" s="9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5"/>
    </row>
    <row r="415" spans="1:36" ht="15.75" customHeight="1" x14ac:dyDescent="0.25">
      <c r="A415" s="9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5"/>
    </row>
    <row r="416" spans="1:36" ht="15.75" customHeight="1" x14ac:dyDescent="0.25">
      <c r="A416" s="9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5"/>
    </row>
    <row r="417" spans="1:36" ht="15.75" customHeight="1" x14ac:dyDescent="0.25">
      <c r="A417" s="9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5"/>
    </row>
    <row r="418" spans="1:36" ht="15.75" customHeight="1" x14ac:dyDescent="0.25">
      <c r="A418" s="9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5"/>
    </row>
    <row r="419" spans="1:36" ht="15.75" customHeight="1" x14ac:dyDescent="0.25">
      <c r="A419" s="9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5"/>
    </row>
    <row r="420" spans="1:36" ht="15.75" customHeight="1" x14ac:dyDescent="0.25">
      <c r="A420" s="9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5"/>
    </row>
    <row r="421" spans="1:36" ht="15.75" customHeight="1" x14ac:dyDescent="0.25">
      <c r="A421" s="9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5"/>
    </row>
    <row r="422" spans="1:36" ht="15.75" customHeight="1" x14ac:dyDescent="0.25">
      <c r="A422" s="9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5"/>
    </row>
    <row r="423" spans="1:36" ht="15.75" customHeight="1" x14ac:dyDescent="0.25">
      <c r="A423" s="9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5"/>
    </row>
    <row r="424" spans="1:36" ht="15.75" customHeight="1" x14ac:dyDescent="0.25">
      <c r="A424" s="9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5"/>
    </row>
    <row r="425" spans="1:36" ht="15.75" customHeight="1" x14ac:dyDescent="0.25">
      <c r="A425" s="9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5"/>
    </row>
    <row r="426" spans="1:36" ht="15.75" customHeight="1" x14ac:dyDescent="0.25">
      <c r="A426" s="9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5"/>
    </row>
    <row r="427" spans="1:36" ht="15.75" customHeight="1" x14ac:dyDescent="0.25">
      <c r="A427" s="9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5"/>
    </row>
    <row r="428" spans="1:36" ht="15.75" customHeight="1" x14ac:dyDescent="0.25">
      <c r="A428" s="9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5"/>
    </row>
    <row r="429" spans="1:36" ht="15.75" customHeight="1" x14ac:dyDescent="0.25">
      <c r="A429" s="9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5"/>
    </row>
    <row r="430" spans="1:36" ht="15.75" customHeight="1" x14ac:dyDescent="0.25">
      <c r="A430" s="9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5"/>
    </row>
    <row r="431" spans="1:36" ht="15.75" customHeight="1" x14ac:dyDescent="0.25">
      <c r="A431" s="9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5"/>
    </row>
    <row r="432" spans="1:36" ht="15.75" customHeight="1" x14ac:dyDescent="0.25">
      <c r="A432" s="9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5"/>
    </row>
    <row r="433" spans="1:36" ht="15.75" customHeight="1" x14ac:dyDescent="0.25">
      <c r="A433" s="9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5"/>
    </row>
    <row r="434" spans="1:36" ht="15.75" customHeight="1" x14ac:dyDescent="0.25">
      <c r="A434" s="9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5"/>
    </row>
    <row r="435" spans="1:36" ht="15.75" customHeight="1" x14ac:dyDescent="0.25">
      <c r="A435" s="9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5"/>
    </row>
    <row r="436" spans="1:36" ht="15.75" customHeight="1" x14ac:dyDescent="0.25">
      <c r="A436" s="9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5"/>
    </row>
    <row r="437" spans="1:36" ht="15.75" customHeight="1" x14ac:dyDescent="0.25">
      <c r="A437" s="9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5"/>
    </row>
    <row r="438" spans="1:36" ht="15.75" customHeight="1" x14ac:dyDescent="0.25">
      <c r="A438" s="9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5"/>
    </row>
    <row r="439" spans="1:36" ht="15.75" customHeight="1" x14ac:dyDescent="0.25">
      <c r="A439" s="9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5"/>
    </row>
    <row r="440" spans="1:36" ht="15.75" customHeight="1" x14ac:dyDescent="0.25">
      <c r="A440" s="9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5"/>
    </row>
    <row r="441" spans="1:36" ht="15.75" customHeight="1" x14ac:dyDescent="0.25">
      <c r="A441" s="9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5"/>
    </row>
    <row r="442" spans="1:36" ht="15.75" customHeight="1" x14ac:dyDescent="0.25">
      <c r="A442" s="9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5"/>
    </row>
    <row r="443" spans="1:36" ht="15.75" customHeight="1" x14ac:dyDescent="0.25">
      <c r="A443" s="9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5"/>
    </row>
    <row r="444" spans="1:36" ht="15.75" customHeight="1" x14ac:dyDescent="0.25">
      <c r="A444" s="9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5"/>
    </row>
    <row r="445" spans="1:36" ht="15.75" customHeight="1" x14ac:dyDescent="0.25">
      <c r="A445" s="9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5"/>
    </row>
    <row r="446" spans="1:36" ht="15.75" customHeight="1" x14ac:dyDescent="0.25">
      <c r="A446" s="9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5"/>
    </row>
    <row r="447" spans="1:36" ht="15.75" customHeight="1" x14ac:dyDescent="0.25">
      <c r="A447" s="9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5"/>
    </row>
    <row r="448" spans="1:36" ht="15.75" customHeight="1" x14ac:dyDescent="0.25">
      <c r="A448" s="9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5"/>
    </row>
    <row r="449" spans="1:36" ht="15.75" customHeight="1" x14ac:dyDescent="0.25">
      <c r="A449" s="9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5"/>
    </row>
    <row r="450" spans="1:36" ht="15.75" customHeight="1" x14ac:dyDescent="0.25">
      <c r="A450" s="9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5"/>
    </row>
    <row r="451" spans="1:36" ht="15.75" customHeight="1" x14ac:dyDescent="0.25">
      <c r="A451" s="9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5"/>
    </row>
    <row r="452" spans="1:36" ht="15.75" customHeight="1" x14ac:dyDescent="0.25">
      <c r="A452" s="9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5"/>
    </row>
    <row r="453" spans="1:36" ht="15.75" customHeight="1" x14ac:dyDescent="0.25">
      <c r="A453" s="9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5"/>
    </row>
    <row r="454" spans="1:36" ht="15.75" customHeight="1" x14ac:dyDescent="0.25">
      <c r="A454" s="9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5"/>
    </row>
    <row r="455" spans="1:36" ht="15.75" customHeight="1" x14ac:dyDescent="0.25">
      <c r="A455" s="9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5"/>
    </row>
    <row r="456" spans="1:36" ht="15.75" customHeight="1" x14ac:dyDescent="0.25">
      <c r="A456" s="9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5"/>
    </row>
    <row r="457" spans="1:36" ht="15.75" customHeight="1" x14ac:dyDescent="0.25">
      <c r="A457" s="9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5"/>
    </row>
    <row r="458" spans="1:36" ht="15.75" customHeight="1" x14ac:dyDescent="0.25">
      <c r="A458" s="9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5"/>
    </row>
    <row r="459" spans="1:36" ht="15.75" customHeight="1" x14ac:dyDescent="0.25">
      <c r="A459" s="9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5"/>
    </row>
    <row r="460" spans="1:36" ht="15.75" customHeight="1" x14ac:dyDescent="0.25">
      <c r="A460" s="9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5"/>
    </row>
    <row r="461" spans="1:36" ht="15.75" customHeight="1" x14ac:dyDescent="0.25">
      <c r="A461" s="9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5"/>
    </row>
    <row r="462" spans="1:36" ht="15.75" customHeight="1" x14ac:dyDescent="0.25">
      <c r="A462" s="9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5"/>
    </row>
    <row r="463" spans="1:36" ht="15.75" customHeight="1" x14ac:dyDescent="0.25">
      <c r="A463" s="9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5"/>
    </row>
    <row r="464" spans="1:36" ht="15.75" customHeight="1" x14ac:dyDescent="0.25">
      <c r="A464" s="9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5"/>
    </row>
    <row r="465" spans="1:36" ht="15.75" customHeight="1" x14ac:dyDescent="0.25">
      <c r="A465" s="9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5"/>
    </row>
    <row r="466" spans="1:36" ht="15.75" customHeight="1" x14ac:dyDescent="0.25">
      <c r="A466" s="9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5"/>
    </row>
    <row r="467" spans="1:36" ht="15.75" customHeight="1" x14ac:dyDescent="0.25">
      <c r="A467" s="9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5"/>
    </row>
    <row r="468" spans="1:36" ht="15.75" customHeight="1" x14ac:dyDescent="0.25">
      <c r="A468" s="9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5"/>
    </row>
    <row r="469" spans="1:36" ht="15.75" customHeight="1" x14ac:dyDescent="0.25">
      <c r="A469" s="9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5"/>
    </row>
    <row r="470" spans="1:36" ht="15.75" customHeight="1" x14ac:dyDescent="0.25">
      <c r="A470" s="9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5"/>
    </row>
    <row r="471" spans="1:36" ht="15.75" customHeight="1" x14ac:dyDescent="0.25">
      <c r="A471" s="9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5"/>
    </row>
    <row r="472" spans="1:36" ht="15.75" customHeight="1" x14ac:dyDescent="0.25">
      <c r="A472" s="9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5"/>
    </row>
    <row r="473" spans="1:36" ht="15.75" customHeight="1" x14ac:dyDescent="0.25">
      <c r="A473" s="9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5"/>
    </row>
    <row r="474" spans="1:36" ht="15.75" customHeight="1" x14ac:dyDescent="0.25">
      <c r="A474" s="9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5"/>
    </row>
    <row r="475" spans="1:36" ht="15.75" customHeight="1" x14ac:dyDescent="0.25">
      <c r="A475" s="9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5"/>
    </row>
    <row r="476" spans="1:36" ht="15.75" customHeight="1" x14ac:dyDescent="0.25">
      <c r="A476" s="9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5"/>
    </row>
    <row r="477" spans="1:36" ht="15.75" customHeight="1" x14ac:dyDescent="0.25">
      <c r="A477" s="9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5"/>
    </row>
    <row r="478" spans="1:36" ht="15.75" customHeight="1" x14ac:dyDescent="0.25">
      <c r="A478" s="9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5"/>
    </row>
    <row r="479" spans="1:36" ht="15.75" customHeight="1" x14ac:dyDescent="0.25">
      <c r="A479" s="9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5"/>
    </row>
    <row r="480" spans="1:36" ht="15.75" customHeight="1" x14ac:dyDescent="0.25">
      <c r="A480" s="9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5"/>
    </row>
    <row r="481" spans="1:36" ht="15.75" customHeight="1" x14ac:dyDescent="0.25">
      <c r="A481" s="9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5"/>
    </row>
    <row r="482" spans="1:36" ht="15.75" customHeight="1" x14ac:dyDescent="0.25">
      <c r="A482" s="9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5"/>
    </row>
    <row r="483" spans="1:36" ht="15.75" customHeight="1" x14ac:dyDescent="0.25">
      <c r="A483" s="9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5"/>
    </row>
    <row r="484" spans="1:36" ht="15.75" customHeight="1" x14ac:dyDescent="0.25">
      <c r="A484" s="9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5"/>
    </row>
    <row r="485" spans="1:36" ht="15.75" customHeight="1" x14ac:dyDescent="0.25">
      <c r="A485" s="9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5"/>
    </row>
    <row r="486" spans="1:36" ht="15.75" customHeight="1" x14ac:dyDescent="0.25">
      <c r="A486" s="9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5"/>
    </row>
    <row r="487" spans="1:36" ht="15.75" customHeight="1" x14ac:dyDescent="0.25">
      <c r="A487" s="9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5"/>
    </row>
    <row r="488" spans="1:36" ht="15.75" customHeight="1" x14ac:dyDescent="0.25">
      <c r="A488" s="9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5"/>
    </row>
    <row r="489" spans="1:36" ht="15.75" customHeight="1" x14ac:dyDescent="0.25">
      <c r="A489" s="9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5"/>
    </row>
    <row r="490" spans="1:36" ht="15.75" customHeight="1" x14ac:dyDescent="0.25">
      <c r="A490" s="9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5"/>
    </row>
    <row r="491" spans="1:36" ht="15.75" customHeight="1" x14ac:dyDescent="0.25">
      <c r="A491" s="9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5"/>
    </row>
    <row r="492" spans="1:36" ht="15.75" customHeight="1" x14ac:dyDescent="0.25">
      <c r="A492" s="9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5"/>
    </row>
    <row r="493" spans="1:36" ht="15.75" customHeight="1" x14ac:dyDescent="0.25">
      <c r="A493" s="9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5"/>
    </row>
    <row r="494" spans="1:36" ht="15.75" customHeight="1" x14ac:dyDescent="0.25">
      <c r="A494" s="9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5"/>
    </row>
    <row r="495" spans="1:36" ht="15.75" customHeight="1" x14ac:dyDescent="0.25">
      <c r="A495" s="9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5"/>
    </row>
    <row r="496" spans="1:36" ht="15.75" customHeight="1" x14ac:dyDescent="0.25">
      <c r="A496" s="9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5"/>
    </row>
    <row r="497" spans="1:36" ht="15.75" customHeight="1" x14ac:dyDescent="0.25">
      <c r="A497" s="9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5"/>
    </row>
    <row r="498" spans="1:36" ht="15.75" customHeight="1" x14ac:dyDescent="0.25">
      <c r="A498" s="9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5"/>
    </row>
    <row r="499" spans="1:36" ht="15.75" customHeight="1" x14ac:dyDescent="0.25">
      <c r="A499" s="9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5"/>
    </row>
    <row r="500" spans="1:36" ht="15.75" customHeight="1" x14ac:dyDescent="0.25">
      <c r="A500" s="9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5"/>
    </row>
    <row r="501" spans="1:36" ht="15.75" customHeight="1" x14ac:dyDescent="0.25">
      <c r="A501" s="9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5"/>
    </row>
    <row r="502" spans="1:36" ht="15.75" customHeight="1" x14ac:dyDescent="0.25">
      <c r="A502" s="9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5"/>
    </row>
    <row r="503" spans="1:36" ht="15.75" customHeight="1" x14ac:dyDescent="0.25">
      <c r="A503" s="9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5"/>
    </row>
    <row r="504" spans="1:36" ht="15.75" customHeight="1" x14ac:dyDescent="0.25">
      <c r="A504" s="9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5"/>
    </row>
    <row r="505" spans="1:36" ht="15.75" customHeight="1" x14ac:dyDescent="0.25">
      <c r="A505" s="9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5"/>
    </row>
    <row r="506" spans="1:36" ht="15.75" customHeight="1" x14ac:dyDescent="0.25">
      <c r="A506" s="9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5"/>
    </row>
    <row r="507" spans="1:36" ht="15.75" customHeight="1" x14ac:dyDescent="0.25">
      <c r="A507" s="9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5"/>
    </row>
    <row r="508" spans="1:36" ht="15.75" customHeight="1" x14ac:dyDescent="0.25">
      <c r="A508" s="9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5"/>
    </row>
    <row r="509" spans="1:36" ht="15.75" customHeight="1" x14ac:dyDescent="0.25">
      <c r="A509" s="9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5"/>
    </row>
    <row r="510" spans="1:36" ht="15.75" customHeight="1" x14ac:dyDescent="0.25">
      <c r="A510" s="9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5"/>
    </row>
    <row r="511" spans="1:36" ht="15.75" customHeight="1" x14ac:dyDescent="0.25">
      <c r="A511" s="9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5"/>
    </row>
    <row r="512" spans="1:36" ht="15.75" customHeight="1" x14ac:dyDescent="0.25">
      <c r="A512" s="9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5"/>
    </row>
    <row r="513" spans="1:36" ht="15.75" customHeight="1" x14ac:dyDescent="0.25">
      <c r="A513" s="9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5"/>
    </row>
    <row r="514" spans="1:36" ht="15.75" customHeight="1" x14ac:dyDescent="0.25">
      <c r="A514" s="9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5"/>
    </row>
    <row r="515" spans="1:36" ht="15.75" customHeight="1" x14ac:dyDescent="0.25">
      <c r="A515" s="9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5"/>
    </row>
    <row r="516" spans="1:36" ht="15.75" customHeight="1" x14ac:dyDescent="0.25">
      <c r="A516" s="9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5"/>
    </row>
    <row r="517" spans="1:36" ht="15.75" customHeight="1" x14ac:dyDescent="0.25">
      <c r="A517" s="9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5"/>
    </row>
    <row r="518" spans="1:36" ht="15.75" customHeight="1" x14ac:dyDescent="0.25">
      <c r="A518" s="9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5"/>
    </row>
    <row r="519" spans="1:36" ht="15.75" customHeight="1" x14ac:dyDescent="0.25">
      <c r="A519" s="9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5"/>
    </row>
    <row r="520" spans="1:36" ht="15.75" customHeight="1" x14ac:dyDescent="0.25">
      <c r="A520" s="9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5"/>
    </row>
    <row r="521" spans="1:36" ht="15.75" customHeight="1" x14ac:dyDescent="0.25">
      <c r="A521" s="9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5"/>
    </row>
    <row r="522" spans="1:36" ht="15.75" customHeight="1" x14ac:dyDescent="0.25">
      <c r="A522" s="9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5"/>
    </row>
    <row r="523" spans="1:36" ht="15.75" customHeight="1" x14ac:dyDescent="0.25">
      <c r="A523" s="9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5"/>
    </row>
    <row r="524" spans="1:36" ht="15.75" customHeight="1" x14ac:dyDescent="0.25">
      <c r="A524" s="9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5"/>
    </row>
    <row r="525" spans="1:36" ht="15.75" customHeight="1" x14ac:dyDescent="0.25">
      <c r="A525" s="9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5"/>
    </row>
    <row r="526" spans="1:36" ht="15.75" customHeight="1" x14ac:dyDescent="0.25">
      <c r="A526" s="9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5"/>
    </row>
    <row r="527" spans="1:36" ht="15.75" customHeight="1" x14ac:dyDescent="0.25">
      <c r="A527" s="9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5"/>
    </row>
    <row r="528" spans="1:36" ht="15.75" customHeight="1" x14ac:dyDescent="0.25">
      <c r="A528" s="9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5"/>
    </row>
    <row r="529" spans="1:36" ht="15.75" customHeight="1" x14ac:dyDescent="0.25">
      <c r="A529" s="9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5"/>
    </row>
    <row r="530" spans="1:36" ht="15.75" customHeight="1" x14ac:dyDescent="0.25">
      <c r="A530" s="9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5"/>
    </row>
    <row r="531" spans="1:36" ht="15.75" customHeight="1" x14ac:dyDescent="0.25">
      <c r="A531" s="9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5"/>
    </row>
    <row r="532" spans="1:36" ht="15.75" customHeight="1" x14ac:dyDescent="0.25">
      <c r="A532" s="9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5"/>
    </row>
    <row r="533" spans="1:36" ht="15.75" customHeight="1" x14ac:dyDescent="0.25">
      <c r="A533" s="9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5"/>
    </row>
    <row r="534" spans="1:36" ht="15.75" customHeight="1" x14ac:dyDescent="0.25">
      <c r="A534" s="9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5"/>
    </row>
    <row r="535" spans="1:36" ht="15.75" customHeight="1" x14ac:dyDescent="0.25">
      <c r="A535" s="9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5"/>
    </row>
    <row r="536" spans="1:36" ht="15.75" customHeight="1" x14ac:dyDescent="0.25">
      <c r="A536" s="9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5"/>
    </row>
    <row r="537" spans="1:36" ht="15.75" customHeight="1" x14ac:dyDescent="0.25">
      <c r="A537" s="9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5"/>
    </row>
    <row r="538" spans="1:36" ht="15.75" customHeight="1" x14ac:dyDescent="0.25">
      <c r="A538" s="9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5"/>
    </row>
    <row r="539" spans="1:36" ht="15.75" customHeight="1" x14ac:dyDescent="0.25">
      <c r="A539" s="9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5"/>
    </row>
    <row r="540" spans="1:36" ht="15.75" customHeight="1" x14ac:dyDescent="0.25">
      <c r="A540" s="9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5"/>
    </row>
    <row r="541" spans="1:36" ht="15.75" customHeight="1" x14ac:dyDescent="0.25">
      <c r="A541" s="9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5"/>
    </row>
    <row r="542" spans="1:36" ht="15.75" customHeight="1" x14ac:dyDescent="0.25">
      <c r="A542" s="9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5"/>
    </row>
    <row r="543" spans="1:36" ht="15.75" customHeight="1" x14ac:dyDescent="0.25">
      <c r="A543" s="9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5"/>
    </row>
    <row r="544" spans="1:36" ht="15.75" customHeight="1" x14ac:dyDescent="0.25">
      <c r="A544" s="9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5"/>
    </row>
    <row r="545" spans="1:36" ht="15.75" customHeight="1" x14ac:dyDescent="0.25">
      <c r="A545" s="9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5"/>
    </row>
    <row r="546" spans="1:36" ht="15.75" customHeight="1" x14ac:dyDescent="0.25">
      <c r="A546" s="9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5"/>
    </row>
    <row r="547" spans="1:36" ht="15.75" customHeight="1" x14ac:dyDescent="0.25">
      <c r="A547" s="9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5"/>
    </row>
    <row r="548" spans="1:36" ht="15.75" customHeight="1" x14ac:dyDescent="0.25">
      <c r="A548" s="9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5"/>
    </row>
    <row r="549" spans="1:36" ht="15.75" customHeight="1" x14ac:dyDescent="0.25">
      <c r="A549" s="9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5"/>
    </row>
    <row r="550" spans="1:36" ht="15.75" customHeight="1" x14ac:dyDescent="0.25">
      <c r="A550" s="9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5"/>
    </row>
    <row r="551" spans="1:36" ht="15.75" customHeight="1" x14ac:dyDescent="0.25">
      <c r="A551" s="9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5"/>
    </row>
    <row r="552" spans="1:36" ht="15.75" customHeight="1" x14ac:dyDescent="0.25">
      <c r="A552" s="9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5"/>
    </row>
    <row r="553" spans="1:36" ht="15.75" customHeight="1" x14ac:dyDescent="0.25">
      <c r="A553" s="9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5"/>
    </row>
    <row r="554" spans="1:36" ht="15.75" customHeight="1" x14ac:dyDescent="0.25">
      <c r="A554" s="9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5"/>
    </row>
    <row r="555" spans="1:36" ht="15.75" customHeight="1" x14ac:dyDescent="0.25">
      <c r="A555" s="9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5"/>
    </row>
    <row r="556" spans="1:36" ht="15.75" customHeight="1" x14ac:dyDescent="0.25">
      <c r="A556" s="9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5"/>
    </row>
    <row r="557" spans="1:36" ht="15.75" customHeight="1" x14ac:dyDescent="0.25">
      <c r="A557" s="9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5"/>
    </row>
    <row r="558" spans="1:36" ht="15.75" customHeight="1" x14ac:dyDescent="0.25">
      <c r="A558" s="9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5"/>
    </row>
    <row r="559" spans="1:36" ht="15.75" customHeight="1" x14ac:dyDescent="0.25">
      <c r="A559" s="9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5"/>
    </row>
    <row r="560" spans="1:36" ht="15.75" customHeight="1" x14ac:dyDescent="0.25">
      <c r="A560" s="9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5"/>
    </row>
    <row r="561" spans="1:36" ht="15.75" customHeight="1" x14ac:dyDescent="0.25">
      <c r="A561" s="9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5"/>
    </row>
    <row r="562" spans="1:36" ht="15.75" customHeight="1" x14ac:dyDescent="0.25">
      <c r="A562" s="9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5"/>
    </row>
    <row r="563" spans="1:36" ht="15.75" customHeight="1" x14ac:dyDescent="0.25">
      <c r="A563" s="9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5"/>
    </row>
    <row r="564" spans="1:36" ht="15.75" customHeight="1" x14ac:dyDescent="0.25">
      <c r="A564" s="9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5"/>
    </row>
    <row r="565" spans="1:36" ht="15.75" customHeight="1" x14ac:dyDescent="0.25">
      <c r="A565" s="9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5"/>
    </row>
    <row r="566" spans="1:36" ht="15.75" customHeight="1" x14ac:dyDescent="0.25">
      <c r="A566" s="9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5"/>
    </row>
    <row r="567" spans="1:36" ht="15.75" customHeight="1" x14ac:dyDescent="0.25">
      <c r="A567" s="9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5"/>
    </row>
    <row r="568" spans="1:36" ht="15.75" customHeight="1" x14ac:dyDescent="0.25">
      <c r="A568" s="9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5"/>
    </row>
    <row r="569" spans="1:36" ht="15.75" customHeight="1" x14ac:dyDescent="0.25">
      <c r="A569" s="9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5"/>
    </row>
    <row r="570" spans="1:36" ht="15.75" customHeight="1" x14ac:dyDescent="0.25">
      <c r="A570" s="9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5"/>
    </row>
    <row r="571" spans="1:36" ht="15.75" customHeight="1" x14ac:dyDescent="0.25">
      <c r="A571" s="9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5"/>
    </row>
    <row r="572" spans="1:36" ht="15.75" customHeight="1" x14ac:dyDescent="0.25">
      <c r="A572" s="9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5"/>
    </row>
    <row r="573" spans="1:36" ht="15.75" customHeight="1" x14ac:dyDescent="0.25">
      <c r="A573" s="9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5"/>
    </row>
    <row r="574" spans="1:36" ht="15.75" customHeight="1" x14ac:dyDescent="0.25">
      <c r="A574" s="9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5"/>
    </row>
    <row r="575" spans="1:36" ht="15.75" customHeight="1" x14ac:dyDescent="0.25">
      <c r="A575" s="9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5"/>
    </row>
    <row r="576" spans="1:36" ht="15.75" customHeight="1" x14ac:dyDescent="0.25">
      <c r="A576" s="9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5"/>
    </row>
    <row r="577" spans="1:36" ht="15.75" customHeight="1" x14ac:dyDescent="0.25">
      <c r="A577" s="9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5"/>
    </row>
    <row r="578" spans="1:36" ht="15.75" customHeight="1" x14ac:dyDescent="0.25">
      <c r="A578" s="9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5"/>
    </row>
    <row r="579" spans="1:36" ht="15.75" customHeight="1" x14ac:dyDescent="0.25">
      <c r="A579" s="9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5"/>
    </row>
    <row r="580" spans="1:36" ht="15.75" customHeight="1" x14ac:dyDescent="0.25">
      <c r="A580" s="9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5"/>
    </row>
    <row r="581" spans="1:36" ht="15.75" customHeight="1" x14ac:dyDescent="0.25">
      <c r="A581" s="9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5"/>
    </row>
    <row r="582" spans="1:36" ht="15.75" customHeight="1" x14ac:dyDescent="0.25">
      <c r="A582" s="9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5"/>
    </row>
    <row r="583" spans="1:36" ht="15.75" customHeight="1" x14ac:dyDescent="0.25">
      <c r="A583" s="9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5"/>
    </row>
    <row r="584" spans="1:36" ht="15.75" customHeight="1" x14ac:dyDescent="0.25">
      <c r="A584" s="9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5"/>
    </row>
    <row r="585" spans="1:36" ht="15.75" customHeight="1" x14ac:dyDescent="0.25">
      <c r="A585" s="9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5"/>
    </row>
    <row r="586" spans="1:36" ht="15.75" customHeight="1" x14ac:dyDescent="0.25">
      <c r="A586" s="9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5"/>
    </row>
    <row r="587" spans="1:36" ht="15.75" customHeight="1" x14ac:dyDescent="0.25">
      <c r="A587" s="9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5"/>
    </row>
    <row r="588" spans="1:36" ht="15.75" customHeight="1" x14ac:dyDescent="0.25">
      <c r="A588" s="9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5"/>
    </row>
    <row r="589" spans="1:36" ht="15.75" customHeight="1" x14ac:dyDescent="0.25">
      <c r="A589" s="9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5"/>
    </row>
    <row r="590" spans="1:36" ht="15.75" customHeight="1" x14ac:dyDescent="0.25">
      <c r="A590" s="9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5"/>
    </row>
    <row r="591" spans="1:36" ht="15.75" customHeight="1" x14ac:dyDescent="0.25">
      <c r="A591" s="9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5"/>
    </row>
    <row r="592" spans="1:36" ht="15.75" customHeight="1" x14ac:dyDescent="0.25">
      <c r="A592" s="9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5"/>
    </row>
    <row r="593" spans="1:36" ht="15.75" customHeight="1" x14ac:dyDescent="0.25">
      <c r="A593" s="9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5"/>
    </row>
    <row r="594" spans="1:36" ht="15.75" customHeight="1" x14ac:dyDescent="0.25">
      <c r="A594" s="9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5"/>
    </row>
    <row r="595" spans="1:36" ht="15.75" customHeight="1" x14ac:dyDescent="0.25">
      <c r="A595" s="9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5"/>
    </row>
    <row r="596" spans="1:36" ht="15.75" customHeight="1" x14ac:dyDescent="0.25">
      <c r="A596" s="9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5"/>
    </row>
    <row r="597" spans="1:36" ht="15.75" customHeight="1" x14ac:dyDescent="0.25">
      <c r="A597" s="9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5"/>
    </row>
    <row r="598" spans="1:36" ht="15.75" customHeight="1" x14ac:dyDescent="0.25">
      <c r="A598" s="9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5"/>
    </row>
    <row r="599" spans="1:36" ht="15.75" customHeight="1" x14ac:dyDescent="0.25">
      <c r="A599" s="9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5"/>
    </row>
    <row r="600" spans="1:36" ht="15.75" customHeight="1" x14ac:dyDescent="0.25">
      <c r="A600" s="9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5"/>
    </row>
    <row r="601" spans="1:36" ht="15.75" customHeight="1" x14ac:dyDescent="0.25">
      <c r="A601" s="9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5"/>
    </row>
    <row r="602" spans="1:36" ht="15.75" customHeight="1" x14ac:dyDescent="0.25">
      <c r="A602" s="9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5"/>
    </row>
    <row r="603" spans="1:36" ht="15.75" customHeight="1" x14ac:dyDescent="0.25">
      <c r="A603" s="9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5"/>
    </row>
    <row r="604" spans="1:36" ht="15.75" customHeight="1" x14ac:dyDescent="0.25">
      <c r="A604" s="9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5"/>
    </row>
    <row r="605" spans="1:36" ht="15.75" customHeight="1" x14ac:dyDescent="0.25">
      <c r="A605" s="9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5"/>
    </row>
    <row r="606" spans="1:36" ht="15.75" customHeight="1" x14ac:dyDescent="0.25">
      <c r="A606" s="9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5"/>
    </row>
    <row r="607" spans="1:36" ht="15.75" customHeight="1" x14ac:dyDescent="0.25">
      <c r="A607" s="9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5"/>
    </row>
    <row r="608" spans="1:36" ht="15.75" customHeight="1" x14ac:dyDescent="0.25">
      <c r="A608" s="9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5"/>
    </row>
    <row r="609" spans="1:36" ht="15.75" customHeight="1" x14ac:dyDescent="0.25">
      <c r="A609" s="9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5"/>
    </row>
    <row r="610" spans="1:36" ht="15.75" customHeight="1" x14ac:dyDescent="0.25">
      <c r="A610" s="9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5"/>
    </row>
    <row r="611" spans="1:36" ht="15.75" customHeight="1" x14ac:dyDescent="0.25">
      <c r="A611" s="9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5"/>
    </row>
    <row r="612" spans="1:36" ht="15.75" customHeight="1" x14ac:dyDescent="0.25">
      <c r="A612" s="9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5"/>
    </row>
    <row r="613" spans="1:36" ht="15.75" customHeight="1" x14ac:dyDescent="0.25">
      <c r="A613" s="9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5"/>
    </row>
    <row r="614" spans="1:36" ht="15.75" customHeight="1" x14ac:dyDescent="0.25">
      <c r="A614" s="9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5"/>
    </row>
    <row r="615" spans="1:36" ht="15.75" customHeight="1" x14ac:dyDescent="0.25">
      <c r="A615" s="9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5"/>
    </row>
    <row r="616" spans="1:36" ht="15.75" customHeight="1" x14ac:dyDescent="0.25">
      <c r="A616" s="9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5"/>
    </row>
    <row r="617" spans="1:36" ht="15.75" customHeight="1" x14ac:dyDescent="0.25">
      <c r="A617" s="9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5"/>
    </row>
    <row r="618" spans="1:36" ht="15.75" customHeight="1" x14ac:dyDescent="0.25">
      <c r="A618" s="9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5"/>
    </row>
    <row r="619" spans="1:36" ht="15.75" customHeight="1" x14ac:dyDescent="0.25">
      <c r="A619" s="9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5"/>
    </row>
    <row r="620" spans="1:36" ht="15.75" customHeight="1" x14ac:dyDescent="0.25">
      <c r="A620" s="9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5"/>
    </row>
    <row r="621" spans="1:36" ht="15.75" customHeight="1" x14ac:dyDescent="0.25">
      <c r="A621" s="9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5"/>
    </row>
    <row r="622" spans="1:36" ht="15.75" customHeight="1" x14ac:dyDescent="0.25">
      <c r="A622" s="9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5"/>
    </row>
    <row r="623" spans="1:36" ht="15.75" customHeight="1" x14ac:dyDescent="0.25">
      <c r="A623" s="9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5"/>
    </row>
    <row r="624" spans="1:36" ht="15.75" customHeight="1" x14ac:dyDescent="0.25">
      <c r="A624" s="9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5"/>
    </row>
    <row r="625" spans="1:36" ht="15.75" customHeight="1" x14ac:dyDescent="0.25">
      <c r="A625" s="9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5"/>
    </row>
    <row r="626" spans="1:36" ht="15.75" customHeight="1" x14ac:dyDescent="0.25">
      <c r="A626" s="9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5"/>
    </row>
    <row r="627" spans="1:36" ht="15.75" customHeight="1" x14ac:dyDescent="0.25">
      <c r="A627" s="9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5"/>
    </row>
    <row r="628" spans="1:36" ht="15.75" customHeight="1" x14ac:dyDescent="0.25">
      <c r="A628" s="9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5"/>
    </row>
    <row r="629" spans="1:36" ht="15.75" customHeight="1" x14ac:dyDescent="0.25">
      <c r="A629" s="9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5"/>
    </row>
    <row r="630" spans="1:36" ht="15.75" customHeight="1" x14ac:dyDescent="0.25">
      <c r="A630" s="9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5"/>
    </row>
    <row r="631" spans="1:36" ht="15.75" customHeight="1" x14ac:dyDescent="0.25">
      <c r="A631" s="9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5"/>
    </row>
    <row r="632" spans="1:36" ht="15.75" customHeight="1" x14ac:dyDescent="0.25">
      <c r="A632" s="9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5"/>
    </row>
    <row r="633" spans="1:36" ht="15.75" customHeight="1" x14ac:dyDescent="0.25">
      <c r="A633" s="9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5"/>
    </row>
    <row r="634" spans="1:36" ht="15.75" customHeight="1" x14ac:dyDescent="0.25">
      <c r="A634" s="9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5"/>
    </row>
    <row r="635" spans="1:36" ht="15.75" customHeight="1" x14ac:dyDescent="0.25">
      <c r="A635" s="9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5"/>
    </row>
    <row r="636" spans="1:36" ht="15.75" customHeight="1" x14ac:dyDescent="0.25">
      <c r="A636" s="9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5"/>
    </row>
    <row r="637" spans="1:36" ht="15.75" customHeight="1" x14ac:dyDescent="0.25">
      <c r="A637" s="9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5"/>
    </row>
    <row r="638" spans="1:36" ht="15.75" customHeight="1" x14ac:dyDescent="0.25">
      <c r="A638" s="9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5"/>
    </row>
    <row r="639" spans="1:36" ht="15.75" customHeight="1" x14ac:dyDescent="0.25">
      <c r="A639" s="9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5"/>
    </row>
    <row r="640" spans="1:36" ht="15.75" customHeight="1" x14ac:dyDescent="0.25">
      <c r="A640" s="9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5"/>
    </row>
    <row r="641" spans="1:36" ht="15.75" customHeight="1" x14ac:dyDescent="0.25">
      <c r="A641" s="9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5"/>
    </row>
    <row r="642" spans="1:36" ht="15.75" customHeight="1" x14ac:dyDescent="0.25">
      <c r="A642" s="9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5"/>
    </row>
    <row r="643" spans="1:36" ht="15.75" customHeight="1" x14ac:dyDescent="0.25">
      <c r="A643" s="9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5"/>
    </row>
    <row r="644" spans="1:36" ht="15.75" customHeight="1" x14ac:dyDescent="0.25">
      <c r="A644" s="9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5"/>
    </row>
    <row r="645" spans="1:36" ht="15.75" customHeight="1" x14ac:dyDescent="0.25">
      <c r="A645" s="9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5"/>
    </row>
    <row r="646" spans="1:36" ht="15.75" customHeight="1" x14ac:dyDescent="0.25">
      <c r="A646" s="9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5"/>
    </row>
    <row r="647" spans="1:36" ht="15.75" customHeight="1" x14ac:dyDescent="0.25">
      <c r="A647" s="9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5"/>
    </row>
    <row r="648" spans="1:36" ht="15.75" customHeight="1" x14ac:dyDescent="0.25">
      <c r="A648" s="9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5"/>
    </row>
    <row r="649" spans="1:36" ht="15.75" customHeight="1" x14ac:dyDescent="0.25">
      <c r="A649" s="9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5"/>
    </row>
    <row r="650" spans="1:36" ht="15.75" customHeight="1" x14ac:dyDescent="0.25">
      <c r="A650" s="9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5"/>
    </row>
    <row r="651" spans="1:36" ht="15.75" customHeight="1" x14ac:dyDescent="0.25">
      <c r="A651" s="9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5"/>
    </row>
    <row r="652" spans="1:36" ht="15.75" customHeight="1" x14ac:dyDescent="0.25">
      <c r="A652" s="9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5"/>
    </row>
    <row r="653" spans="1:36" ht="15.75" customHeight="1" x14ac:dyDescent="0.25">
      <c r="A653" s="9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5"/>
    </row>
    <row r="654" spans="1:36" ht="15.75" customHeight="1" x14ac:dyDescent="0.25">
      <c r="A654" s="9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5"/>
    </row>
    <row r="655" spans="1:36" ht="15.75" customHeight="1" x14ac:dyDescent="0.25">
      <c r="A655" s="9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5"/>
    </row>
    <row r="656" spans="1:36" ht="15.75" customHeight="1" x14ac:dyDescent="0.25">
      <c r="A656" s="9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5"/>
    </row>
    <row r="657" spans="1:36" ht="15.75" customHeight="1" x14ac:dyDescent="0.25">
      <c r="A657" s="9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5"/>
    </row>
    <row r="658" spans="1:36" ht="15.75" customHeight="1" x14ac:dyDescent="0.25">
      <c r="A658" s="9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5"/>
    </row>
    <row r="659" spans="1:36" ht="15.75" customHeight="1" x14ac:dyDescent="0.25">
      <c r="A659" s="9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5"/>
    </row>
    <row r="660" spans="1:36" ht="15.75" customHeight="1" x14ac:dyDescent="0.25">
      <c r="A660" s="9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5"/>
    </row>
    <row r="661" spans="1:36" ht="15.75" customHeight="1" x14ac:dyDescent="0.25">
      <c r="A661" s="9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5"/>
    </row>
    <row r="662" spans="1:36" ht="15.75" customHeight="1" x14ac:dyDescent="0.25">
      <c r="A662" s="9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5"/>
    </row>
    <row r="663" spans="1:36" ht="15.75" customHeight="1" x14ac:dyDescent="0.25">
      <c r="A663" s="9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5"/>
    </row>
    <row r="664" spans="1:36" ht="15.75" customHeight="1" x14ac:dyDescent="0.25">
      <c r="A664" s="9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5"/>
    </row>
    <row r="665" spans="1:36" ht="15.75" customHeight="1" x14ac:dyDescent="0.25">
      <c r="A665" s="9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5"/>
    </row>
    <row r="666" spans="1:36" ht="15.75" customHeight="1" x14ac:dyDescent="0.25">
      <c r="A666" s="9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5"/>
    </row>
    <row r="667" spans="1:36" ht="15.75" customHeight="1" x14ac:dyDescent="0.25">
      <c r="A667" s="9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5"/>
    </row>
    <row r="668" spans="1:36" ht="15.75" customHeight="1" x14ac:dyDescent="0.25">
      <c r="A668" s="9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5"/>
    </row>
    <row r="669" spans="1:36" ht="15.75" customHeight="1" x14ac:dyDescent="0.25">
      <c r="A669" s="9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5"/>
    </row>
    <row r="670" spans="1:36" ht="15.75" customHeight="1" x14ac:dyDescent="0.25">
      <c r="A670" s="9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5"/>
    </row>
    <row r="671" spans="1:36" ht="15.75" customHeight="1" x14ac:dyDescent="0.25">
      <c r="A671" s="9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5"/>
    </row>
    <row r="672" spans="1:36" ht="15.75" customHeight="1" x14ac:dyDescent="0.25">
      <c r="A672" s="9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5"/>
    </row>
    <row r="673" spans="1:36" ht="15.75" customHeight="1" x14ac:dyDescent="0.25">
      <c r="A673" s="9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5"/>
    </row>
    <row r="674" spans="1:36" ht="15.75" customHeight="1" x14ac:dyDescent="0.25">
      <c r="A674" s="9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5"/>
    </row>
    <row r="675" spans="1:36" ht="15.75" customHeight="1" x14ac:dyDescent="0.25">
      <c r="A675" s="9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5"/>
    </row>
    <row r="676" spans="1:36" ht="15.75" customHeight="1" x14ac:dyDescent="0.25">
      <c r="A676" s="9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5"/>
    </row>
    <row r="677" spans="1:36" ht="15.75" customHeight="1" x14ac:dyDescent="0.25">
      <c r="A677" s="9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5"/>
    </row>
    <row r="678" spans="1:36" ht="15.75" customHeight="1" x14ac:dyDescent="0.25">
      <c r="A678" s="9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5"/>
    </row>
    <row r="679" spans="1:36" ht="15.75" customHeight="1" x14ac:dyDescent="0.25">
      <c r="A679" s="9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5"/>
    </row>
    <row r="680" spans="1:36" ht="15.75" customHeight="1" x14ac:dyDescent="0.25">
      <c r="A680" s="9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5"/>
    </row>
    <row r="681" spans="1:36" ht="15.75" customHeight="1" x14ac:dyDescent="0.25">
      <c r="A681" s="9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5"/>
    </row>
    <row r="682" spans="1:36" ht="15.75" customHeight="1" x14ac:dyDescent="0.25">
      <c r="A682" s="9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5"/>
    </row>
    <row r="683" spans="1:36" ht="15.75" customHeight="1" x14ac:dyDescent="0.25">
      <c r="A683" s="9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5"/>
    </row>
    <row r="684" spans="1:36" ht="15.75" customHeight="1" x14ac:dyDescent="0.25">
      <c r="A684" s="9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5"/>
    </row>
    <row r="685" spans="1:36" ht="15.75" customHeight="1" x14ac:dyDescent="0.25">
      <c r="A685" s="9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5"/>
    </row>
    <row r="686" spans="1:36" ht="15.75" customHeight="1" x14ac:dyDescent="0.25">
      <c r="A686" s="9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5"/>
    </row>
    <row r="687" spans="1:36" ht="15.75" customHeight="1" x14ac:dyDescent="0.25">
      <c r="A687" s="9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5"/>
    </row>
    <row r="688" spans="1:36" ht="15.75" customHeight="1" x14ac:dyDescent="0.25">
      <c r="A688" s="9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5"/>
    </row>
    <row r="689" spans="1:36" ht="15.75" customHeight="1" x14ac:dyDescent="0.25">
      <c r="A689" s="9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5"/>
    </row>
    <row r="690" spans="1:36" ht="15.75" customHeight="1" x14ac:dyDescent="0.25">
      <c r="A690" s="9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5"/>
    </row>
    <row r="691" spans="1:36" ht="15.75" customHeight="1" x14ac:dyDescent="0.25">
      <c r="A691" s="9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5"/>
    </row>
    <row r="692" spans="1:36" ht="15.75" customHeight="1" x14ac:dyDescent="0.25">
      <c r="A692" s="9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5"/>
    </row>
    <row r="693" spans="1:36" ht="15.75" customHeight="1" x14ac:dyDescent="0.25">
      <c r="A693" s="9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5"/>
    </row>
    <row r="694" spans="1:36" ht="15.75" customHeight="1" x14ac:dyDescent="0.25">
      <c r="A694" s="9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5"/>
    </row>
    <row r="695" spans="1:36" ht="15.75" customHeight="1" x14ac:dyDescent="0.25">
      <c r="A695" s="9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5"/>
    </row>
    <row r="696" spans="1:36" ht="15.75" customHeight="1" x14ac:dyDescent="0.25">
      <c r="A696" s="9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5"/>
    </row>
    <row r="697" spans="1:36" ht="15.75" customHeight="1" x14ac:dyDescent="0.25">
      <c r="A697" s="9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5"/>
    </row>
    <row r="698" spans="1:36" ht="15.75" customHeight="1" x14ac:dyDescent="0.25">
      <c r="A698" s="9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5"/>
    </row>
    <row r="699" spans="1:36" ht="15.75" customHeight="1" x14ac:dyDescent="0.25">
      <c r="A699" s="9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5"/>
    </row>
    <row r="700" spans="1:36" ht="15.75" customHeight="1" x14ac:dyDescent="0.25">
      <c r="A700" s="9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5"/>
    </row>
    <row r="701" spans="1:36" ht="15.75" customHeight="1" x14ac:dyDescent="0.25">
      <c r="A701" s="9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5"/>
    </row>
    <row r="702" spans="1:36" ht="15.75" customHeight="1" x14ac:dyDescent="0.25">
      <c r="A702" s="9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5"/>
    </row>
    <row r="703" spans="1:36" ht="15.75" customHeight="1" x14ac:dyDescent="0.25">
      <c r="A703" s="9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5"/>
    </row>
    <row r="704" spans="1:36" ht="15.75" customHeight="1" x14ac:dyDescent="0.25">
      <c r="A704" s="9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5"/>
    </row>
    <row r="705" spans="1:36" ht="15.75" customHeight="1" x14ac:dyDescent="0.25">
      <c r="A705" s="9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5"/>
    </row>
    <row r="706" spans="1:36" ht="15.75" customHeight="1" x14ac:dyDescent="0.25">
      <c r="A706" s="9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5"/>
    </row>
    <row r="707" spans="1:36" ht="15.75" customHeight="1" x14ac:dyDescent="0.25">
      <c r="A707" s="9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5"/>
    </row>
    <row r="708" spans="1:36" ht="15.75" customHeight="1" x14ac:dyDescent="0.25">
      <c r="A708" s="9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5"/>
    </row>
    <row r="709" spans="1:36" ht="15.75" customHeight="1" x14ac:dyDescent="0.25">
      <c r="A709" s="9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5"/>
    </row>
    <row r="710" spans="1:36" ht="15.75" customHeight="1" x14ac:dyDescent="0.25">
      <c r="A710" s="9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5"/>
    </row>
    <row r="711" spans="1:36" ht="15.75" customHeight="1" x14ac:dyDescent="0.25">
      <c r="A711" s="9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5"/>
    </row>
    <row r="712" spans="1:36" ht="15.75" customHeight="1" x14ac:dyDescent="0.25">
      <c r="A712" s="9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5"/>
    </row>
    <row r="713" spans="1:36" ht="15.75" customHeight="1" x14ac:dyDescent="0.25">
      <c r="A713" s="9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5"/>
    </row>
    <row r="714" spans="1:36" ht="15.75" customHeight="1" x14ac:dyDescent="0.25">
      <c r="A714" s="9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5"/>
    </row>
    <row r="715" spans="1:36" ht="15.75" customHeight="1" x14ac:dyDescent="0.25">
      <c r="A715" s="9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5"/>
    </row>
    <row r="716" spans="1:36" ht="15.75" customHeight="1" x14ac:dyDescent="0.25">
      <c r="A716" s="9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5"/>
    </row>
    <row r="717" spans="1:36" ht="15.75" customHeight="1" x14ac:dyDescent="0.25">
      <c r="A717" s="9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5"/>
    </row>
    <row r="718" spans="1:36" ht="15.75" customHeight="1" x14ac:dyDescent="0.25">
      <c r="A718" s="9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5"/>
    </row>
    <row r="719" spans="1:36" ht="15.75" customHeight="1" x14ac:dyDescent="0.25">
      <c r="A719" s="9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5"/>
    </row>
    <row r="720" spans="1:36" ht="15.75" customHeight="1" x14ac:dyDescent="0.25">
      <c r="A720" s="9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5"/>
    </row>
    <row r="721" spans="1:36" ht="15.75" customHeight="1" x14ac:dyDescent="0.25">
      <c r="A721" s="9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5"/>
    </row>
    <row r="722" spans="1:36" ht="15.75" customHeight="1" x14ac:dyDescent="0.25">
      <c r="A722" s="9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5"/>
    </row>
    <row r="723" spans="1:36" ht="15.75" customHeight="1" x14ac:dyDescent="0.25">
      <c r="A723" s="9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5"/>
    </row>
    <row r="724" spans="1:36" ht="15.75" customHeight="1" x14ac:dyDescent="0.25">
      <c r="A724" s="9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5"/>
    </row>
    <row r="725" spans="1:36" ht="15.75" customHeight="1" x14ac:dyDescent="0.25">
      <c r="A725" s="9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5"/>
    </row>
    <row r="726" spans="1:36" ht="15.75" customHeight="1" x14ac:dyDescent="0.25">
      <c r="A726" s="9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5"/>
    </row>
    <row r="727" spans="1:36" ht="15.75" customHeight="1" x14ac:dyDescent="0.25">
      <c r="A727" s="9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5"/>
    </row>
    <row r="728" spans="1:36" ht="15.75" customHeight="1" x14ac:dyDescent="0.25">
      <c r="A728" s="9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5"/>
    </row>
    <row r="729" spans="1:36" ht="15.75" customHeight="1" x14ac:dyDescent="0.25">
      <c r="A729" s="9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5"/>
    </row>
    <row r="730" spans="1:36" ht="15.75" customHeight="1" x14ac:dyDescent="0.25">
      <c r="A730" s="9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5"/>
    </row>
    <row r="731" spans="1:36" ht="15.75" customHeight="1" x14ac:dyDescent="0.25">
      <c r="A731" s="9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5"/>
    </row>
    <row r="732" spans="1:36" ht="15.75" customHeight="1" x14ac:dyDescent="0.25">
      <c r="A732" s="9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5"/>
    </row>
    <row r="733" spans="1:36" ht="15.75" customHeight="1" x14ac:dyDescent="0.25">
      <c r="A733" s="9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5"/>
    </row>
    <row r="734" spans="1:36" ht="15.75" customHeight="1" x14ac:dyDescent="0.25">
      <c r="A734" s="9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5"/>
    </row>
    <row r="735" spans="1:36" ht="15.75" customHeight="1" x14ac:dyDescent="0.25">
      <c r="A735" s="9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5"/>
    </row>
    <row r="736" spans="1:36" ht="15.75" customHeight="1" x14ac:dyDescent="0.25">
      <c r="A736" s="9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5"/>
    </row>
    <row r="737" spans="1:36" ht="15.75" customHeight="1" x14ac:dyDescent="0.25">
      <c r="A737" s="9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5"/>
    </row>
    <row r="738" spans="1:36" ht="15.75" customHeight="1" x14ac:dyDescent="0.25">
      <c r="A738" s="9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5"/>
    </row>
    <row r="739" spans="1:36" ht="15.75" customHeight="1" x14ac:dyDescent="0.25">
      <c r="A739" s="9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5"/>
    </row>
    <row r="740" spans="1:36" ht="15.75" customHeight="1" x14ac:dyDescent="0.25">
      <c r="A740" s="9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5"/>
    </row>
    <row r="741" spans="1:36" ht="15.75" customHeight="1" x14ac:dyDescent="0.25">
      <c r="A741" s="9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5"/>
    </row>
    <row r="742" spans="1:36" ht="15.75" customHeight="1" x14ac:dyDescent="0.25">
      <c r="A742" s="9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5"/>
    </row>
    <row r="743" spans="1:36" ht="15.75" customHeight="1" x14ac:dyDescent="0.25">
      <c r="A743" s="9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5"/>
    </row>
    <row r="744" spans="1:36" ht="15.75" customHeight="1" x14ac:dyDescent="0.25">
      <c r="A744" s="9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5"/>
    </row>
    <row r="745" spans="1:36" ht="15.75" customHeight="1" x14ac:dyDescent="0.25">
      <c r="A745" s="9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5"/>
    </row>
    <row r="746" spans="1:36" ht="15.75" customHeight="1" x14ac:dyDescent="0.25">
      <c r="A746" s="9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5"/>
    </row>
    <row r="747" spans="1:36" ht="15.75" customHeight="1" x14ac:dyDescent="0.25">
      <c r="A747" s="9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5"/>
    </row>
    <row r="748" spans="1:36" ht="15.75" customHeight="1" x14ac:dyDescent="0.25">
      <c r="A748" s="9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5"/>
    </row>
    <row r="749" spans="1:36" ht="15.75" customHeight="1" x14ac:dyDescent="0.25">
      <c r="A749" s="9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5"/>
    </row>
    <row r="750" spans="1:36" ht="15.75" customHeight="1" x14ac:dyDescent="0.25">
      <c r="A750" s="9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5"/>
    </row>
    <row r="751" spans="1:36" ht="15.75" customHeight="1" x14ac:dyDescent="0.25">
      <c r="A751" s="9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5"/>
    </row>
    <row r="752" spans="1:36" ht="15.75" customHeight="1" x14ac:dyDescent="0.25">
      <c r="A752" s="9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5"/>
    </row>
    <row r="753" spans="1:36" ht="15.75" customHeight="1" x14ac:dyDescent="0.25">
      <c r="A753" s="9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5"/>
    </row>
    <row r="754" spans="1:36" ht="15.75" customHeight="1" x14ac:dyDescent="0.25">
      <c r="A754" s="9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5"/>
    </row>
    <row r="755" spans="1:36" ht="15.75" customHeight="1" x14ac:dyDescent="0.25">
      <c r="A755" s="9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5"/>
    </row>
    <row r="756" spans="1:36" ht="15.75" customHeight="1" x14ac:dyDescent="0.25">
      <c r="A756" s="9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5"/>
    </row>
    <row r="757" spans="1:36" ht="15.75" customHeight="1" x14ac:dyDescent="0.25">
      <c r="A757" s="9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5"/>
    </row>
    <row r="758" spans="1:36" ht="15.75" customHeight="1" x14ac:dyDescent="0.25">
      <c r="A758" s="9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5"/>
    </row>
    <row r="759" spans="1:36" ht="15.75" customHeight="1" x14ac:dyDescent="0.25">
      <c r="A759" s="9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5"/>
    </row>
    <row r="760" spans="1:36" ht="15.75" customHeight="1" x14ac:dyDescent="0.25">
      <c r="A760" s="9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5"/>
    </row>
    <row r="761" spans="1:36" ht="15.75" customHeight="1" x14ac:dyDescent="0.25">
      <c r="A761" s="9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5"/>
    </row>
    <row r="762" spans="1:36" ht="15.75" customHeight="1" x14ac:dyDescent="0.25">
      <c r="A762" s="9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5"/>
    </row>
    <row r="763" spans="1:36" ht="15.75" customHeight="1" x14ac:dyDescent="0.25">
      <c r="A763" s="9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5"/>
    </row>
    <row r="764" spans="1:36" ht="15.75" customHeight="1" x14ac:dyDescent="0.25">
      <c r="A764" s="9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5"/>
    </row>
    <row r="765" spans="1:36" ht="15.75" customHeight="1" x14ac:dyDescent="0.25">
      <c r="A765" s="9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5"/>
    </row>
    <row r="766" spans="1:36" ht="15.75" customHeight="1" x14ac:dyDescent="0.25">
      <c r="A766" s="9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5"/>
    </row>
    <row r="767" spans="1:36" ht="15.75" customHeight="1" x14ac:dyDescent="0.25">
      <c r="A767" s="9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5"/>
    </row>
    <row r="768" spans="1:36" ht="15.75" customHeight="1" x14ac:dyDescent="0.25">
      <c r="A768" s="9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5"/>
    </row>
    <row r="769" spans="1:36" ht="15.75" customHeight="1" x14ac:dyDescent="0.25">
      <c r="A769" s="9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5"/>
    </row>
    <row r="770" spans="1:36" ht="15.75" customHeight="1" x14ac:dyDescent="0.25">
      <c r="A770" s="9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5"/>
    </row>
    <row r="771" spans="1:36" ht="15.75" customHeight="1" x14ac:dyDescent="0.25">
      <c r="A771" s="9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5"/>
    </row>
    <row r="772" spans="1:36" ht="15.75" customHeight="1" x14ac:dyDescent="0.25">
      <c r="A772" s="9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5"/>
    </row>
    <row r="773" spans="1:36" ht="15.75" customHeight="1" x14ac:dyDescent="0.25">
      <c r="A773" s="9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5"/>
    </row>
    <row r="774" spans="1:36" ht="15.75" customHeight="1" x14ac:dyDescent="0.25">
      <c r="A774" s="9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5"/>
    </row>
    <row r="775" spans="1:36" ht="15.75" customHeight="1" x14ac:dyDescent="0.25">
      <c r="A775" s="9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5"/>
    </row>
    <row r="776" spans="1:36" ht="15.75" customHeight="1" x14ac:dyDescent="0.25">
      <c r="A776" s="9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5"/>
    </row>
    <row r="777" spans="1:36" ht="15.75" customHeight="1" x14ac:dyDescent="0.25">
      <c r="A777" s="9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5"/>
    </row>
    <row r="778" spans="1:36" ht="15.75" customHeight="1" x14ac:dyDescent="0.25">
      <c r="A778" s="9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5"/>
    </row>
    <row r="779" spans="1:36" ht="15.75" customHeight="1" x14ac:dyDescent="0.25">
      <c r="A779" s="9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5"/>
    </row>
    <row r="780" spans="1:36" ht="15.75" customHeight="1" x14ac:dyDescent="0.25">
      <c r="A780" s="9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5"/>
    </row>
    <row r="781" spans="1:36" ht="15.75" customHeight="1" x14ac:dyDescent="0.25">
      <c r="A781" s="9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5"/>
    </row>
    <row r="782" spans="1:36" ht="15.75" customHeight="1" x14ac:dyDescent="0.25">
      <c r="A782" s="9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5"/>
    </row>
    <row r="783" spans="1:36" ht="15.75" customHeight="1" x14ac:dyDescent="0.25">
      <c r="A783" s="9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5"/>
    </row>
    <row r="784" spans="1:36" ht="15.75" customHeight="1" x14ac:dyDescent="0.25">
      <c r="A784" s="9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5"/>
    </row>
    <row r="785" spans="1:36" ht="15.75" customHeight="1" x14ac:dyDescent="0.25">
      <c r="A785" s="9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5"/>
    </row>
    <row r="786" spans="1:36" ht="15.75" customHeight="1" x14ac:dyDescent="0.25">
      <c r="A786" s="9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5"/>
    </row>
    <row r="787" spans="1:36" ht="15.75" customHeight="1" x14ac:dyDescent="0.25">
      <c r="A787" s="9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5"/>
    </row>
    <row r="788" spans="1:36" ht="15.75" customHeight="1" x14ac:dyDescent="0.25">
      <c r="A788" s="9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5"/>
    </row>
    <row r="789" spans="1:36" ht="15.75" customHeight="1" x14ac:dyDescent="0.25">
      <c r="A789" s="9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5"/>
    </row>
    <row r="790" spans="1:36" ht="15.75" customHeight="1" x14ac:dyDescent="0.25">
      <c r="A790" s="9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5"/>
    </row>
    <row r="791" spans="1:36" ht="15.75" customHeight="1" x14ac:dyDescent="0.25">
      <c r="A791" s="9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5"/>
    </row>
    <row r="792" spans="1:36" ht="15.75" customHeight="1" x14ac:dyDescent="0.25">
      <c r="A792" s="9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5"/>
    </row>
    <row r="793" spans="1:36" ht="15.75" customHeight="1" x14ac:dyDescent="0.25">
      <c r="A793" s="9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5"/>
    </row>
    <row r="794" spans="1:36" ht="15.75" customHeight="1" x14ac:dyDescent="0.25">
      <c r="A794" s="9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5"/>
    </row>
    <row r="795" spans="1:36" ht="15.75" customHeight="1" x14ac:dyDescent="0.25">
      <c r="A795" s="9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5"/>
    </row>
    <row r="796" spans="1:36" ht="15.75" customHeight="1" x14ac:dyDescent="0.25">
      <c r="A796" s="9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5"/>
    </row>
    <row r="797" spans="1:36" ht="15.75" customHeight="1" x14ac:dyDescent="0.25">
      <c r="A797" s="9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5"/>
    </row>
    <row r="798" spans="1:36" ht="15.75" customHeight="1" x14ac:dyDescent="0.25">
      <c r="A798" s="9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5"/>
    </row>
    <row r="799" spans="1:36" ht="15.75" customHeight="1" x14ac:dyDescent="0.25">
      <c r="A799" s="9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5"/>
    </row>
    <row r="800" spans="1:36" ht="15.75" customHeight="1" x14ac:dyDescent="0.25">
      <c r="A800" s="9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5"/>
    </row>
    <row r="801" spans="1:36" ht="15.75" customHeight="1" x14ac:dyDescent="0.25">
      <c r="A801" s="9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5"/>
    </row>
    <row r="802" spans="1:36" ht="15.75" customHeight="1" x14ac:dyDescent="0.25">
      <c r="A802" s="9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5"/>
    </row>
    <row r="803" spans="1:36" ht="15.75" customHeight="1" x14ac:dyDescent="0.25">
      <c r="A803" s="9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5"/>
    </row>
    <row r="804" spans="1:36" ht="15.75" customHeight="1" x14ac:dyDescent="0.25">
      <c r="A804" s="9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5"/>
    </row>
    <row r="805" spans="1:36" ht="15.75" customHeight="1" x14ac:dyDescent="0.25">
      <c r="A805" s="9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5"/>
    </row>
    <row r="806" spans="1:36" ht="15.75" customHeight="1" x14ac:dyDescent="0.25">
      <c r="A806" s="9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5"/>
    </row>
    <row r="807" spans="1:36" ht="15.75" customHeight="1" x14ac:dyDescent="0.25">
      <c r="A807" s="9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5"/>
    </row>
    <row r="808" spans="1:36" ht="15.75" customHeight="1" x14ac:dyDescent="0.25">
      <c r="A808" s="9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5"/>
    </row>
    <row r="809" spans="1:36" ht="15.75" customHeight="1" x14ac:dyDescent="0.25">
      <c r="A809" s="9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5"/>
    </row>
    <row r="810" spans="1:36" ht="15.75" customHeight="1" x14ac:dyDescent="0.25">
      <c r="A810" s="9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5"/>
    </row>
    <row r="811" spans="1:36" ht="15.75" customHeight="1" x14ac:dyDescent="0.25">
      <c r="A811" s="9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5"/>
    </row>
    <row r="812" spans="1:36" ht="15.75" customHeight="1" x14ac:dyDescent="0.25">
      <c r="A812" s="9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5"/>
    </row>
    <row r="813" spans="1:36" ht="15.75" customHeight="1" x14ac:dyDescent="0.25">
      <c r="A813" s="9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5"/>
    </row>
    <row r="814" spans="1:36" ht="15.75" customHeight="1" x14ac:dyDescent="0.25">
      <c r="A814" s="9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5"/>
    </row>
    <row r="815" spans="1:36" ht="15.75" customHeight="1" x14ac:dyDescent="0.25">
      <c r="A815" s="9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5"/>
    </row>
    <row r="816" spans="1:36" ht="15.75" customHeight="1" x14ac:dyDescent="0.25">
      <c r="A816" s="9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5"/>
    </row>
    <row r="817" spans="1:36" ht="15.75" customHeight="1" x14ac:dyDescent="0.25">
      <c r="A817" s="9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5"/>
    </row>
    <row r="818" spans="1:36" ht="15.75" customHeight="1" x14ac:dyDescent="0.25">
      <c r="A818" s="9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5"/>
    </row>
    <row r="819" spans="1:36" ht="15.75" customHeight="1" x14ac:dyDescent="0.25">
      <c r="A819" s="9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5"/>
    </row>
    <row r="820" spans="1:36" ht="15.75" customHeight="1" x14ac:dyDescent="0.25">
      <c r="A820" s="9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5"/>
    </row>
    <row r="821" spans="1:36" ht="15.75" customHeight="1" x14ac:dyDescent="0.25">
      <c r="A821" s="9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5"/>
    </row>
    <row r="822" spans="1:36" ht="15.75" customHeight="1" x14ac:dyDescent="0.25">
      <c r="A822" s="9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5"/>
    </row>
    <row r="823" spans="1:36" ht="15.75" customHeight="1" x14ac:dyDescent="0.25">
      <c r="A823" s="9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5"/>
    </row>
    <row r="824" spans="1:36" ht="15.75" customHeight="1" x14ac:dyDescent="0.25">
      <c r="A824" s="9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5"/>
    </row>
    <row r="825" spans="1:36" ht="15.75" customHeight="1" x14ac:dyDescent="0.25">
      <c r="A825" s="9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5"/>
    </row>
    <row r="826" spans="1:36" ht="15.75" customHeight="1" x14ac:dyDescent="0.25">
      <c r="A826" s="9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5"/>
    </row>
    <row r="827" spans="1:36" ht="15.75" customHeight="1" x14ac:dyDescent="0.25">
      <c r="A827" s="9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5"/>
    </row>
    <row r="828" spans="1:36" ht="15.75" customHeight="1" x14ac:dyDescent="0.25">
      <c r="A828" s="9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5"/>
    </row>
    <row r="829" spans="1:36" ht="15.75" customHeight="1" x14ac:dyDescent="0.25">
      <c r="A829" s="9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5"/>
    </row>
    <row r="830" spans="1:36" ht="15.75" customHeight="1" x14ac:dyDescent="0.25">
      <c r="A830" s="9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5"/>
    </row>
    <row r="831" spans="1:36" ht="15.75" customHeight="1" x14ac:dyDescent="0.25">
      <c r="A831" s="9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5"/>
    </row>
    <row r="832" spans="1:36" ht="15.75" customHeight="1" x14ac:dyDescent="0.25">
      <c r="A832" s="9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5"/>
    </row>
    <row r="833" spans="1:36" ht="15.75" customHeight="1" x14ac:dyDescent="0.25">
      <c r="A833" s="9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5"/>
    </row>
    <row r="834" spans="1:36" ht="15.75" customHeight="1" x14ac:dyDescent="0.25">
      <c r="A834" s="9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5"/>
    </row>
    <row r="835" spans="1:36" ht="15.75" customHeight="1" x14ac:dyDescent="0.25">
      <c r="A835" s="9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5"/>
    </row>
    <row r="836" spans="1:36" ht="15.75" customHeight="1" x14ac:dyDescent="0.25">
      <c r="A836" s="9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5"/>
    </row>
    <row r="837" spans="1:36" ht="15.75" customHeight="1" x14ac:dyDescent="0.25">
      <c r="A837" s="9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5"/>
    </row>
    <row r="838" spans="1:36" ht="15.75" customHeight="1" x14ac:dyDescent="0.25">
      <c r="A838" s="9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5"/>
    </row>
    <row r="839" spans="1:36" ht="15.75" customHeight="1" x14ac:dyDescent="0.25">
      <c r="A839" s="9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5"/>
    </row>
    <row r="840" spans="1:36" ht="15.75" customHeight="1" x14ac:dyDescent="0.25">
      <c r="A840" s="9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5"/>
    </row>
    <row r="841" spans="1:36" ht="15.75" customHeight="1" x14ac:dyDescent="0.25">
      <c r="A841" s="9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5"/>
    </row>
    <row r="842" spans="1:36" ht="15.75" customHeight="1" x14ac:dyDescent="0.25">
      <c r="A842" s="9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5"/>
    </row>
    <row r="843" spans="1:36" ht="15.75" customHeight="1" x14ac:dyDescent="0.25">
      <c r="A843" s="9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5"/>
    </row>
    <row r="844" spans="1:36" ht="15.75" customHeight="1" x14ac:dyDescent="0.25">
      <c r="A844" s="9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5"/>
    </row>
    <row r="845" spans="1:36" ht="15.75" customHeight="1" x14ac:dyDescent="0.25">
      <c r="A845" s="9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5"/>
    </row>
    <row r="846" spans="1:36" ht="15.75" customHeight="1" x14ac:dyDescent="0.25">
      <c r="A846" s="9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5"/>
    </row>
    <row r="847" spans="1:36" ht="15.75" customHeight="1" x14ac:dyDescent="0.25">
      <c r="A847" s="9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5"/>
    </row>
    <row r="848" spans="1:36" ht="15.75" customHeight="1" x14ac:dyDescent="0.25">
      <c r="A848" s="9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5"/>
    </row>
    <row r="849" spans="1:36" ht="15.75" customHeight="1" x14ac:dyDescent="0.25">
      <c r="A849" s="9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5"/>
    </row>
    <row r="850" spans="1:36" ht="15.75" customHeight="1" x14ac:dyDescent="0.25">
      <c r="A850" s="9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5"/>
    </row>
    <row r="851" spans="1:36" ht="15.75" customHeight="1" x14ac:dyDescent="0.25">
      <c r="A851" s="9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5"/>
    </row>
    <row r="852" spans="1:36" ht="15.75" customHeight="1" x14ac:dyDescent="0.25">
      <c r="A852" s="9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5"/>
    </row>
    <row r="853" spans="1:36" ht="15.75" customHeight="1" x14ac:dyDescent="0.25">
      <c r="A853" s="9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5"/>
    </row>
    <row r="854" spans="1:36" ht="15.75" customHeight="1" x14ac:dyDescent="0.25">
      <c r="A854" s="9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5"/>
    </row>
    <row r="855" spans="1:36" ht="15.75" customHeight="1" x14ac:dyDescent="0.25">
      <c r="A855" s="9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5"/>
    </row>
    <row r="856" spans="1:36" ht="15.75" customHeight="1" x14ac:dyDescent="0.25">
      <c r="A856" s="9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5"/>
    </row>
    <row r="857" spans="1:36" ht="15.75" customHeight="1" x14ac:dyDescent="0.25">
      <c r="A857" s="9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5"/>
    </row>
    <row r="858" spans="1:36" ht="15.75" customHeight="1" x14ac:dyDescent="0.25">
      <c r="A858" s="9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5"/>
    </row>
    <row r="859" spans="1:36" ht="15.75" customHeight="1" x14ac:dyDescent="0.25">
      <c r="A859" s="9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5"/>
    </row>
    <row r="860" spans="1:36" ht="15.75" customHeight="1" x14ac:dyDescent="0.25">
      <c r="A860" s="9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5"/>
    </row>
    <row r="861" spans="1:36" ht="15.75" customHeight="1" x14ac:dyDescent="0.25">
      <c r="A861" s="9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5"/>
    </row>
    <row r="862" spans="1:36" ht="15.75" customHeight="1" x14ac:dyDescent="0.25">
      <c r="A862" s="9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5"/>
    </row>
    <row r="863" spans="1:36" ht="15.75" customHeight="1" x14ac:dyDescent="0.25">
      <c r="A863" s="9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5"/>
    </row>
    <row r="864" spans="1:36" ht="15.75" customHeight="1" x14ac:dyDescent="0.25">
      <c r="A864" s="9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5"/>
    </row>
    <row r="865" spans="1:36" ht="15.75" customHeight="1" x14ac:dyDescent="0.25">
      <c r="A865" s="9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5"/>
    </row>
    <row r="866" spans="1:36" ht="15.75" customHeight="1" x14ac:dyDescent="0.25">
      <c r="A866" s="9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5"/>
    </row>
    <row r="867" spans="1:36" ht="15.75" customHeight="1" x14ac:dyDescent="0.25">
      <c r="A867" s="9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5"/>
    </row>
    <row r="868" spans="1:36" ht="15.75" customHeight="1" x14ac:dyDescent="0.25">
      <c r="A868" s="9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5"/>
    </row>
    <row r="869" spans="1:36" ht="15.75" customHeight="1" x14ac:dyDescent="0.25">
      <c r="A869" s="9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5"/>
    </row>
    <row r="870" spans="1:36" ht="15.75" customHeight="1" x14ac:dyDescent="0.25">
      <c r="A870" s="9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5"/>
    </row>
    <row r="871" spans="1:36" ht="15.75" customHeight="1" x14ac:dyDescent="0.25">
      <c r="A871" s="9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5"/>
    </row>
    <row r="872" spans="1:36" ht="15.75" customHeight="1" x14ac:dyDescent="0.25">
      <c r="A872" s="9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5"/>
    </row>
    <row r="873" spans="1:36" ht="15.75" customHeight="1" x14ac:dyDescent="0.25">
      <c r="A873" s="9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5"/>
    </row>
    <row r="874" spans="1:36" ht="15.75" customHeight="1" x14ac:dyDescent="0.25">
      <c r="A874" s="9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5"/>
    </row>
    <row r="875" spans="1:36" ht="15.75" customHeight="1" x14ac:dyDescent="0.25">
      <c r="A875" s="9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5"/>
    </row>
    <row r="876" spans="1:36" ht="15.75" customHeight="1" x14ac:dyDescent="0.25">
      <c r="A876" s="9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5"/>
    </row>
    <row r="877" spans="1:36" ht="15.75" customHeight="1" x14ac:dyDescent="0.25">
      <c r="A877" s="9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5"/>
    </row>
    <row r="878" spans="1:36" ht="15.75" customHeight="1" x14ac:dyDescent="0.25">
      <c r="A878" s="9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5"/>
    </row>
    <row r="879" spans="1:36" ht="15.75" customHeight="1" x14ac:dyDescent="0.25">
      <c r="A879" s="9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5"/>
    </row>
    <row r="880" spans="1:36" ht="15.75" customHeight="1" x14ac:dyDescent="0.25">
      <c r="A880" s="9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5"/>
    </row>
    <row r="881" spans="1:36" ht="15.75" customHeight="1" x14ac:dyDescent="0.25">
      <c r="A881" s="9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5"/>
    </row>
    <row r="882" spans="1:36" ht="15.75" customHeight="1" x14ac:dyDescent="0.25">
      <c r="A882" s="9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5"/>
    </row>
    <row r="883" spans="1:36" ht="15.75" customHeight="1" x14ac:dyDescent="0.25">
      <c r="A883" s="9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5"/>
    </row>
    <row r="884" spans="1:36" ht="15.75" customHeight="1" x14ac:dyDescent="0.25">
      <c r="A884" s="9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5"/>
    </row>
    <row r="885" spans="1:36" ht="15.75" customHeight="1" x14ac:dyDescent="0.25">
      <c r="A885" s="9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5"/>
    </row>
    <row r="886" spans="1:36" ht="15.75" customHeight="1" x14ac:dyDescent="0.25">
      <c r="A886" s="9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5"/>
    </row>
    <row r="887" spans="1:36" ht="15.75" customHeight="1" x14ac:dyDescent="0.25">
      <c r="A887" s="9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5"/>
    </row>
    <row r="888" spans="1:36" ht="15.75" customHeight="1" x14ac:dyDescent="0.25">
      <c r="A888" s="9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5"/>
    </row>
    <row r="889" spans="1:36" ht="15.75" customHeight="1" x14ac:dyDescent="0.25">
      <c r="A889" s="9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5"/>
    </row>
    <row r="890" spans="1:36" ht="15.75" customHeight="1" x14ac:dyDescent="0.25">
      <c r="A890" s="9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5"/>
    </row>
    <row r="891" spans="1:36" ht="15.75" customHeight="1" x14ac:dyDescent="0.25">
      <c r="A891" s="9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5"/>
    </row>
    <row r="892" spans="1:36" ht="15.75" customHeight="1" x14ac:dyDescent="0.25">
      <c r="A892" s="9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5"/>
    </row>
    <row r="893" spans="1:36" ht="15.75" customHeight="1" x14ac:dyDescent="0.25">
      <c r="A893" s="9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5"/>
    </row>
    <row r="894" spans="1:36" ht="15.75" customHeight="1" x14ac:dyDescent="0.25">
      <c r="A894" s="9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5"/>
    </row>
    <row r="895" spans="1:36" ht="15.75" customHeight="1" x14ac:dyDescent="0.25">
      <c r="A895" s="9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5"/>
    </row>
    <row r="896" spans="1:36" ht="15.75" customHeight="1" x14ac:dyDescent="0.25">
      <c r="A896" s="9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5"/>
    </row>
    <row r="897" spans="1:36" ht="15.75" customHeight="1" x14ac:dyDescent="0.25">
      <c r="A897" s="9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5"/>
    </row>
    <row r="898" spans="1:36" ht="15.75" customHeight="1" x14ac:dyDescent="0.25">
      <c r="A898" s="9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5"/>
    </row>
    <row r="899" spans="1:36" ht="15.75" customHeight="1" x14ac:dyDescent="0.25">
      <c r="A899" s="9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5"/>
    </row>
    <row r="900" spans="1:36" ht="15.75" customHeight="1" x14ac:dyDescent="0.25">
      <c r="A900" s="9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5"/>
    </row>
    <row r="901" spans="1:36" ht="15.75" customHeight="1" x14ac:dyDescent="0.25">
      <c r="A901" s="9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5"/>
    </row>
    <row r="902" spans="1:36" ht="15.75" customHeight="1" x14ac:dyDescent="0.25">
      <c r="A902" s="9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5"/>
    </row>
    <row r="903" spans="1:36" ht="15.75" customHeight="1" x14ac:dyDescent="0.25">
      <c r="A903" s="9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5"/>
    </row>
    <row r="904" spans="1:36" ht="15.75" customHeight="1" x14ac:dyDescent="0.25">
      <c r="A904" s="9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5"/>
    </row>
    <row r="905" spans="1:36" ht="15.75" customHeight="1" x14ac:dyDescent="0.25">
      <c r="A905" s="9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5"/>
    </row>
    <row r="906" spans="1:36" ht="15.75" customHeight="1" x14ac:dyDescent="0.25">
      <c r="A906" s="9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5"/>
    </row>
    <row r="907" spans="1:36" ht="15.75" customHeight="1" x14ac:dyDescent="0.25">
      <c r="A907" s="9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5"/>
    </row>
    <row r="908" spans="1:36" ht="15.75" customHeight="1" x14ac:dyDescent="0.25">
      <c r="A908" s="9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5"/>
    </row>
    <row r="909" spans="1:36" ht="15.75" customHeight="1" x14ac:dyDescent="0.25">
      <c r="A909" s="9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5"/>
    </row>
    <row r="910" spans="1:36" ht="15.75" customHeight="1" x14ac:dyDescent="0.25">
      <c r="A910" s="9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5"/>
    </row>
    <row r="911" spans="1:36" ht="15.75" customHeight="1" x14ac:dyDescent="0.25">
      <c r="A911" s="9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5"/>
    </row>
    <row r="912" spans="1:36" ht="15.75" customHeight="1" x14ac:dyDescent="0.25">
      <c r="A912" s="9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5"/>
    </row>
    <row r="913" spans="1:36" ht="15.75" customHeight="1" x14ac:dyDescent="0.25">
      <c r="A913" s="9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5"/>
    </row>
    <row r="914" spans="1:36" ht="15.75" customHeight="1" x14ac:dyDescent="0.25">
      <c r="A914" s="9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5"/>
    </row>
    <row r="915" spans="1:36" ht="15.75" customHeight="1" x14ac:dyDescent="0.25">
      <c r="A915" s="9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5"/>
    </row>
    <row r="916" spans="1:36" ht="15.75" customHeight="1" x14ac:dyDescent="0.25">
      <c r="A916" s="9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5"/>
    </row>
    <row r="917" spans="1:36" ht="15.75" customHeight="1" x14ac:dyDescent="0.25">
      <c r="A917" s="9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5"/>
    </row>
    <row r="918" spans="1:36" ht="15.75" customHeight="1" x14ac:dyDescent="0.25">
      <c r="A918" s="9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5"/>
    </row>
    <row r="919" spans="1:36" ht="15.75" customHeight="1" x14ac:dyDescent="0.25">
      <c r="A919" s="9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5"/>
    </row>
    <row r="920" spans="1:36" ht="15.75" customHeight="1" x14ac:dyDescent="0.25">
      <c r="A920" s="9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5"/>
    </row>
    <row r="921" spans="1:36" ht="15.75" customHeight="1" x14ac:dyDescent="0.25">
      <c r="A921" s="9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5"/>
    </row>
    <row r="922" spans="1:36" ht="15.75" customHeight="1" x14ac:dyDescent="0.25">
      <c r="A922" s="9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5"/>
    </row>
    <row r="923" spans="1:36" ht="15.75" customHeight="1" x14ac:dyDescent="0.25">
      <c r="A923" s="9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5"/>
    </row>
    <row r="924" spans="1:36" ht="15.75" customHeight="1" x14ac:dyDescent="0.25">
      <c r="A924" s="9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5"/>
    </row>
    <row r="925" spans="1:36" ht="15.75" customHeight="1" x14ac:dyDescent="0.25">
      <c r="A925" s="9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5"/>
    </row>
    <row r="926" spans="1:36" ht="15.75" customHeight="1" x14ac:dyDescent="0.25">
      <c r="A926" s="9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5"/>
    </row>
    <row r="927" spans="1:36" ht="15.75" customHeight="1" x14ac:dyDescent="0.25">
      <c r="A927" s="9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5"/>
    </row>
    <row r="928" spans="1:36" ht="15.75" customHeight="1" x14ac:dyDescent="0.25">
      <c r="A928" s="9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5"/>
    </row>
    <row r="929" spans="1:36" ht="15.75" customHeight="1" x14ac:dyDescent="0.25">
      <c r="A929" s="9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5"/>
    </row>
    <row r="930" spans="1:36" ht="15.75" customHeight="1" x14ac:dyDescent="0.25">
      <c r="A930" s="9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5"/>
    </row>
    <row r="931" spans="1:36" ht="15.75" customHeight="1" x14ac:dyDescent="0.25">
      <c r="A931" s="9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5"/>
    </row>
    <row r="932" spans="1:36" ht="15.75" customHeight="1" x14ac:dyDescent="0.25">
      <c r="A932" s="9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5"/>
    </row>
    <row r="933" spans="1:36" ht="15.75" customHeight="1" x14ac:dyDescent="0.25">
      <c r="A933" s="9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5"/>
    </row>
    <row r="934" spans="1:36" ht="15.75" customHeight="1" x14ac:dyDescent="0.25">
      <c r="A934" s="9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5"/>
    </row>
    <row r="935" spans="1:36" ht="15.75" customHeight="1" x14ac:dyDescent="0.25">
      <c r="A935" s="9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5"/>
    </row>
    <row r="936" spans="1:36" ht="15.75" customHeight="1" x14ac:dyDescent="0.25">
      <c r="A936" s="9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5"/>
    </row>
    <row r="937" spans="1:36" ht="15.75" customHeight="1" x14ac:dyDescent="0.25">
      <c r="A937" s="9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5"/>
    </row>
    <row r="938" spans="1:36" ht="15.75" customHeight="1" x14ac:dyDescent="0.25">
      <c r="A938" s="9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5"/>
    </row>
    <row r="939" spans="1:36" ht="15.75" customHeight="1" x14ac:dyDescent="0.25">
      <c r="A939" s="9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5"/>
    </row>
    <row r="940" spans="1:36" ht="15.75" customHeight="1" x14ac:dyDescent="0.25">
      <c r="A940" s="9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5"/>
    </row>
    <row r="941" spans="1:36" ht="15.75" customHeight="1" x14ac:dyDescent="0.25">
      <c r="A941" s="9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5"/>
    </row>
    <row r="942" spans="1:36" ht="15.75" customHeight="1" x14ac:dyDescent="0.25">
      <c r="A942" s="9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5"/>
    </row>
    <row r="943" spans="1:36" ht="15.75" customHeight="1" x14ac:dyDescent="0.25">
      <c r="A943" s="9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5"/>
    </row>
    <row r="944" spans="1:36" ht="15.75" customHeight="1" x14ac:dyDescent="0.25">
      <c r="A944" s="9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5"/>
    </row>
    <row r="945" spans="1:36" ht="15.75" customHeight="1" x14ac:dyDescent="0.25">
      <c r="A945" s="9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5"/>
    </row>
    <row r="946" spans="1:36" ht="15.75" customHeight="1" x14ac:dyDescent="0.25">
      <c r="A946" s="9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5"/>
    </row>
    <row r="947" spans="1:36" ht="15.75" customHeight="1" x14ac:dyDescent="0.25">
      <c r="A947" s="9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5"/>
    </row>
    <row r="948" spans="1:36" ht="15.75" customHeight="1" x14ac:dyDescent="0.25">
      <c r="A948" s="9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5"/>
    </row>
    <row r="949" spans="1:36" ht="15.75" customHeight="1" x14ac:dyDescent="0.25">
      <c r="A949" s="9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5"/>
    </row>
    <row r="950" spans="1:36" ht="15.75" customHeight="1" x14ac:dyDescent="0.25">
      <c r="A950" s="9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5"/>
    </row>
    <row r="951" spans="1:36" ht="15.75" customHeight="1" x14ac:dyDescent="0.25">
      <c r="A951" s="9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5"/>
    </row>
    <row r="952" spans="1:36" ht="15.75" customHeight="1" x14ac:dyDescent="0.25">
      <c r="A952" s="9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5"/>
    </row>
    <row r="953" spans="1:36" ht="15.75" customHeight="1" x14ac:dyDescent="0.25">
      <c r="A953" s="9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5"/>
    </row>
    <row r="954" spans="1:36" ht="15.75" customHeight="1" x14ac:dyDescent="0.25">
      <c r="A954" s="9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5"/>
    </row>
    <row r="955" spans="1:36" ht="15.75" customHeight="1" x14ac:dyDescent="0.25">
      <c r="A955" s="9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5"/>
    </row>
    <row r="956" spans="1:36" ht="15.75" customHeight="1" x14ac:dyDescent="0.25">
      <c r="A956" s="9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5"/>
    </row>
    <row r="957" spans="1:36" ht="15.75" customHeight="1" x14ac:dyDescent="0.25">
      <c r="A957" s="9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5"/>
    </row>
    <row r="958" spans="1:36" ht="15.75" customHeight="1" x14ac:dyDescent="0.25">
      <c r="A958" s="9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5"/>
    </row>
    <row r="959" spans="1:36" ht="15.75" customHeight="1" x14ac:dyDescent="0.25">
      <c r="A959" s="9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5"/>
    </row>
    <row r="960" spans="1:36" ht="15.75" customHeight="1" x14ac:dyDescent="0.25">
      <c r="A960" s="9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5"/>
    </row>
    <row r="961" spans="1:36" ht="15.75" customHeight="1" x14ac:dyDescent="0.25">
      <c r="A961" s="9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5"/>
    </row>
    <row r="962" spans="1:36" ht="15.75" customHeight="1" x14ac:dyDescent="0.25">
      <c r="A962" s="9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5"/>
    </row>
    <row r="963" spans="1:36" ht="15.75" customHeight="1" x14ac:dyDescent="0.25">
      <c r="A963" s="9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5"/>
    </row>
    <row r="964" spans="1:36" ht="15.75" customHeight="1" x14ac:dyDescent="0.25">
      <c r="A964" s="9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5"/>
    </row>
    <row r="965" spans="1:36" ht="15.75" customHeight="1" x14ac:dyDescent="0.25">
      <c r="A965" s="9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5"/>
    </row>
    <row r="966" spans="1:36" ht="15.75" customHeight="1" x14ac:dyDescent="0.25">
      <c r="A966" s="9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5"/>
    </row>
    <row r="967" spans="1:36" ht="15.75" customHeight="1" x14ac:dyDescent="0.25">
      <c r="A967" s="9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5"/>
    </row>
    <row r="968" spans="1:36" ht="15.75" customHeight="1" x14ac:dyDescent="0.25">
      <c r="A968" s="9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5"/>
    </row>
    <row r="969" spans="1:36" ht="15.75" customHeight="1" x14ac:dyDescent="0.25">
      <c r="A969" s="9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5"/>
    </row>
    <row r="970" spans="1:36" ht="15.75" customHeight="1" x14ac:dyDescent="0.25">
      <c r="A970" s="9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5"/>
    </row>
    <row r="971" spans="1:36" ht="15.75" customHeight="1" x14ac:dyDescent="0.25">
      <c r="A971" s="9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5"/>
    </row>
    <row r="972" spans="1:36" ht="15.75" customHeight="1" x14ac:dyDescent="0.25">
      <c r="A972" s="9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5"/>
    </row>
    <row r="973" spans="1:36" ht="15.75" customHeight="1" x14ac:dyDescent="0.25">
      <c r="A973" s="9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5"/>
    </row>
    <row r="974" spans="1:36" ht="15.75" customHeight="1" x14ac:dyDescent="0.25">
      <c r="A974" s="9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5"/>
    </row>
    <row r="975" spans="1:36" ht="15.75" customHeight="1" x14ac:dyDescent="0.25">
      <c r="A975" s="9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5"/>
    </row>
    <row r="976" spans="1:36" ht="15.75" customHeight="1" x14ac:dyDescent="0.25">
      <c r="A976" s="9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5"/>
    </row>
    <row r="977" spans="1:36" ht="15.75" customHeight="1" x14ac:dyDescent="0.25">
      <c r="A977" s="9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5"/>
    </row>
    <row r="978" spans="1:36" ht="15.75" customHeight="1" x14ac:dyDescent="0.25">
      <c r="A978" s="9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5"/>
    </row>
    <row r="979" spans="1:36" ht="15.75" customHeight="1" x14ac:dyDescent="0.25">
      <c r="A979" s="9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5"/>
    </row>
    <row r="980" spans="1:36" ht="15.75" customHeight="1" x14ac:dyDescent="0.25">
      <c r="A980" s="9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5"/>
    </row>
    <row r="981" spans="1:36" ht="15.75" customHeight="1" x14ac:dyDescent="0.25">
      <c r="A981" s="9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5"/>
    </row>
    <row r="982" spans="1:36" ht="15.75" customHeight="1" x14ac:dyDescent="0.25">
      <c r="A982" s="9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5"/>
    </row>
    <row r="983" spans="1:36" ht="15.75" customHeight="1" x14ac:dyDescent="0.25">
      <c r="A983" s="9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5"/>
    </row>
    <row r="984" spans="1:36" ht="15.75" customHeight="1" x14ac:dyDescent="0.25">
      <c r="A984" s="9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5"/>
    </row>
    <row r="985" spans="1:36" ht="15.75" customHeight="1" x14ac:dyDescent="0.25">
      <c r="A985" s="9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5"/>
    </row>
    <row r="986" spans="1:36" ht="15.75" customHeight="1" x14ac:dyDescent="0.25">
      <c r="A986" s="9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5"/>
    </row>
    <row r="987" spans="1:36" ht="15.75" customHeight="1" x14ac:dyDescent="0.25">
      <c r="A987" s="9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5"/>
    </row>
    <row r="988" spans="1:36" ht="15.75" customHeight="1" x14ac:dyDescent="0.25">
      <c r="A988" s="9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5"/>
    </row>
    <row r="989" spans="1:36" ht="15.75" customHeight="1" x14ac:dyDescent="0.25">
      <c r="A989" s="9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5"/>
    </row>
    <row r="990" spans="1:36" ht="15.75" customHeight="1" x14ac:dyDescent="0.25">
      <c r="A990" s="9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5"/>
    </row>
    <row r="991" spans="1:36" ht="15.75" customHeight="1" x14ac:dyDescent="0.25">
      <c r="A991" s="9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5"/>
    </row>
    <row r="992" spans="1:36" ht="15.75" customHeight="1" x14ac:dyDescent="0.25">
      <c r="A992" s="9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5"/>
    </row>
    <row r="993" spans="1:36" ht="15.75" customHeight="1" x14ac:dyDescent="0.25">
      <c r="A993" s="9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5"/>
    </row>
    <row r="994" spans="1:36" ht="15.75" customHeight="1" x14ac:dyDescent="0.25">
      <c r="A994" s="9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5"/>
    </row>
    <row r="995" spans="1:36" ht="15.75" customHeight="1" x14ac:dyDescent="0.25">
      <c r="A995" s="9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5"/>
    </row>
    <row r="996" spans="1:36" ht="15.75" customHeight="1" x14ac:dyDescent="0.25">
      <c r="A996" s="9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5"/>
    </row>
    <row r="997" spans="1:36" ht="15.75" customHeight="1" x14ac:dyDescent="0.25">
      <c r="A997" s="9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5"/>
    </row>
    <row r="998" spans="1:36" ht="15.75" customHeight="1" x14ac:dyDescent="0.25">
      <c r="A998" s="9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5"/>
    </row>
    <row r="999" spans="1:36" ht="15.75" customHeight="1" x14ac:dyDescent="0.25">
      <c r="A999" s="9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5"/>
    </row>
    <row r="1000" spans="1:36" ht="15.75" customHeight="1" x14ac:dyDescent="0.25">
      <c r="A1000" s="9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5"/>
    </row>
    <row r="1001" spans="1:36" ht="15.75" customHeight="1" x14ac:dyDescent="0.25">
      <c r="A1001" s="9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5"/>
    </row>
    <row r="1002" spans="1:36" ht="15.75" customHeight="1" x14ac:dyDescent="0.25">
      <c r="A1002" s="11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3"/>
    </row>
  </sheetData>
  <mergeCells count="39">
    <mergeCell ref="A24:B24"/>
    <mergeCell ref="D23:J23"/>
    <mergeCell ref="D24:J24"/>
    <mergeCell ref="D22:J22"/>
    <mergeCell ref="A22:B22"/>
    <mergeCell ref="A23:B23"/>
    <mergeCell ref="A19:B19"/>
    <mergeCell ref="C11:F11"/>
    <mergeCell ref="A18:B18"/>
    <mergeCell ref="A1:I2"/>
    <mergeCell ref="K6:M6"/>
    <mergeCell ref="A17:B17"/>
    <mergeCell ref="C9:F9"/>
    <mergeCell ref="A9:B9"/>
    <mergeCell ref="A16:B16"/>
    <mergeCell ref="A12:B12"/>
    <mergeCell ref="A11:B11"/>
    <mergeCell ref="A20:F20"/>
    <mergeCell ref="C12:F12"/>
    <mergeCell ref="A15:B15"/>
    <mergeCell ref="C7:F7"/>
    <mergeCell ref="A7:B7"/>
    <mergeCell ref="C18:F18"/>
    <mergeCell ref="C8:F8"/>
    <mergeCell ref="A8:B8"/>
    <mergeCell ref="C19:F19"/>
    <mergeCell ref="C17:F17"/>
    <mergeCell ref="C16:F16"/>
    <mergeCell ref="C15:F15"/>
    <mergeCell ref="C14:F14"/>
    <mergeCell ref="C13:F13"/>
    <mergeCell ref="A14:B14"/>
    <mergeCell ref="C6:F6"/>
    <mergeCell ref="A6:B6"/>
    <mergeCell ref="A5:B5"/>
    <mergeCell ref="A13:B13"/>
    <mergeCell ref="C5:F5"/>
    <mergeCell ref="C10:F10"/>
    <mergeCell ref="A10:B10"/>
  </mergeCells>
  <conditionalFormatting sqref="I20">
    <cfRule type="cellIs" dxfId="0" priority="1" operator="greaterThan">
      <formula>0.8</formula>
    </cfRule>
  </conditionalFormatting>
  <dataValidations count="11">
    <dataValidation type="list" allowBlank="1" showInputMessage="1" showErrorMessage="1" sqref="C5:F7 C9:F10">
      <formula1>$O$4:$O$7</formula1>
    </dataValidation>
    <dataValidation type="list" allowBlank="1" showInputMessage="1" showErrorMessage="1" sqref="C8:F8">
      <formula1>$O$8:$O$10</formula1>
    </dataValidation>
    <dataValidation type="list" allowBlank="1" showInputMessage="1" showErrorMessage="1" sqref="C11:F11">
      <formula1>$O$11:$O$14</formula1>
    </dataValidation>
    <dataValidation type="list" allowBlank="1" showInputMessage="1" showErrorMessage="1" sqref="H12 C12:F12">
      <formula1>$O$15:$O$17</formula1>
    </dataValidation>
    <dataValidation type="list" allowBlank="1" showInputMessage="1" showErrorMessage="1" sqref="C13:F13">
      <formula1>$O$18:$O$22</formula1>
    </dataValidation>
    <dataValidation type="list" allowBlank="1" showInputMessage="1" showErrorMessage="1" sqref="C15:F15">
      <formula1>$O$23:$O$25</formula1>
    </dataValidation>
    <dataValidation type="list" allowBlank="1" showInputMessage="1" showErrorMessage="1" sqref="C14:F14">
      <formula1>$O$26:$O$27</formula1>
    </dataValidation>
    <dataValidation type="list" allowBlank="1" showInputMessage="1" showErrorMessage="1" sqref="C16:F16">
      <formula1>$O$28:$O$30</formula1>
    </dataValidation>
    <dataValidation type="list" allowBlank="1" showInputMessage="1" showErrorMessage="1" sqref="C19:F19">
      <formula1>$O$31:$O$32</formula1>
    </dataValidation>
    <dataValidation type="list" allowBlank="1" showInputMessage="1" showErrorMessage="1" sqref="C17:F17">
      <formula1>$O$33:$O$35</formula1>
    </dataValidation>
    <dataValidation type="list" allowBlank="1" showInputMessage="1" showErrorMessage="1" sqref="C18:F18">
      <formula1>$O$36:$O$38</formula1>
    </dataValidation>
  </dataValidations>
  <hyperlinks>
    <hyperlink ref="D24" r:id="rId1"/>
  </hyperlinks>
  <pageMargins left="0.7" right="0.7" top="0.75" bottom="0.75" header="0" footer="0"/>
  <pageSetup orientation="portrait" r:id="rId2"/>
  <headerFooter>
    <oddFooter>&amp;C&amp;"Helvetica,Regular"&amp;12&amp;K000000&amp;P</oddFooter>
  </headerFooter>
  <drawing r:id="rId3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SELECCION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A</dc:creator>
  <cp:lastModifiedBy>Usuario</cp:lastModifiedBy>
  <dcterms:created xsi:type="dcterms:W3CDTF">2022-06-30T20:13:34Z</dcterms:created>
  <dcterms:modified xsi:type="dcterms:W3CDTF">2022-08-11T16:00:26Z</dcterms:modified>
</cp:coreProperties>
</file>