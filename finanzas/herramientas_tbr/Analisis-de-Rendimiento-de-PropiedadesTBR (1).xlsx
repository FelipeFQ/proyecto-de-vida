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ris\Downloads\"/>
    </mc:Choice>
  </mc:AlternateContent>
  <xr:revisionPtr revIDLastSave="0" documentId="13_ncr:1_{86538404-2CA3-4EB4-9283-1571356FF3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ÁLISIS DE PROPIEDADES" sheetId="1" r:id="rId1"/>
  </sheets>
  <externalReferences>
    <externalReference r:id="rId2"/>
  </externalReferences>
  <definedNames>
    <definedName name="Administracion">#REF!</definedName>
    <definedName name="Contabilidad_y_Juridico">#REF!</definedName>
    <definedName name="Costo_de_Asociación_Mensual">#REF!</definedName>
    <definedName name="Costo_de_Utilidades">#REF!</definedName>
    <definedName name="Enganche">#REF!</definedName>
    <definedName name="Expresion_Tasa">[1]Tablas!$A$5:$B$9</definedName>
    <definedName name="Gastos_de_Cierre">#REF!</definedName>
    <definedName name="Impuestos_Anuales">#REF!</definedName>
    <definedName name="Impuestos_Mensuales">#REF!</definedName>
    <definedName name="Lista_1">[1]Tablas!$A$5:$A$9</definedName>
    <definedName name="Mantenimiendo">#REF!</definedName>
    <definedName name="Oferta">#REF!</definedName>
    <definedName name="Pago_Mensual">#REF!</definedName>
    <definedName name="Plazo_de_Prestamo">#REF!</definedName>
    <definedName name="PMI">#REF!</definedName>
    <definedName name="Precio_Propiedad">#REF!</definedName>
    <definedName name="Renta_Mensual">#REF!</definedName>
    <definedName name="Renta_Neta">#REF!</definedName>
    <definedName name="Reparaciones">#REF!</definedName>
    <definedName name="Retorno_Ideal">#REF!</definedName>
    <definedName name="Seguro_Inmueble">#REF!</definedName>
    <definedName name="Tasa_Annual">#REF!</definedName>
    <definedName name="Vacanci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wSxkLOhSIWPmPmeXAwCtiL7lHgg=="/>
    </ext>
  </extLst>
</workbook>
</file>

<file path=xl/calcChain.xml><?xml version="1.0" encoding="utf-8"?>
<calcChain xmlns="http://schemas.openxmlformats.org/spreadsheetml/2006/main">
  <c r="H13" i="1" l="1"/>
  <c r="H24" i="1" s="1"/>
  <c r="H22" i="1"/>
  <c r="D30" i="1"/>
  <c r="H6" i="1" s="1"/>
  <c r="D12" i="1"/>
  <c r="H5" i="1" l="1"/>
  <c r="H7" i="1" s="1"/>
  <c r="H9" i="1" s="1"/>
  <c r="H23" i="1" l="1"/>
  <c r="H25" i="1" l="1"/>
  <c r="H29" i="1" s="1"/>
</calcChain>
</file>

<file path=xl/sharedStrings.xml><?xml version="1.0" encoding="utf-8"?>
<sst xmlns="http://schemas.openxmlformats.org/spreadsheetml/2006/main" count="56" uniqueCount="50">
  <si>
    <t>INGRESOS MENSUALES</t>
  </si>
  <si>
    <t>FLUJO DE EFECTIVO</t>
  </si>
  <si>
    <t>Ingreso por arrendamiento o alquiler</t>
  </si>
  <si>
    <t>Total ingresos mensuales</t>
  </si>
  <si>
    <t>Ingreso por parqueaderos/estacionamiento</t>
  </si>
  <si>
    <t>Total egresos mensuales</t>
  </si>
  <si>
    <t>Ingreso por depósitos o bodegas</t>
  </si>
  <si>
    <t>Flujo de efectivo mensual</t>
  </si>
  <si>
    <t>Ingreso por lavandería</t>
  </si>
  <si>
    <t>X 12</t>
  </si>
  <si>
    <t>Otros 1</t>
  </si>
  <si>
    <t>FLUJO DE EFECTIVO ANUAL</t>
  </si>
  <si>
    <t>Otros 2</t>
  </si>
  <si>
    <t>OTROS RETORNOS DE CAPITAL</t>
  </si>
  <si>
    <t>Otros 3</t>
  </si>
  <si>
    <t>Valorización anual estimada</t>
  </si>
  <si>
    <t>TOTAL INGRESOS MENSUALES</t>
  </si>
  <si>
    <t>Amortización de la deuda anual</t>
  </si>
  <si>
    <t>EGRESOS MENSUALES</t>
  </si>
  <si>
    <t>OTROS RETORNOS DE CAPITAL ANUALES</t>
  </si>
  <si>
    <t>Hipoteca</t>
  </si>
  <si>
    <t>Impuestos (1/12)</t>
  </si>
  <si>
    <t>Cuota inicial</t>
  </si>
  <si>
    <t>Seguro de arrendamiento (1/12)</t>
  </si>
  <si>
    <t>Costos de cierre (compra - venta)</t>
  </si>
  <si>
    <t>Administración (HOA)</t>
  </si>
  <si>
    <t>Presupuesto de remodelación</t>
  </si>
  <si>
    <t>Agua</t>
  </si>
  <si>
    <t>Costos de la vacancia inicial</t>
  </si>
  <si>
    <t>Electricidad</t>
  </si>
  <si>
    <t>Gas</t>
  </si>
  <si>
    <t>Internet</t>
  </si>
  <si>
    <t>Provisión reparaciones menores (5%)</t>
  </si>
  <si>
    <t>TOTAL DE LA INVERSIÓN</t>
  </si>
  <si>
    <t>Provisión reparaciones mayores (5%)</t>
  </si>
  <si>
    <t>Flujo de efectivo anual</t>
  </si>
  <si>
    <t>Servicios inmobiliarios (10%)</t>
  </si>
  <si>
    <t>Otros retornos de capital anuales</t>
  </si>
  <si>
    <t>Publicidad</t>
  </si>
  <si>
    <t>TOTAL RETORNO DE CAPITAL ANUAL</t>
  </si>
  <si>
    <t>Vacancia (5%)</t>
  </si>
  <si>
    <t>TOTAL EGRESOS MENSUALES</t>
  </si>
  <si>
    <t>RENTABILIDAD DE LA INVERSIÓN</t>
  </si>
  <si>
    <t>TASA DE RENTABILIDAD DE LA INVERSIÓN ANUAL &gt;</t>
  </si>
  <si>
    <t>VARIABLES A CAMBIAR</t>
  </si>
  <si>
    <t>CELDAS CON FÓRMULAS NO SE CAMBIAN</t>
  </si>
  <si>
    <t>RESULTADOS IMPORTANTES NO SE CAMBIAN</t>
  </si>
  <si>
    <t>SI TIENES ALGUN INCONVENIENTE CONTACTA A :</t>
  </si>
  <si>
    <r>
      <t xml:space="preserve">MÁS INFORMACIÓN: </t>
    </r>
    <r>
      <rPr>
        <sz val="9"/>
        <color theme="0"/>
        <rFont val="Montserrat"/>
      </rPr>
      <t>www.carlosdevis.com</t>
    </r>
  </si>
  <si>
    <t>soporte@carlosdevis.com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</si>
</sst>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#,##0&quot; &quot;;&quot;-&quot;#,##0&quot; &quot;"/>
  </numFmts>
  <fonts count="17">
    <font>
      <sz val="11"/>
      <color rgb="FF000000"/>
      <name val="Helvetica Neue"/>
      <scheme val="minor"/>
    </font>
    <font>
      <sz val="11"/>
      <color rgb="FF000000"/>
      <name val="Calibri"/>
      <family val="2"/>
    </font>
    <font>
      <sz val="11"/>
      <color indexed="8"/>
      <name val="Arial"/>
      <family val="2"/>
    </font>
    <font>
      <sz val="10"/>
      <color rgb="FF000000"/>
      <name val="Montserrat"/>
    </font>
    <font>
      <sz val="11"/>
      <name val="Montserrat"/>
    </font>
    <font>
      <b/>
      <sz val="9"/>
      <color rgb="FFFFFFFF"/>
      <name val="Montserrat"/>
    </font>
    <font>
      <b/>
      <sz val="10"/>
      <color theme="0"/>
      <name val="Montserrat"/>
    </font>
    <font>
      <sz val="11"/>
      <color theme="0"/>
      <name val="Montserrat"/>
    </font>
    <font>
      <b/>
      <sz val="10"/>
      <color rgb="FFFFFFFF"/>
      <name val="Montserrat"/>
    </font>
    <font>
      <b/>
      <sz val="11"/>
      <name val="Montserrat"/>
    </font>
    <font>
      <b/>
      <sz val="8"/>
      <color indexed="8"/>
      <name val="Montserrat"/>
    </font>
    <font>
      <b/>
      <sz val="9"/>
      <color theme="0"/>
      <name val="Montserrat"/>
    </font>
    <font>
      <b/>
      <sz val="8"/>
      <color theme="0"/>
      <name val="Montserrat"/>
    </font>
    <font>
      <u/>
      <sz val="10"/>
      <color theme="10"/>
      <name val="Arial"/>
      <family val="2"/>
    </font>
    <font>
      <b/>
      <sz val="11"/>
      <color theme="0"/>
      <name val="Montserrat"/>
    </font>
    <font>
      <b/>
      <u/>
      <sz val="11"/>
      <color theme="0"/>
      <name val="Montserrat"/>
    </font>
    <font>
      <sz val="9"/>
      <color theme="0"/>
      <name val="Montserrat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E4470"/>
        <bgColor rgb="FF000000"/>
      </patternFill>
    </fill>
    <fill>
      <patternFill patternType="solid">
        <fgColor rgb="FF0E4470"/>
        <bgColor indexed="64"/>
      </patternFill>
    </fill>
    <fill>
      <patternFill patternType="solid">
        <fgColor rgb="FFABE2FF"/>
        <bgColor rgb="FFFFFFFF"/>
      </patternFill>
    </fill>
    <fill>
      <patternFill patternType="solid">
        <fgColor rgb="FFABE2FF"/>
        <bgColor theme="0"/>
      </patternFill>
    </fill>
    <fill>
      <patternFill patternType="solid">
        <fgColor rgb="FF2A8CCB"/>
        <bgColor rgb="FFFFFFFF"/>
      </patternFill>
    </fill>
    <fill>
      <patternFill patternType="solid">
        <fgColor rgb="FF1A9AA7"/>
        <bgColor rgb="FFD8D8D8"/>
      </patternFill>
    </fill>
    <fill>
      <patternFill patternType="solid">
        <fgColor rgb="FF1A9AA7"/>
        <bgColor indexed="64"/>
      </patternFill>
    </fill>
    <fill>
      <patternFill patternType="solid">
        <fgColor rgb="FF1A9AA7"/>
        <bgColor rgb="FF00B050"/>
      </patternFill>
    </fill>
    <fill>
      <patternFill patternType="solid">
        <fgColor rgb="FFABE2FF"/>
        <bgColor indexed="64"/>
      </patternFill>
    </fill>
    <fill>
      <patternFill patternType="solid">
        <fgColor rgb="FF2A8CCB"/>
        <bgColor indexed="64"/>
      </patternFill>
    </fill>
    <fill>
      <patternFill patternType="solid">
        <fgColor rgb="FF02A29A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11"/>
      </left>
      <right/>
      <top/>
      <bottom/>
      <diagonal/>
    </border>
  </borders>
  <cellStyleXfs count="5">
    <xf numFmtId="0" fontId="0" fillId="0" borderId="0"/>
    <xf numFmtId="0" fontId="2" fillId="0" borderId="8" applyNumberFormat="0" applyFill="0" applyBorder="0" applyProtection="0"/>
    <xf numFmtId="164" fontId="2" fillId="0" borderId="8" applyFont="0" applyFill="0" applyBorder="0" applyAlignment="0" applyProtection="0"/>
    <xf numFmtId="0" fontId="2" fillId="0" borderId="8" applyNumberFormat="0" applyFill="0" applyBorder="0" applyProtection="0"/>
    <xf numFmtId="0" fontId="13" fillId="0" borderId="8" applyNumberFormat="0" applyFill="0" applyBorder="0" applyAlignment="0" applyProtection="0"/>
  </cellStyleXfs>
  <cellXfs count="45">
    <xf numFmtId="0" fontId="0" fillId="0" borderId="0" xfId="0" applyFont="1" applyAlignment="1"/>
    <xf numFmtId="0" fontId="1" fillId="0" borderId="0" xfId="0" applyFont="1" applyAlignment="1"/>
    <xf numFmtId="49" fontId="3" fillId="2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165" fontId="3" fillId="7" borderId="2" xfId="0" applyNumberFormat="1" applyFont="1" applyFill="1" applyBorder="1" applyAlignment="1">
      <alignment horizontal="center" vertical="center"/>
    </xf>
    <xf numFmtId="165" fontId="3" fillId="8" borderId="2" xfId="0" applyNumberFormat="1" applyFont="1" applyFill="1" applyBorder="1" applyAlignment="1">
      <alignment horizontal="center" vertical="center"/>
    </xf>
    <xf numFmtId="165" fontId="6" fillId="9" borderId="2" xfId="0" applyNumberFormat="1" applyFont="1" applyFill="1" applyBorder="1" applyAlignment="1">
      <alignment horizontal="center" vertical="center"/>
    </xf>
    <xf numFmtId="0" fontId="10" fillId="0" borderId="8" xfId="3" applyNumberFormat="1" applyFont="1" applyFill="1" applyBorder="1" applyAlignment="1">
      <alignment vertical="center"/>
    </xf>
    <xf numFmtId="0" fontId="12" fillId="0" borderId="8" xfId="3" applyNumberFormat="1" applyFont="1" applyFill="1" applyBorder="1" applyAlignment="1">
      <alignment vertical="center"/>
    </xf>
    <xf numFmtId="0" fontId="15" fillId="0" borderId="8" xfId="4" applyFont="1" applyFill="1" applyBorder="1" applyAlignment="1"/>
    <xf numFmtId="0" fontId="11" fillId="0" borderId="8" xfId="4" applyFont="1" applyFill="1" applyAlignment="1"/>
    <xf numFmtId="0" fontId="14" fillId="0" borderId="8" xfId="4" applyFont="1" applyFill="1" applyAlignment="1"/>
    <xf numFmtId="0" fontId="0" fillId="0" borderId="0" xfId="0" applyFont="1" applyFill="1" applyAlignment="1"/>
    <xf numFmtId="0" fontId="1" fillId="0" borderId="0" xfId="0" applyFont="1" applyFill="1" applyAlignment="1"/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0" fontId="12" fillId="10" borderId="13" xfId="3" applyNumberFormat="1" applyFont="1" applyFill="1" applyBorder="1" applyAlignment="1">
      <alignment horizontal="center" vertical="center"/>
    </xf>
    <xf numFmtId="0" fontId="12" fillId="10" borderId="8" xfId="3" applyNumberFormat="1" applyFont="1" applyFill="1" applyBorder="1" applyAlignment="1">
      <alignment horizontal="center" vertical="center"/>
    </xf>
    <xf numFmtId="0" fontId="11" fillId="14" borderId="8" xfId="4" applyFont="1" applyFill="1" applyBorder="1" applyAlignment="1">
      <alignment horizontal="center"/>
    </xf>
    <xf numFmtId="0" fontId="11" fillId="5" borderId="8" xfId="4" applyFont="1" applyFill="1" applyAlignment="1">
      <alignment horizontal="center"/>
    </xf>
    <xf numFmtId="0" fontId="0" fillId="0" borderId="0" xfId="0" applyFont="1" applyAlignment="1">
      <alignment horizontal="center"/>
    </xf>
    <xf numFmtId="0" fontId="10" fillId="12" borderId="13" xfId="3" applyNumberFormat="1" applyFont="1" applyFill="1" applyBorder="1" applyAlignment="1">
      <alignment horizontal="center" vertical="center"/>
    </xf>
    <xf numFmtId="0" fontId="10" fillId="12" borderId="8" xfId="3" applyNumberFormat="1" applyFont="1" applyFill="1" applyBorder="1" applyAlignment="1">
      <alignment horizontal="center" vertical="center"/>
    </xf>
    <xf numFmtId="0" fontId="10" fillId="13" borderId="13" xfId="3" applyNumberFormat="1" applyFont="1" applyFill="1" applyBorder="1" applyAlignment="1">
      <alignment horizontal="center" vertical="center"/>
    </xf>
    <xf numFmtId="0" fontId="10" fillId="13" borderId="8" xfId="3" applyNumberFormat="1" applyFont="1" applyFill="1" applyBorder="1" applyAlignment="1">
      <alignment horizontal="center" vertical="center"/>
    </xf>
    <xf numFmtId="49" fontId="5" fillId="11" borderId="7" xfId="0" applyNumberFormat="1" applyFont="1" applyFill="1" applyBorder="1" applyAlignment="1">
      <alignment horizontal="center" vertical="center"/>
    </xf>
    <xf numFmtId="0" fontId="4" fillId="10" borderId="8" xfId="0" applyFont="1" applyFill="1" applyBorder="1"/>
    <xf numFmtId="0" fontId="4" fillId="10" borderId="10" xfId="0" applyFont="1" applyFill="1" applyBorder="1"/>
    <xf numFmtId="0" fontId="4" fillId="10" borderId="11" xfId="0" applyFont="1" applyFill="1" applyBorder="1"/>
    <xf numFmtId="10" fontId="8" fillId="11" borderId="9" xfId="0" applyNumberFormat="1" applyFont="1" applyFill="1" applyBorder="1" applyAlignment="1">
      <alignment horizontal="center" vertical="center"/>
    </xf>
    <xf numFmtId="0" fontId="9" fillId="10" borderId="12" xfId="0" applyFont="1" applyFill="1" applyBorder="1"/>
    <xf numFmtId="49" fontId="6" fillId="10" borderId="1" xfId="0" applyNumberFormat="1" applyFont="1" applyFill="1" applyBorder="1" applyAlignment="1">
      <alignment horizontal="left" vertical="center"/>
    </xf>
    <xf numFmtId="0" fontId="7" fillId="10" borderId="3" xfId="0" applyFont="1" applyFill="1" applyBorder="1"/>
    <xf numFmtId="0" fontId="7" fillId="10" borderId="4" xfId="0" applyFont="1" applyFill="1" applyBorder="1"/>
    <xf numFmtId="49" fontId="3" fillId="2" borderId="1" xfId="0" applyNumberFormat="1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49" fontId="6" fillId="4" borderId="1" xfId="0" applyNumberFormat="1" applyFont="1" applyFill="1" applyBorder="1" applyAlignment="1">
      <alignment horizontal="center" vertical="center"/>
    </xf>
    <xf numFmtId="0" fontId="7" fillId="5" borderId="3" xfId="0" applyFont="1" applyFill="1" applyBorder="1"/>
    <xf numFmtId="0" fontId="7" fillId="5" borderId="4" xfId="0" applyFont="1" applyFill="1" applyBorder="1"/>
    <xf numFmtId="0" fontId="3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</cellXfs>
  <cellStyles count="5">
    <cellStyle name="Currency 2" xfId="2" xr:uid="{00000000-0005-0000-0000-000000000000}"/>
    <cellStyle name="Hipervínculo" xfId="4" builtinId="8"/>
    <cellStyle name="Normal" xfId="0" builtinId="0"/>
    <cellStyle name="Normal 2" xfId="1" xr:uid="{00000000-0005-0000-0000-000003000000}"/>
    <cellStyle name="Normal 4" xfId="3" xr:uid="{00000000-0005-0000-0000-000004000000}"/>
  </cellStyles>
  <dxfs count="1">
    <dxf>
      <font>
        <color rgb="FFFF0000"/>
      </font>
      <fill>
        <patternFill patternType="none"/>
      </fill>
    </dxf>
  </dxfs>
  <tableStyles count="0" defaultTableStyle="TableStyleMedium2" defaultPivotStyle="PivotStyleLight16"/>
  <colors>
    <mruColors>
      <color rgb="FF0E4470"/>
      <color rgb="FF1A9AA7"/>
      <color rgb="FF7E9AA7"/>
      <color rgb="FF2A8CCB"/>
      <color rgb="FFABE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8283</xdr:colOff>
      <xdr:row>2</xdr:row>
      <xdr:rowOff>11956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001000" cy="591738"/>
        </a:xfrm>
        <a:prstGeom prst="rect">
          <a:avLst/>
        </a:prstGeom>
      </xdr:spPr>
    </xdr:pic>
    <xdr:clientData/>
  </xdr:twoCellAnchor>
  <xdr:twoCellAnchor editAs="oneCell">
    <xdr:from>
      <xdr:col>0</xdr:col>
      <xdr:colOff>57980</xdr:colOff>
      <xdr:row>0</xdr:row>
      <xdr:rowOff>16567</xdr:rowOff>
    </xdr:from>
    <xdr:to>
      <xdr:col>2</xdr:col>
      <xdr:colOff>414132</xdr:colOff>
      <xdr:row>1</xdr:row>
      <xdr:rowOff>275596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80" y="16567"/>
          <a:ext cx="2236304" cy="548920"/>
        </a:xfrm>
        <a:prstGeom prst="rect">
          <a:avLst/>
        </a:prstGeom>
      </xdr:spPr>
    </xdr:pic>
    <xdr:clientData/>
  </xdr:twoCellAnchor>
  <xdr:oneCellAnchor>
    <xdr:from>
      <xdr:col>3</xdr:col>
      <xdr:colOff>207066</xdr:colOff>
      <xdr:row>0</xdr:row>
      <xdr:rowOff>198783</xdr:rowOff>
    </xdr:from>
    <xdr:ext cx="4823180" cy="342466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039718" y="198783"/>
          <a:ext cx="4823180" cy="342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bg1"/>
              </a:solidFill>
              <a:latin typeface="Montserrat" panose="00000500000000000000" pitchFamily="2" charset="0"/>
            </a:rPr>
            <a:t>ANÁLISIS DE PROPIEDADES PARA RENTAR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vier%20Castro%202/Downloads/A-%20%20APLICATIVOS%20DE%20LIQUIDACION%20ALEJANDRO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Valor Futuro"/>
      <sheetName val="Conversor Tasas"/>
      <sheetName val="Hoja3"/>
      <sheetName val="Tablas"/>
      <sheetName val="Interes Credito Comercial"/>
      <sheetName val="Interes Mora Tributario"/>
      <sheetName val="Dverificacion"/>
      <sheetName val="Modelo de Credito"/>
      <sheetName val="A-  APLICATIVOS DE LIQUIDACION 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hyperlink" Target="mailto:soporte@carlosdevi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showGridLines="0" tabSelected="1" zoomScale="115" zoomScaleNormal="115" workbookViewId="0">
      <selection activeCell="I34" sqref="I34"/>
    </sheetView>
  </sheetViews>
  <sheetFormatPr baseColWidth="10" defaultColWidth="12.59765625" defaultRowHeight="15" customHeight="1"/>
  <cols>
    <col min="1" max="1" width="12.5" customWidth="1"/>
    <col min="2" max="2" width="12.09765625" customWidth="1"/>
    <col min="3" max="4" width="12.5" customWidth="1"/>
    <col min="5" max="5" width="17.69921875" customWidth="1"/>
    <col min="6" max="8" width="12.5" customWidth="1"/>
    <col min="9" max="9" width="11.09765625" customWidth="1"/>
    <col min="10" max="13" width="10" customWidth="1"/>
    <col min="14" max="26" width="9.5" customWidth="1"/>
  </cols>
  <sheetData>
    <row r="1" spans="1:26" ht="22.5" customHeight="1">
      <c r="A1" s="23"/>
      <c r="B1" s="23"/>
      <c r="C1" s="23"/>
      <c r="D1" s="23"/>
      <c r="E1" s="23"/>
      <c r="F1" s="23"/>
      <c r="G1" s="23"/>
      <c r="H1" s="23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26" ht="22.5" customHeight="1">
      <c r="A2" s="23"/>
      <c r="B2" s="23"/>
      <c r="C2" s="23"/>
      <c r="D2" s="23"/>
      <c r="E2" s="23"/>
      <c r="F2" s="23"/>
      <c r="G2" s="23"/>
      <c r="H2" s="23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26" ht="22.5" customHeight="1"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26" ht="15" customHeight="1">
      <c r="A4" s="40" t="s">
        <v>0</v>
      </c>
      <c r="B4" s="41"/>
      <c r="C4" s="41"/>
      <c r="D4" s="42"/>
      <c r="E4" s="40" t="s">
        <v>1</v>
      </c>
      <c r="F4" s="41"/>
      <c r="G4" s="41"/>
      <c r="H4" s="42"/>
      <c r="I4" s="15"/>
      <c r="J4" s="15"/>
      <c r="K4" s="15"/>
      <c r="L4" s="15"/>
      <c r="M4" s="15"/>
      <c r="N4" s="15"/>
      <c r="O4" s="15"/>
      <c r="P4" s="15"/>
      <c r="Q4" s="15"/>
      <c r="R4" s="15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37" t="s">
        <v>2</v>
      </c>
      <c r="B5" s="38"/>
      <c r="C5" s="39"/>
      <c r="D5" s="5">
        <v>1100</v>
      </c>
      <c r="E5" s="37" t="s">
        <v>3</v>
      </c>
      <c r="F5" s="38"/>
      <c r="G5" s="39"/>
      <c r="H5" s="7">
        <f>D12</f>
        <v>1100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37" t="s">
        <v>4</v>
      </c>
      <c r="B6" s="38"/>
      <c r="C6" s="39"/>
      <c r="D6" s="5"/>
      <c r="E6" s="37" t="s">
        <v>5</v>
      </c>
      <c r="F6" s="38"/>
      <c r="G6" s="39"/>
      <c r="H6" s="7">
        <f>D30</f>
        <v>1050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37" t="s">
        <v>6</v>
      </c>
      <c r="B7" s="38"/>
      <c r="C7" s="39"/>
      <c r="D7" s="5"/>
      <c r="E7" s="37" t="s">
        <v>7</v>
      </c>
      <c r="F7" s="38"/>
      <c r="G7" s="39"/>
      <c r="H7" s="7">
        <f>H5-H6</f>
        <v>50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37" t="s">
        <v>8</v>
      </c>
      <c r="B8" s="38"/>
      <c r="C8" s="39"/>
      <c r="D8" s="5"/>
      <c r="E8" s="43"/>
      <c r="F8" s="38"/>
      <c r="G8" s="38"/>
      <c r="H8" s="2" t="s">
        <v>9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37" t="s">
        <v>10</v>
      </c>
      <c r="B9" s="38"/>
      <c r="C9" s="39"/>
      <c r="D9" s="5"/>
      <c r="E9" s="34" t="s">
        <v>11</v>
      </c>
      <c r="F9" s="35"/>
      <c r="G9" s="36"/>
      <c r="H9" s="8">
        <f>H7*12</f>
        <v>600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37" t="s">
        <v>12</v>
      </c>
      <c r="B10" s="38"/>
      <c r="C10" s="39"/>
      <c r="D10" s="5"/>
      <c r="E10" s="40" t="s">
        <v>13</v>
      </c>
      <c r="F10" s="41"/>
      <c r="G10" s="41"/>
      <c r="H10" s="42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37" t="s">
        <v>14</v>
      </c>
      <c r="B11" s="38"/>
      <c r="C11" s="39"/>
      <c r="D11" s="5"/>
      <c r="E11" s="37" t="s">
        <v>15</v>
      </c>
      <c r="F11" s="38"/>
      <c r="G11" s="39"/>
      <c r="H11" s="5">
        <v>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34" t="s">
        <v>16</v>
      </c>
      <c r="B12" s="35"/>
      <c r="C12" s="36"/>
      <c r="D12" s="8">
        <f>SUM(D5:D11)</f>
        <v>1100</v>
      </c>
      <c r="E12" s="44" t="s">
        <v>17</v>
      </c>
      <c r="F12" s="38"/>
      <c r="G12" s="39"/>
      <c r="H12" s="6">
        <v>700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40" t="s">
        <v>18</v>
      </c>
      <c r="B13" s="41"/>
      <c r="C13" s="41"/>
      <c r="D13" s="42"/>
      <c r="E13" s="34" t="s">
        <v>19</v>
      </c>
      <c r="F13" s="35"/>
      <c r="G13" s="36"/>
      <c r="H13" s="8">
        <f>H11+H12</f>
        <v>700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37" t="s">
        <v>20</v>
      </c>
      <c r="B14" s="38"/>
      <c r="C14" s="39"/>
      <c r="D14" s="5">
        <v>888</v>
      </c>
      <c r="E14" s="40" t="s">
        <v>42</v>
      </c>
      <c r="F14" s="41"/>
      <c r="G14" s="41"/>
      <c r="H14" s="42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37" t="s">
        <v>21</v>
      </c>
      <c r="B15" s="38"/>
      <c r="C15" s="39"/>
      <c r="D15" s="5">
        <v>30</v>
      </c>
      <c r="E15" s="37" t="s">
        <v>22</v>
      </c>
      <c r="F15" s="38"/>
      <c r="G15" s="39"/>
      <c r="H15" s="5">
        <v>38000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37" t="s">
        <v>23</v>
      </c>
      <c r="B16" s="38"/>
      <c r="C16" s="39"/>
      <c r="D16" s="5"/>
      <c r="E16" s="37" t="s">
        <v>24</v>
      </c>
      <c r="F16" s="38"/>
      <c r="G16" s="39"/>
      <c r="H16" s="5">
        <v>5000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37" t="s">
        <v>25</v>
      </c>
      <c r="B17" s="38"/>
      <c r="C17" s="39"/>
      <c r="D17" s="5"/>
      <c r="E17" s="37" t="s">
        <v>26</v>
      </c>
      <c r="F17" s="38"/>
      <c r="G17" s="39"/>
      <c r="H17" s="5">
        <v>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37" t="s">
        <v>27</v>
      </c>
      <c r="B18" s="38"/>
      <c r="C18" s="39"/>
      <c r="D18" s="5"/>
      <c r="E18" s="37" t="s">
        <v>28</v>
      </c>
      <c r="F18" s="38"/>
      <c r="G18" s="39"/>
      <c r="H18" s="5">
        <v>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37" t="s">
        <v>29</v>
      </c>
      <c r="B19" s="38"/>
      <c r="C19" s="39"/>
      <c r="D19" s="5"/>
      <c r="E19" s="37" t="s">
        <v>10</v>
      </c>
      <c r="F19" s="38"/>
      <c r="G19" s="39"/>
      <c r="H19" s="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37" t="s">
        <v>30</v>
      </c>
      <c r="B20" s="38"/>
      <c r="C20" s="39"/>
      <c r="D20" s="5"/>
      <c r="E20" s="37" t="s">
        <v>12</v>
      </c>
      <c r="F20" s="38"/>
      <c r="G20" s="39"/>
      <c r="H20" s="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37" t="s">
        <v>31</v>
      </c>
      <c r="B21" s="38"/>
      <c r="C21" s="39"/>
      <c r="D21" s="5"/>
      <c r="E21" s="37" t="s">
        <v>14</v>
      </c>
      <c r="F21" s="38"/>
      <c r="G21" s="39"/>
      <c r="H21" s="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37" t="s">
        <v>32</v>
      </c>
      <c r="B22" s="38"/>
      <c r="C22" s="39"/>
      <c r="D22" s="5">
        <v>44</v>
      </c>
      <c r="E22" s="34" t="s">
        <v>33</v>
      </c>
      <c r="F22" s="35"/>
      <c r="G22" s="36"/>
      <c r="H22" s="8">
        <f>SUM(H15:H21)</f>
        <v>43000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37" t="s">
        <v>34</v>
      </c>
      <c r="B23" s="38"/>
      <c r="C23" s="39"/>
      <c r="D23" s="5">
        <v>44</v>
      </c>
      <c r="E23" s="37" t="s">
        <v>35</v>
      </c>
      <c r="F23" s="38"/>
      <c r="G23" s="39"/>
      <c r="H23" s="7">
        <f>H9</f>
        <v>600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37" t="s">
        <v>36</v>
      </c>
      <c r="B24" s="38"/>
      <c r="C24" s="39"/>
      <c r="D24" s="5"/>
      <c r="E24" s="37" t="s">
        <v>37</v>
      </c>
      <c r="F24" s="38"/>
      <c r="G24" s="39"/>
      <c r="H24" s="7">
        <f>H13</f>
        <v>700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37" t="s">
        <v>38</v>
      </c>
      <c r="B25" s="38"/>
      <c r="C25" s="39"/>
      <c r="D25" s="5"/>
      <c r="E25" s="34" t="s">
        <v>39</v>
      </c>
      <c r="F25" s="35"/>
      <c r="G25" s="36"/>
      <c r="H25" s="8">
        <f>SUM(H23:H24)</f>
        <v>1300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37" t="s">
        <v>40</v>
      </c>
      <c r="B26" s="38"/>
      <c r="C26" s="39"/>
      <c r="D26" s="5">
        <v>44</v>
      </c>
      <c r="E26" s="16"/>
      <c r="F26" s="3"/>
      <c r="G26" s="3"/>
      <c r="H26" s="4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37" t="s">
        <v>10</v>
      </c>
      <c r="B27" s="38"/>
      <c r="C27" s="39"/>
      <c r="D27" s="5"/>
      <c r="E27" s="17"/>
      <c r="F27" s="16"/>
      <c r="G27" s="16"/>
      <c r="H27" s="18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37" t="s">
        <v>12</v>
      </c>
      <c r="B28" s="38"/>
      <c r="C28" s="39"/>
      <c r="D28" s="5"/>
      <c r="E28" s="17"/>
      <c r="F28" s="16"/>
      <c r="G28" s="16"/>
      <c r="H28" s="18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37" t="s">
        <v>14</v>
      </c>
      <c r="B29" s="38"/>
      <c r="C29" s="39"/>
      <c r="D29" s="5"/>
      <c r="E29" s="28" t="s">
        <v>43</v>
      </c>
      <c r="F29" s="29"/>
      <c r="G29" s="29"/>
      <c r="H29" s="32">
        <f>H25/H22</f>
        <v>3.0232558139534883E-2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34" t="s">
        <v>41</v>
      </c>
      <c r="B30" s="35"/>
      <c r="C30" s="36"/>
      <c r="D30" s="8">
        <f>SUM(D14:D29)</f>
        <v>1050</v>
      </c>
      <c r="E30" s="30"/>
      <c r="F30" s="31"/>
      <c r="G30" s="31"/>
      <c r="H30" s="33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4" t="s">
        <v>44</v>
      </c>
      <c r="B33" s="25"/>
      <c r="C33" s="25"/>
      <c r="D33" s="1"/>
      <c r="E33" s="21" t="s">
        <v>48</v>
      </c>
      <c r="F33" s="21"/>
      <c r="G33" s="21"/>
      <c r="H33" s="21"/>
      <c r="I33" s="11"/>
      <c r="J33" s="11"/>
      <c r="K33" s="15"/>
      <c r="L33" s="15"/>
      <c r="M33" s="15"/>
      <c r="N33" s="15"/>
      <c r="O33" s="15"/>
      <c r="P33" s="15"/>
      <c r="Q33" s="15"/>
      <c r="R33" s="15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6" t="s">
        <v>45</v>
      </c>
      <c r="B34" s="27"/>
      <c r="C34" s="27"/>
      <c r="D34" s="9"/>
      <c r="E34" s="22" t="s">
        <v>47</v>
      </c>
      <c r="F34" s="22"/>
      <c r="G34" s="22"/>
      <c r="H34" s="22"/>
      <c r="I34" s="12"/>
      <c r="J34" s="12"/>
      <c r="K34" s="12"/>
      <c r="L34" s="15"/>
      <c r="M34" s="15"/>
      <c r="N34" s="15"/>
      <c r="O34" s="15"/>
      <c r="P34" s="15"/>
      <c r="Q34" s="15"/>
      <c r="R34" s="15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9" t="s">
        <v>46</v>
      </c>
      <c r="B35" s="20"/>
      <c r="C35" s="20"/>
      <c r="D35" s="10"/>
      <c r="E35" s="22" t="s">
        <v>49</v>
      </c>
      <c r="F35" s="22"/>
      <c r="G35" s="22"/>
      <c r="H35" s="22"/>
      <c r="I35" s="13"/>
      <c r="J35" s="13"/>
      <c r="K35" s="13"/>
      <c r="L35" s="15"/>
      <c r="M35" s="15"/>
      <c r="N35" s="15"/>
      <c r="O35" s="15"/>
      <c r="P35" s="15"/>
      <c r="Q35" s="15"/>
      <c r="R35" s="15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8">
    <mergeCell ref="A4:D4"/>
    <mergeCell ref="E4:H4"/>
    <mergeCell ref="A5:C5"/>
    <mergeCell ref="E5:G5"/>
    <mergeCell ref="E23:G23"/>
    <mergeCell ref="E6:G6"/>
    <mergeCell ref="E7:G7"/>
    <mergeCell ref="E17:G17"/>
    <mergeCell ref="E18:G18"/>
    <mergeCell ref="E19:G19"/>
    <mergeCell ref="E20:G20"/>
    <mergeCell ref="E21:G21"/>
    <mergeCell ref="E12:G12"/>
    <mergeCell ref="E13:G13"/>
    <mergeCell ref="E14:H14"/>
    <mergeCell ref="E15:G15"/>
    <mergeCell ref="A6:C6"/>
    <mergeCell ref="A7:C7"/>
    <mergeCell ref="A8:C8"/>
    <mergeCell ref="E8:G8"/>
    <mergeCell ref="A9:C9"/>
    <mergeCell ref="E9:G9"/>
    <mergeCell ref="A10:C10"/>
    <mergeCell ref="E10:H10"/>
    <mergeCell ref="E11:G11"/>
    <mergeCell ref="A11:C11"/>
    <mergeCell ref="A12:C12"/>
    <mergeCell ref="A29:C29"/>
    <mergeCell ref="E22:G22"/>
    <mergeCell ref="A13:D13"/>
    <mergeCell ref="A14:C14"/>
    <mergeCell ref="A15:C15"/>
    <mergeCell ref="A16:C16"/>
    <mergeCell ref="A17:C17"/>
    <mergeCell ref="E24:G24"/>
    <mergeCell ref="E25:G25"/>
    <mergeCell ref="E16:G16"/>
    <mergeCell ref="A24:C24"/>
    <mergeCell ref="A25:C25"/>
    <mergeCell ref="A26:C26"/>
    <mergeCell ref="A27:C27"/>
    <mergeCell ref="A28:C28"/>
    <mergeCell ref="A35:C35"/>
    <mergeCell ref="E33:H33"/>
    <mergeCell ref="E34:H34"/>
    <mergeCell ref="E35:H35"/>
    <mergeCell ref="A1:H2"/>
    <mergeCell ref="A33:C33"/>
    <mergeCell ref="A34:C34"/>
    <mergeCell ref="E29:G30"/>
    <mergeCell ref="H29:H30"/>
    <mergeCell ref="A30:C30"/>
    <mergeCell ref="A18:C18"/>
    <mergeCell ref="A19:C19"/>
    <mergeCell ref="A20:C20"/>
    <mergeCell ref="A21:C21"/>
    <mergeCell ref="A22:C22"/>
    <mergeCell ref="A23:C23"/>
  </mergeCells>
  <conditionalFormatting sqref="D5:D12 D14:D30 H5:H9 H11:H13 H15:H28">
    <cfRule type="cellIs" dxfId="0" priority="1" stopIfTrue="1" operator="lessThan">
      <formula>0</formula>
    </cfRule>
  </conditionalFormatting>
  <hyperlinks>
    <hyperlink ref="E35" r:id="rId1" xr:uid="{00000000-0004-0000-0000-000000000000}"/>
  </hyperlinks>
  <pageMargins left="0.7" right="0.7" top="0.75" bottom="0.75" header="0" footer="0"/>
  <pageSetup orientation="portrait"/>
  <headerFooter>
    <oddFooter>&amp;C000000&amp;P</oddFoot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DE PROPIEDADES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Adriana Suarez</cp:lastModifiedBy>
  <dcterms:modified xsi:type="dcterms:W3CDTF">2022-09-16T00:04:33Z</dcterms:modified>
</cp:coreProperties>
</file>