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dagam\Downloads\"/>
    </mc:Choice>
  </mc:AlternateContent>
  <xr:revisionPtr revIDLastSave="0" documentId="13_ncr:1_{71BE158A-1123-4FEA-BDC1-7B7DFD6080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NERO 20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1" l="1"/>
  <c r="K62" i="1"/>
  <c r="F62" i="1"/>
  <c r="E62" i="1"/>
  <c r="C62" i="1"/>
  <c r="L61" i="1"/>
  <c r="H61" i="1"/>
  <c r="G61" i="1" s="1"/>
  <c r="L60" i="1"/>
  <c r="I60" i="1"/>
  <c r="H60" i="1" s="1"/>
  <c r="G60" i="1" s="1"/>
  <c r="H59" i="1"/>
  <c r="G59" i="1" s="1"/>
  <c r="H58" i="1"/>
  <c r="G58" i="1" s="1"/>
  <c r="F50" i="1"/>
  <c r="E50" i="1"/>
  <c r="C50" i="1"/>
  <c r="E45" i="1"/>
  <c r="C45" i="1"/>
  <c r="F39" i="1"/>
  <c r="F45" i="1" s="1"/>
  <c r="E38" i="1"/>
  <c r="C38" i="1"/>
  <c r="D43" i="1" s="1"/>
  <c r="D34" i="1"/>
  <c r="F30" i="1"/>
  <c r="D30" i="1"/>
  <c r="D28" i="1"/>
  <c r="F27" i="1"/>
  <c r="D25" i="1"/>
  <c r="D23" i="1"/>
  <c r="AD19" i="1"/>
  <c r="AC19" i="1"/>
  <c r="AB19" i="1"/>
  <c r="AA19" i="1"/>
  <c r="Z19" i="1"/>
  <c r="Y19" i="1"/>
  <c r="X19" i="1"/>
  <c r="W19" i="1"/>
  <c r="V19" i="1"/>
  <c r="U19" i="1"/>
  <c r="T19" i="1"/>
  <c r="S19" i="1"/>
  <c r="R18" i="1"/>
  <c r="R15" i="1"/>
  <c r="E15" i="1"/>
  <c r="R14" i="1"/>
  <c r="R13" i="1"/>
  <c r="AD11" i="1"/>
  <c r="AC11" i="1"/>
  <c r="AB11" i="1"/>
  <c r="AA11" i="1"/>
  <c r="Z11" i="1"/>
  <c r="Y11" i="1"/>
  <c r="X11" i="1"/>
  <c r="W11" i="1"/>
  <c r="V11" i="1"/>
  <c r="U11" i="1"/>
  <c r="T11" i="1"/>
  <c r="S11" i="1"/>
  <c r="R10" i="1"/>
  <c r="R9" i="1"/>
  <c r="R8" i="1"/>
  <c r="C8" i="1"/>
  <c r="R7" i="1"/>
  <c r="S20" i="1" l="1"/>
  <c r="T20" i="1" s="1"/>
  <c r="U20" i="1" s="1"/>
  <c r="V20" i="1" s="1"/>
  <c r="W20" i="1" s="1"/>
  <c r="X20" i="1" s="1"/>
  <c r="Y20" i="1" s="1"/>
  <c r="Z20" i="1" s="1"/>
  <c r="AA20" i="1" s="1"/>
  <c r="AB20" i="1" s="1"/>
  <c r="AC20" i="1" s="1"/>
  <c r="AD20" i="1" s="1"/>
  <c r="R19" i="1"/>
  <c r="D20" i="1"/>
  <c r="D27" i="1"/>
  <c r="R20" i="1"/>
  <c r="R11" i="1"/>
  <c r="I7" i="1"/>
  <c r="I9" i="1" s="1"/>
  <c r="D21" i="1"/>
  <c r="D32" i="1"/>
  <c r="D48" i="1"/>
  <c r="G62" i="1"/>
  <c r="O57" i="1"/>
  <c r="D36" i="1"/>
  <c r="F38" i="1"/>
  <c r="G39" i="1" s="1"/>
  <c r="D46" i="1"/>
  <c r="G21" i="1"/>
  <c r="D40" i="1"/>
  <c r="D42" i="1"/>
  <c r="D44" i="1"/>
  <c r="D29" i="1"/>
  <c r="G36" i="1"/>
  <c r="D39" i="1"/>
  <c r="G42" i="1"/>
  <c r="G44" i="1"/>
  <c r="D47" i="1"/>
  <c r="D49" i="1"/>
  <c r="D50" i="1" s="1"/>
  <c r="H62" i="1"/>
  <c r="O56" i="1" s="1"/>
  <c r="D22" i="1"/>
  <c r="D24" i="1"/>
  <c r="D26" i="1"/>
  <c r="D31" i="1"/>
  <c r="D33" i="1"/>
  <c r="D35" i="1"/>
  <c r="D37" i="1"/>
  <c r="D41" i="1"/>
  <c r="G47" i="1"/>
  <c r="G23" i="1" l="1"/>
  <c r="R21" i="1"/>
  <c r="G41" i="1"/>
  <c r="G25" i="1"/>
  <c r="D38" i="1"/>
  <c r="G34" i="1"/>
  <c r="G46" i="1"/>
  <c r="G28" i="1"/>
  <c r="G29" i="1"/>
  <c r="G35" i="1"/>
  <c r="G31" i="1"/>
  <c r="G24" i="1"/>
  <c r="G37" i="1"/>
  <c r="G33" i="1"/>
  <c r="G26" i="1"/>
  <c r="G22" i="1"/>
  <c r="G27" i="1"/>
  <c r="G30" i="1"/>
  <c r="G40" i="1"/>
  <c r="G32" i="1"/>
  <c r="G20" i="1"/>
  <c r="G48" i="1"/>
  <c r="G43" i="1"/>
  <c r="G49" i="1"/>
  <c r="D45" i="1"/>
  <c r="G38" i="1" l="1"/>
  <c r="G45" i="1"/>
  <c r="G5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Jlondono</author>
  </authors>
  <commentList>
    <comment ref="U18" authorId="0" shapeId="0" xr:uid="{00000000-0006-0000-0000-000001000000}">
      <text>
        <r>
          <rPr>
            <sz val="11"/>
            <color indexed="8"/>
            <rFont val="Helvetica"/>
          </rPr>
          <t>Jlondono:
PAGO SEGURO DEL CARRO $150</t>
        </r>
      </text>
    </comment>
    <comment ref="X18" authorId="0" shapeId="0" xr:uid="{00000000-0006-0000-0000-000002000000}">
      <text>
        <r>
          <rPr>
            <sz val="11"/>
            <color indexed="8"/>
            <rFont val="Helvetica"/>
          </rPr>
          <t>Jlondono:
VACACIONES 
FAMILIA</t>
        </r>
      </text>
    </comment>
  </commentList>
</comments>
</file>

<file path=xl/sharedStrings.xml><?xml version="1.0" encoding="utf-8"?>
<sst xmlns="http://schemas.openxmlformats.org/spreadsheetml/2006/main" count="178" uniqueCount="136">
  <si>
    <t>FLUJO DE EFECTIVO ANUAL</t>
  </si>
  <si>
    <t>DESCRIPCIÓN</t>
  </si>
  <si>
    <t>TOTAL</t>
  </si>
  <si>
    <t>ENERO</t>
  </si>
  <si>
    <t>FEBRE</t>
  </si>
  <si>
    <t>MARZ</t>
  </si>
  <si>
    <t>ABRIL</t>
  </si>
  <si>
    <t>MAYO</t>
  </si>
  <si>
    <t>JUNIO</t>
  </si>
  <si>
    <t>JULIO</t>
  </si>
  <si>
    <t>AGOS</t>
  </si>
  <si>
    <t>SEPT</t>
  </si>
  <si>
    <t>OCT</t>
  </si>
  <si>
    <t>NOVI</t>
  </si>
  <si>
    <t>DICI</t>
  </si>
  <si>
    <t>INGRESOS FAMILIARES ENERO 2022</t>
  </si>
  <si>
    <t>INGRESOS</t>
  </si>
  <si>
    <t>FUENTE</t>
  </si>
  <si>
    <t>TIEMPO HORAS</t>
  </si>
  <si>
    <t>FECHA</t>
  </si>
  <si>
    <t>VALOR</t>
  </si>
  <si>
    <t>FLUJO DE EFECTIVO</t>
  </si>
  <si>
    <t>SALARIO 1</t>
  </si>
  <si>
    <t>SALARIO MES</t>
  </si>
  <si>
    <t>ACTIVO</t>
  </si>
  <si>
    <t xml:space="preserve">INDICADOR DE ENDEUDAMIENTO DE FLUJO </t>
  </si>
  <si>
    <t>SALARIO 2</t>
  </si>
  <si>
    <t>BONIFICACIONES</t>
  </si>
  <si>
    <t xml:space="preserve">INDICADOR DE NIVEL ENDEUDAMIENTO </t>
  </si>
  <si>
    <t>Arriendos</t>
  </si>
  <si>
    <t>REGALIAS</t>
  </si>
  <si>
    <t>PASIVO</t>
  </si>
  <si>
    <t xml:space="preserve">Comisiones </t>
  </si>
  <si>
    <t>DIVIDENDOS</t>
  </si>
  <si>
    <t>APARTAMENTO</t>
  </si>
  <si>
    <t>EGRESOS</t>
  </si>
  <si>
    <t>BODEGA</t>
  </si>
  <si>
    <t>AHORRO</t>
  </si>
  <si>
    <t>LOCAL</t>
  </si>
  <si>
    <t>GASTOS FIJOS</t>
  </si>
  <si>
    <t>DONACIONES</t>
  </si>
  <si>
    <t>DEUDA 1</t>
  </si>
  <si>
    <t>DEUDA 2</t>
  </si>
  <si>
    <t>GASTOS MENSUALES ENERO 2022</t>
  </si>
  <si>
    <t>NO PERIODICO</t>
  </si>
  <si>
    <t>SERVICIO</t>
  </si>
  <si>
    <t>PTO</t>
  </si>
  <si>
    <t>%</t>
  </si>
  <si>
    <t>TARJETA CREDITO</t>
  </si>
  <si>
    <t>CASH</t>
  </si>
  <si>
    <t>OBSERVACIÓN</t>
  </si>
  <si>
    <t>AÑO</t>
  </si>
  <si>
    <t>Alimentos</t>
  </si>
  <si>
    <t>10/20/30 cada mes</t>
  </si>
  <si>
    <t xml:space="preserve">9 $133 PriceSmart. </t>
  </si>
  <si>
    <t>EGRESO TOTAL</t>
  </si>
  <si>
    <t>Agua</t>
  </si>
  <si>
    <t>10 cada mes</t>
  </si>
  <si>
    <t>Pagado 8.</t>
  </si>
  <si>
    <t>SALDO</t>
  </si>
  <si>
    <t>Energia</t>
  </si>
  <si>
    <t>5 de cada mes</t>
  </si>
  <si>
    <t>Pagado 5</t>
  </si>
  <si>
    <t>Gas</t>
  </si>
  <si>
    <t>14 de cada mes</t>
  </si>
  <si>
    <t>Pagado 14</t>
  </si>
  <si>
    <t>Vivienda/hipoteca</t>
  </si>
  <si>
    <t>22 de cada mes</t>
  </si>
  <si>
    <t>Pagado 22</t>
  </si>
  <si>
    <t>Aseo</t>
  </si>
  <si>
    <t>Semanal</t>
  </si>
  <si>
    <t>Pagado 7/14/21/28</t>
  </si>
  <si>
    <t>Colegio</t>
  </si>
  <si>
    <t>1 de cada mes</t>
  </si>
  <si>
    <t>Pagado 1.</t>
  </si>
  <si>
    <t>Otras Clases</t>
  </si>
  <si>
    <t>10/2030 cada mes</t>
  </si>
  <si>
    <t>Guitarra $30/10, Piano $45/20, Fultbol $120/2</t>
  </si>
  <si>
    <t>Salud</t>
  </si>
  <si>
    <t>15 de cada mes</t>
  </si>
  <si>
    <t>Pagado 15</t>
  </si>
  <si>
    <t>Diversión</t>
  </si>
  <si>
    <t>Varios</t>
  </si>
  <si>
    <t>Salidas a Puebla con familia 220.</t>
  </si>
  <si>
    <t>Administraciones</t>
  </si>
  <si>
    <t>3 de cada mes</t>
  </si>
  <si>
    <t>Pagado 3.</t>
  </si>
  <si>
    <t>Gasolina/Transporte</t>
  </si>
  <si>
    <t xml:space="preserve">$40/1,$55/11,$65/19,$$39/26  </t>
  </si>
  <si>
    <t>Cuota Camioneta</t>
  </si>
  <si>
    <t>13 de cada mes</t>
  </si>
  <si>
    <t>Pagado 13.</t>
  </si>
  <si>
    <t>Donación</t>
  </si>
  <si>
    <t>Medellin Prospera.</t>
  </si>
  <si>
    <t>Presupuesto Varios</t>
  </si>
  <si>
    <t>Compra Audifonos niños, regalos de la madre</t>
  </si>
  <si>
    <t>Impuestos</t>
  </si>
  <si>
    <t>Se pago impuesto de la oficina.</t>
  </si>
  <si>
    <t>Seguros</t>
  </si>
  <si>
    <t xml:space="preserve">Seguro Salud, Vida, Bienes. </t>
  </si>
  <si>
    <t>Varios mes</t>
  </si>
  <si>
    <t>Impuesto Camioneta</t>
  </si>
  <si>
    <t>TOTAL PAGOS FIJOS HOGAR</t>
  </si>
  <si>
    <t>Admin - APTO 1</t>
  </si>
  <si>
    <t>Admin - LOCAL</t>
  </si>
  <si>
    <t>5 cada mes</t>
  </si>
  <si>
    <t>Admin casa</t>
  </si>
  <si>
    <t>Impuestos propieda</t>
  </si>
  <si>
    <t>Impuestos Nacionales</t>
  </si>
  <si>
    <t>TOTAL PAGOS FIJOS INVERSIONES MES</t>
  </si>
  <si>
    <t>BANCO 1</t>
  </si>
  <si>
    <t>10 de cada mes</t>
  </si>
  <si>
    <t>PERSONAL</t>
  </si>
  <si>
    <t>23 de cada mes</t>
  </si>
  <si>
    <t>LEASING</t>
  </si>
  <si>
    <t>28 de cada mes</t>
  </si>
  <si>
    <t>BANCO 2</t>
  </si>
  <si>
    <t>30 de cada mes</t>
  </si>
  <si>
    <t>TOTAL PAGOS FIJOS DEUDAS</t>
  </si>
  <si>
    <t>PASIVOS</t>
  </si>
  <si>
    <t>INTERES TOTAL</t>
  </si>
  <si>
    <t>ENTIDAD</t>
  </si>
  <si>
    <t>BIEN</t>
  </si>
  <si>
    <t>MENSUAL</t>
  </si>
  <si>
    <t>CAPITAL</t>
  </si>
  <si>
    <t>INT.</t>
  </si>
  <si>
    <t>I EM</t>
  </si>
  <si>
    <t>I EA</t>
  </si>
  <si>
    <t>SEGURO MES</t>
  </si>
  <si>
    <t>xMILLON</t>
  </si>
  <si>
    <t>DEUDA FLUJO</t>
  </si>
  <si>
    <t>VEHICULO</t>
  </si>
  <si>
    <t>HIPOTECA</t>
  </si>
  <si>
    <t>SI TIENES ALGÚN INCONVENIENTE CONTACTA A:</t>
  </si>
  <si>
    <r>
      <rPr>
        <b/>
        <sz val="10"/>
        <color theme="0"/>
        <rFont val="Montserrat"/>
      </rPr>
      <t>MÁS INFORMACIÓN</t>
    </r>
    <r>
      <rPr>
        <sz val="10"/>
        <color theme="0"/>
        <rFont val="Montserrat"/>
      </rPr>
      <t>: www.carlosdevis.com</t>
    </r>
  </si>
  <si>
    <t>soporte@carlosdevis.com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</si>
</sst>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[$&quot;$U&quot;]&quot; &quot;#,##0;[$&quot;$U&quot;]&quot; &quot;#,##0"/>
    <numFmt numFmtId="166" formatCode="0.0%"/>
  </numFmts>
  <fonts count="24" x14ac:knownFonts="1">
    <font>
      <sz val="11"/>
      <color indexed="8"/>
      <name val="Calibri"/>
    </font>
    <font>
      <b/>
      <sz val="20"/>
      <color indexed="9"/>
      <name val="Verdana"/>
      <family val="2"/>
    </font>
    <font>
      <b/>
      <sz val="20"/>
      <color indexed="8"/>
      <name val="Verdana"/>
      <family val="2"/>
    </font>
    <font>
      <sz val="11"/>
      <color indexed="8"/>
      <name val="Helvetica"/>
    </font>
    <font>
      <b/>
      <sz val="16"/>
      <color indexed="9"/>
      <name val="Montserrat"/>
    </font>
    <font>
      <sz val="11"/>
      <color indexed="8"/>
      <name val="Montserrat"/>
    </font>
    <font>
      <b/>
      <sz val="12"/>
      <color indexed="8"/>
      <name val="Montserrat"/>
    </font>
    <font>
      <b/>
      <sz val="10"/>
      <color indexed="8"/>
      <name val="Montserrat"/>
    </font>
    <font>
      <sz val="10"/>
      <color indexed="8"/>
      <name val="Montserrat"/>
    </font>
    <font>
      <b/>
      <sz val="11"/>
      <color indexed="8"/>
      <name val="Montserrat"/>
    </font>
    <font>
      <sz val="12"/>
      <color indexed="8"/>
      <name val="Montserrat"/>
    </font>
    <font>
      <b/>
      <sz val="10"/>
      <color indexed="9"/>
      <name val="Montserrat"/>
    </font>
    <font>
      <b/>
      <sz val="12"/>
      <color theme="0"/>
      <name val="Montserrat"/>
    </font>
    <font>
      <b/>
      <sz val="10"/>
      <color theme="0"/>
      <name val="Montserrat"/>
    </font>
    <font>
      <b/>
      <sz val="11"/>
      <color indexed="9"/>
      <name val="Montserrat"/>
    </font>
    <font>
      <b/>
      <sz val="11"/>
      <color theme="0"/>
      <name val="Montserrat"/>
    </font>
    <font>
      <b/>
      <sz val="14"/>
      <color indexed="9"/>
      <name val="Montserrat"/>
    </font>
    <font>
      <b/>
      <sz val="8"/>
      <color indexed="8"/>
      <name val="Montserrat"/>
    </font>
    <font>
      <sz val="8"/>
      <color indexed="8"/>
      <name val="Montserrat"/>
    </font>
    <font>
      <sz val="11"/>
      <color theme="0"/>
      <name val="Montserrat"/>
    </font>
    <font>
      <u/>
      <sz val="11"/>
      <color theme="10"/>
      <name val="Calibri"/>
      <family val="2"/>
    </font>
    <font>
      <sz val="10"/>
      <color theme="0"/>
      <name val="Montserrat"/>
    </font>
    <font>
      <u/>
      <sz val="10"/>
      <color theme="10"/>
      <name val="Calibri"/>
      <family val="2"/>
    </font>
    <font>
      <sz val="11"/>
      <color indexed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4"/>
        <bgColor auto="1"/>
      </patternFill>
    </fill>
    <fill>
      <patternFill patternType="solid">
        <fgColor rgb="FF135178"/>
        <bgColor indexed="64"/>
      </patternFill>
    </fill>
    <fill>
      <patternFill patternType="solid">
        <fgColor rgb="FF0FC4D4"/>
        <bgColor indexed="64"/>
      </patternFill>
    </fill>
    <fill>
      <patternFill patternType="solid">
        <fgColor rgb="FF02A29A"/>
        <bgColor indexed="64"/>
      </patternFill>
    </fill>
  </fills>
  <borders count="42">
    <border>
      <left/>
      <right/>
      <top/>
      <bottom/>
      <diagonal/>
    </border>
    <border>
      <left/>
      <right/>
      <top/>
      <bottom/>
      <diagonal/>
    </border>
    <border>
      <left style="thin">
        <color indexed="11"/>
      </left>
      <right/>
      <top/>
      <bottom/>
      <diagonal/>
    </border>
    <border>
      <left style="thin">
        <color rgb="FF135178"/>
      </left>
      <right style="thin">
        <color rgb="FF135178"/>
      </right>
      <top style="thin">
        <color rgb="FF135178"/>
      </top>
      <bottom style="thin">
        <color rgb="FF135178"/>
      </bottom>
      <diagonal/>
    </border>
    <border>
      <left style="thin">
        <color rgb="FF135178"/>
      </left>
      <right/>
      <top style="thin">
        <color rgb="FF135178"/>
      </top>
      <bottom style="thin">
        <color rgb="FF135178"/>
      </bottom>
      <diagonal/>
    </border>
    <border>
      <left/>
      <right/>
      <top style="thin">
        <color rgb="FF135178"/>
      </top>
      <bottom style="thin">
        <color rgb="FF135178"/>
      </bottom>
      <diagonal/>
    </border>
    <border>
      <left/>
      <right style="thin">
        <color rgb="FF135178"/>
      </right>
      <top style="thin">
        <color rgb="FF135178"/>
      </top>
      <bottom style="thin">
        <color rgb="FF135178"/>
      </bottom>
      <diagonal/>
    </border>
    <border>
      <left style="thin">
        <color rgb="FF135178"/>
      </left>
      <right style="thin">
        <color rgb="FF135178"/>
      </right>
      <top style="thin">
        <color rgb="FF135178"/>
      </top>
      <bottom/>
      <diagonal/>
    </border>
    <border>
      <left style="thin">
        <color rgb="FF0FC4D4"/>
      </left>
      <right/>
      <top style="thin">
        <color rgb="FF0FC4D4"/>
      </top>
      <bottom style="thin">
        <color rgb="FF0FC4D4"/>
      </bottom>
      <diagonal/>
    </border>
    <border>
      <left style="thin">
        <color indexed="11"/>
      </left>
      <right style="thin">
        <color indexed="11"/>
      </right>
      <top/>
      <bottom/>
      <diagonal/>
    </border>
    <border>
      <left style="thin">
        <color rgb="FF135178"/>
      </left>
      <right style="thin">
        <color theme="0"/>
      </right>
      <top style="thin">
        <color rgb="FF135178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135178"/>
      </top>
      <bottom style="thin">
        <color theme="0"/>
      </bottom>
      <diagonal/>
    </border>
    <border>
      <left style="thin">
        <color theme="0"/>
      </left>
      <right style="thin">
        <color rgb="FF135178"/>
      </right>
      <top style="thin">
        <color rgb="FF135178"/>
      </top>
      <bottom style="thin">
        <color theme="0"/>
      </bottom>
      <diagonal/>
    </border>
    <border>
      <left style="thin">
        <color rgb="FF135178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rgb="FF135178"/>
      </right>
      <top style="thin">
        <color theme="0"/>
      </top>
      <bottom style="thin">
        <color theme="0"/>
      </bottom>
      <diagonal/>
    </border>
    <border>
      <left style="thin">
        <color rgb="FF135178"/>
      </left>
      <right style="thin">
        <color theme="0"/>
      </right>
      <top style="thin">
        <color theme="0"/>
      </top>
      <bottom style="thin">
        <color rgb="FF135178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135178"/>
      </bottom>
      <diagonal/>
    </border>
    <border>
      <left style="thin">
        <color theme="0"/>
      </left>
      <right style="thin">
        <color rgb="FF135178"/>
      </right>
      <top style="thin">
        <color theme="0"/>
      </top>
      <bottom style="thin">
        <color rgb="FF135178"/>
      </bottom>
      <diagonal/>
    </border>
    <border>
      <left style="thin">
        <color rgb="FF135178"/>
      </left>
      <right style="thin">
        <color theme="0"/>
      </right>
      <top style="thin">
        <color rgb="FF135178"/>
      </top>
      <bottom style="thin">
        <color rgb="FF135178"/>
      </bottom>
      <diagonal/>
    </border>
    <border>
      <left style="thin">
        <color theme="0"/>
      </left>
      <right style="thin">
        <color theme="0"/>
      </right>
      <top style="thin">
        <color rgb="FF135178"/>
      </top>
      <bottom style="thin">
        <color rgb="FF135178"/>
      </bottom>
      <diagonal/>
    </border>
    <border>
      <left style="thin">
        <color theme="0"/>
      </left>
      <right style="thin">
        <color rgb="FF135178"/>
      </right>
      <top style="thin">
        <color rgb="FF135178"/>
      </top>
      <bottom style="thin">
        <color rgb="FF135178"/>
      </bottom>
      <diagonal/>
    </border>
    <border>
      <left style="thin">
        <color theme="0"/>
      </left>
      <right style="thin">
        <color rgb="FF0FC4D4"/>
      </right>
      <top style="thin">
        <color rgb="FF0FC4D4"/>
      </top>
      <bottom style="thin">
        <color rgb="FF0FC4D4"/>
      </bottom>
      <diagonal/>
    </border>
    <border>
      <left style="thin">
        <color theme="0"/>
      </left>
      <right style="thin">
        <color rgb="FF0FC4D4"/>
      </right>
      <top style="thin">
        <color rgb="FF0FC4D4"/>
      </top>
      <bottom style="thin">
        <color theme="0"/>
      </bottom>
      <diagonal/>
    </border>
    <border>
      <left style="thin">
        <color theme="0"/>
      </left>
      <right style="thin">
        <color rgb="FF0FC4D4"/>
      </right>
      <top style="thin">
        <color theme="0"/>
      </top>
      <bottom style="thin">
        <color rgb="FF0FC4D4"/>
      </bottom>
      <diagonal/>
    </border>
    <border>
      <left style="thin">
        <color rgb="FF135178"/>
      </left>
      <right style="thin">
        <color rgb="FF135178"/>
      </right>
      <top style="thin">
        <color rgb="FF135178"/>
      </top>
      <bottom style="thin">
        <color rgb="FF0FC4D4"/>
      </bottom>
      <diagonal/>
    </border>
    <border>
      <left style="medium">
        <color indexed="8"/>
      </left>
      <right/>
      <top/>
      <bottom/>
      <diagonal/>
    </border>
    <border>
      <left style="thin">
        <color rgb="FF0FC4D4"/>
      </left>
      <right style="thin">
        <color theme="0"/>
      </right>
      <top style="thin">
        <color rgb="FF0FC4D4"/>
      </top>
      <bottom/>
      <diagonal/>
    </border>
    <border>
      <left style="thin">
        <color theme="0"/>
      </left>
      <right style="thin">
        <color theme="0"/>
      </right>
      <top style="thin">
        <color rgb="FF0FC4D4"/>
      </top>
      <bottom/>
      <diagonal/>
    </border>
    <border>
      <left style="thin">
        <color theme="0"/>
      </left>
      <right style="thin">
        <color rgb="FF0FC4D4"/>
      </right>
      <top style="thin">
        <color rgb="FF0FC4D4"/>
      </top>
      <bottom/>
      <diagonal/>
    </border>
    <border>
      <left style="thin">
        <color rgb="FF135178"/>
      </left>
      <right style="thin">
        <color rgb="FF135178"/>
      </right>
      <top/>
      <bottom style="thin">
        <color rgb="FF135178"/>
      </bottom>
      <diagonal/>
    </border>
    <border>
      <left style="thin">
        <color rgb="FF135178"/>
      </left>
      <right style="thin">
        <color theme="0"/>
      </right>
      <top/>
      <bottom/>
      <diagonal/>
    </border>
    <border>
      <left style="thin">
        <color theme="0"/>
      </left>
      <right style="thin">
        <color rgb="FF135178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rgb="FF135178"/>
      </left>
      <right style="thin">
        <color rgb="FF135178"/>
      </right>
      <top/>
      <bottom/>
      <diagonal/>
    </border>
    <border>
      <left/>
      <right style="thin">
        <color indexed="11"/>
      </right>
      <top/>
      <bottom/>
      <diagonal/>
    </border>
    <border>
      <left/>
      <right style="thin">
        <color theme="0"/>
      </right>
      <top style="thin">
        <color rgb="FF135178"/>
      </top>
      <bottom style="thin">
        <color theme="0"/>
      </bottom>
      <diagonal/>
    </border>
    <border>
      <left style="thin">
        <color rgb="FF135178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rgb="FF135178"/>
      </top>
      <bottom style="thin">
        <color rgb="FF0FC4D4"/>
      </bottom>
      <diagonal/>
    </border>
    <border>
      <left style="thin">
        <color rgb="FF135178"/>
      </left>
      <right style="thin">
        <color theme="0"/>
      </right>
      <top style="thin">
        <color rgb="FF135178"/>
      </top>
      <bottom style="thin">
        <color rgb="FF0FC4D4"/>
      </bottom>
      <diagonal/>
    </border>
    <border>
      <left style="thin">
        <color theme="0"/>
      </left>
      <right style="thin">
        <color rgb="FF135178"/>
      </right>
      <top style="thin">
        <color rgb="FF135178"/>
      </top>
      <bottom style="thin">
        <color rgb="FF0FC4D4"/>
      </bottom>
      <diagonal/>
    </border>
  </borders>
  <cellStyleXfs count="3">
    <xf numFmtId="0" fontId="0" fillId="0" borderId="0" applyNumberFormat="0" applyFill="0" applyBorder="0" applyProtection="0"/>
    <xf numFmtId="0" fontId="20" fillId="0" borderId="0" applyNumberFormat="0" applyFill="0" applyBorder="0" applyAlignment="0" applyProtection="0"/>
    <xf numFmtId="44" fontId="23" fillId="0" borderId="0" applyFont="0" applyFill="0" applyBorder="0" applyAlignment="0" applyProtection="0"/>
  </cellStyleXfs>
  <cellXfs count="120">
    <xf numFmtId="0" fontId="0" fillId="0" borderId="0" xfId="0" applyFont="1" applyAlignment="1"/>
    <xf numFmtId="0" fontId="0" fillId="0" borderId="0" xfId="0" applyNumberFormat="1" applyFont="1" applyAlignment="1"/>
    <xf numFmtId="49" fontId="8" fillId="2" borderId="3" xfId="0" applyNumberFormat="1" applyFont="1" applyFill="1" applyBorder="1" applyAlignment="1">
      <alignment vertical="center"/>
    </xf>
    <xf numFmtId="3" fontId="8" fillId="2" borderId="3" xfId="0" applyNumberFormat="1" applyFont="1" applyFill="1" applyBorder="1" applyAlignment="1">
      <alignment horizontal="center" vertical="center"/>
    </xf>
    <xf numFmtId="14" fontId="8" fillId="2" borderId="3" xfId="0" applyNumberFormat="1" applyFont="1" applyFill="1" applyBorder="1" applyAlignment="1">
      <alignment vertical="center"/>
    </xf>
    <xf numFmtId="49" fontId="8" fillId="2" borderId="3" xfId="0" applyNumberFormat="1" applyFont="1" applyFill="1" applyBorder="1" applyAlignment="1">
      <alignment horizontal="justify" vertical="center"/>
    </xf>
    <xf numFmtId="49" fontId="12" fillId="5" borderId="3" xfId="0" applyNumberFormat="1" applyFont="1" applyFill="1" applyBorder="1" applyAlignment="1">
      <alignment horizontal="center" vertical="center"/>
    </xf>
    <xf numFmtId="49" fontId="13" fillId="5" borderId="3" xfId="0" applyNumberFormat="1" applyFont="1" applyFill="1" applyBorder="1" applyAlignment="1">
      <alignment horizontal="center" vertical="top" wrapText="1"/>
    </xf>
    <xf numFmtId="14" fontId="8" fillId="2" borderId="7" xfId="0" applyNumberFormat="1" applyFont="1" applyFill="1" applyBorder="1" applyAlignment="1">
      <alignment vertical="center"/>
    </xf>
    <xf numFmtId="49" fontId="9" fillId="3" borderId="8" xfId="0" applyNumberFormat="1" applyFont="1" applyFill="1" applyBorder="1" applyAlignment="1">
      <alignment horizontal="right" vertical="center"/>
    </xf>
    <xf numFmtId="0" fontId="5" fillId="2" borderId="9" xfId="0" applyFont="1" applyFill="1" applyBorder="1" applyAlignment="1">
      <alignment vertical="center"/>
    </xf>
    <xf numFmtId="49" fontId="12" fillId="5" borderId="19" xfId="0" applyNumberFormat="1" applyFont="1" applyFill="1" applyBorder="1" applyAlignment="1">
      <alignment horizontal="center" vertical="center"/>
    </xf>
    <xf numFmtId="49" fontId="12" fillId="5" borderId="20" xfId="0" applyNumberFormat="1" applyFont="1" applyFill="1" applyBorder="1" applyAlignment="1">
      <alignment horizontal="center" vertical="center"/>
    </xf>
    <xf numFmtId="49" fontId="13" fillId="5" borderId="20" xfId="0" applyNumberFormat="1" applyFont="1" applyFill="1" applyBorder="1" applyAlignment="1">
      <alignment horizontal="center" vertical="top" wrapText="1"/>
    </xf>
    <xf numFmtId="49" fontId="12" fillId="5" borderId="21" xfId="0" applyNumberFormat="1" applyFont="1" applyFill="1" applyBorder="1" applyAlignment="1">
      <alignment horizontal="center" vertical="center"/>
    </xf>
    <xf numFmtId="166" fontId="6" fillId="5" borderId="15" xfId="0" applyNumberFormat="1" applyFont="1" applyFill="1" applyBorder="1" applyAlignment="1">
      <alignment vertical="center"/>
    </xf>
    <xf numFmtId="166" fontId="6" fillId="5" borderId="18" xfId="0" applyNumberFormat="1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49" fontId="5" fillId="2" borderId="3" xfId="0" applyNumberFormat="1" applyFont="1" applyFill="1" applyBorder="1" applyAlignment="1">
      <alignment horizontal="left" vertical="center"/>
    </xf>
    <xf numFmtId="49" fontId="5" fillId="2" borderId="3" xfId="0" applyNumberFormat="1" applyFont="1" applyFill="1" applyBorder="1" applyAlignment="1">
      <alignment horizontal="right" vertical="center"/>
    </xf>
    <xf numFmtId="10" fontId="5" fillId="2" borderId="3" xfId="0" applyNumberFormat="1" applyFont="1" applyFill="1" applyBorder="1" applyAlignment="1">
      <alignment horizontal="center" vertical="center"/>
    </xf>
    <xf numFmtId="49" fontId="5" fillId="2" borderId="3" xfId="0" applyNumberFormat="1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49" fontId="10" fillId="2" borderId="3" xfId="0" applyNumberFormat="1" applyFont="1" applyFill="1" applyBorder="1" applyAlignment="1">
      <alignment vertical="center"/>
    </xf>
    <xf numFmtId="49" fontId="15" fillId="5" borderId="3" xfId="0" applyNumberFormat="1" applyFont="1" applyFill="1" applyBorder="1" applyAlignment="1">
      <alignment horizontal="center" vertical="center"/>
    </xf>
    <xf numFmtId="9" fontId="7" fillId="5" borderId="3" xfId="0" applyNumberFormat="1" applyFont="1" applyFill="1" applyBorder="1" applyAlignment="1">
      <alignment horizontal="center" vertical="center"/>
    </xf>
    <xf numFmtId="49" fontId="10" fillId="2" borderId="7" xfId="0" applyNumberFormat="1" applyFont="1" applyFill="1" applyBorder="1" applyAlignment="1">
      <alignment vertical="center"/>
    </xf>
    <xf numFmtId="49" fontId="5" fillId="2" borderId="7" xfId="0" applyNumberFormat="1" applyFont="1" applyFill="1" applyBorder="1" applyAlignment="1">
      <alignment horizontal="right" vertical="center"/>
    </xf>
    <xf numFmtId="10" fontId="5" fillId="2" borderId="7" xfId="0" applyNumberFormat="1" applyFont="1" applyFill="1" applyBorder="1" applyAlignment="1">
      <alignment horizontal="center" vertical="center"/>
    </xf>
    <xf numFmtId="9" fontId="7" fillId="5" borderId="28" xfId="0" applyNumberFormat="1" applyFont="1" applyFill="1" applyBorder="1" applyAlignment="1">
      <alignment horizontal="center" vertical="center"/>
    </xf>
    <xf numFmtId="9" fontId="7" fillId="5" borderId="29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2" fillId="0" borderId="2" xfId="0" applyNumberFormat="1" applyFont="1" applyFill="1" applyBorder="1" applyAlignment="1">
      <alignment vertical="center"/>
    </xf>
    <xf numFmtId="0" fontId="2" fillId="0" borderId="1" xfId="0" applyNumberFormat="1" applyFont="1" applyFill="1" applyBorder="1" applyAlignment="1">
      <alignment vertical="center"/>
    </xf>
    <xf numFmtId="49" fontId="1" fillId="0" borderId="1" xfId="0" applyNumberFormat="1" applyFont="1" applyFill="1" applyBorder="1" applyAlignment="1">
      <alignment vertical="center"/>
    </xf>
    <xf numFmtId="49" fontId="6" fillId="2" borderId="3" xfId="0" applyNumberFormat="1" applyFont="1" applyFill="1" applyBorder="1" applyAlignment="1">
      <alignment horizontal="center" vertical="center"/>
    </xf>
    <xf numFmtId="49" fontId="9" fillId="2" borderId="3" xfId="0" applyNumberFormat="1" applyFont="1" applyFill="1" applyBorder="1" applyAlignment="1">
      <alignment horizontal="center" vertical="center"/>
    </xf>
    <xf numFmtId="49" fontId="10" fillId="3" borderId="3" xfId="0" applyNumberFormat="1" applyFont="1" applyFill="1" applyBorder="1" applyAlignment="1">
      <alignment vertical="center"/>
    </xf>
    <xf numFmtId="49" fontId="5" fillId="3" borderId="3" xfId="0" applyNumberFormat="1" applyFont="1" applyFill="1" applyBorder="1" applyAlignment="1">
      <alignment horizontal="left" vertical="center"/>
    </xf>
    <xf numFmtId="14" fontId="5" fillId="3" borderId="3" xfId="0" applyNumberFormat="1" applyFont="1" applyFill="1" applyBorder="1" applyAlignment="1">
      <alignment vertical="center"/>
    </xf>
    <xf numFmtId="10" fontId="5" fillId="3" borderId="3" xfId="0" applyNumberFormat="1" applyFont="1" applyFill="1" applyBorder="1" applyAlignment="1">
      <alignment horizontal="center" vertical="center"/>
    </xf>
    <xf numFmtId="10" fontId="8" fillId="3" borderId="3" xfId="0" applyNumberFormat="1" applyFont="1" applyFill="1" applyBorder="1" applyAlignment="1">
      <alignment horizontal="center" vertical="center"/>
    </xf>
    <xf numFmtId="14" fontId="5" fillId="2" borderId="3" xfId="0" applyNumberFormat="1" applyFont="1" applyFill="1" applyBorder="1" applyAlignment="1">
      <alignment vertical="center"/>
    </xf>
    <xf numFmtId="49" fontId="5" fillId="2" borderId="7" xfId="0" applyNumberFormat="1" applyFont="1" applyFill="1" applyBorder="1" applyAlignment="1">
      <alignment horizontal="left" vertical="center"/>
    </xf>
    <xf numFmtId="14" fontId="5" fillId="2" borderId="7" xfId="0" applyNumberFormat="1" applyFont="1" applyFill="1" applyBorder="1" applyAlignment="1">
      <alignment vertical="center"/>
    </xf>
    <xf numFmtId="0" fontId="5" fillId="0" borderId="1" xfId="0" applyNumberFormat="1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vertical="center"/>
    </xf>
    <xf numFmtId="0" fontId="0" fillId="0" borderId="1" xfId="0" applyNumberFormat="1" applyFont="1" applyBorder="1" applyAlignment="1"/>
    <xf numFmtId="49" fontId="9" fillId="5" borderId="31" xfId="0" applyNumberFormat="1" applyFont="1" applyFill="1" applyBorder="1" applyAlignment="1">
      <alignment horizontal="right" vertical="center"/>
    </xf>
    <xf numFmtId="0" fontId="0" fillId="0" borderId="1" xfId="0" applyNumberFormat="1" applyFont="1" applyFill="1" applyBorder="1" applyAlignment="1"/>
    <xf numFmtId="0" fontId="0" fillId="0" borderId="0" xfId="0" applyNumberFormat="1" applyFont="1" applyFill="1" applyAlignment="1"/>
    <xf numFmtId="49" fontId="11" fillId="4" borderId="37" xfId="0" applyNumberFormat="1" applyFont="1" applyFill="1" applyBorder="1" applyAlignment="1">
      <alignment horizontal="center" vertical="center"/>
    </xf>
    <xf numFmtId="49" fontId="11" fillId="4" borderId="38" xfId="0" applyNumberFormat="1" applyFont="1" applyFill="1" applyBorder="1" applyAlignment="1">
      <alignment horizontal="center" vertical="center"/>
    </xf>
    <xf numFmtId="10" fontId="7" fillId="3" borderId="23" xfId="0" applyNumberFormat="1" applyFont="1" applyFill="1" applyBorder="1" applyAlignment="1">
      <alignment horizontal="center" vertical="center"/>
    </xf>
    <xf numFmtId="10" fontId="7" fillId="3" borderId="24" xfId="0" applyNumberFormat="1" applyFont="1" applyFill="1" applyBorder="1" applyAlignment="1">
      <alignment horizontal="center" vertical="center"/>
    </xf>
    <xf numFmtId="49" fontId="17" fillId="2" borderId="3" xfId="0" applyNumberFormat="1" applyFont="1" applyFill="1" applyBorder="1" applyAlignment="1">
      <alignment horizontal="center" vertical="center"/>
    </xf>
    <xf numFmtId="49" fontId="18" fillId="2" borderId="3" xfId="0" applyNumberFormat="1" applyFont="1" applyFill="1" applyBorder="1" applyAlignment="1">
      <alignment vertical="center"/>
    </xf>
    <xf numFmtId="49" fontId="17" fillId="2" borderId="3" xfId="0" applyNumberFormat="1" applyFont="1" applyFill="1" applyBorder="1" applyAlignment="1">
      <alignment vertical="center"/>
    </xf>
    <xf numFmtId="49" fontId="17" fillId="2" borderId="30" xfId="0" applyNumberFormat="1" applyFont="1" applyFill="1" applyBorder="1" applyAlignment="1">
      <alignment horizontal="center" vertical="center"/>
    </xf>
    <xf numFmtId="164" fontId="18" fillId="2" borderId="30" xfId="0" applyNumberFormat="1" applyFont="1" applyFill="1" applyBorder="1" applyAlignment="1">
      <alignment vertical="center"/>
    </xf>
    <xf numFmtId="49" fontId="16" fillId="5" borderId="39" xfId="0" applyNumberFormat="1" applyFont="1" applyFill="1" applyBorder="1" applyAlignment="1">
      <alignment horizontal="center" vertical="center"/>
    </xf>
    <xf numFmtId="49" fontId="17" fillId="5" borderId="19" xfId="0" applyNumberFormat="1" applyFont="1" applyFill="1" applyBorder="1" applyAlignment="1">
      <alignment vertical="center"/>
    </xf>
    <xf numFmtId="49" fontId="9" fillId="5" borderId="19" xfId="0" applyNumberFormat="1" applyFont="1" applyFill="1" applyBorder="1" applyAlignment="1">
      <alignment vertical="center"/>
    </xf>
    <xf numFmtId="49" fontId="16" fillId="5" borderId="40" xfId="0" applyNumberFormat="1" applyFont="1" applyFill="1" applyBorder="1" applyAlignment="1">
      <alignment horizontal="center" vertical="center"/>
    </xf>
    <xf numFmtId="49" fontId="16" fillId="5" borderId="41" xfId="0" applyNumberFormat="1" applyFont="1" applyFill="1" applyBorder="1" applyAlignment="1">
      <alignment horizontal="center" vertical="center"/>
    </xf>
    <xf numFmtId="0" fontId="0" fillId="0" borderId="36" xfId="0" applyFont="1" applyFill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49" fontId="7" fillId="5" borderId="3" xfId="0" applyNumberFormat="1" applyFont="1" applyFill="1" applyBorder="1" applyAlignment="1">
      <alignment horizontal="center" vertical="center"/>
    </xf>
    <xf numFmtId="0" fontId="7" fillId="5" borderId="3" xfId="0" applyNumberFormat="1" applyFont="1" applyFill="1" applyBorder="1" applyAlignment="1">
      <alignment horizontal="center" vertical="center"/>
    </xf>
    <xf numFmtId="49" fontId="4" fillId="4" borderId="4" xfId="0" applyNumberFormat="1" applyFont="1" applyFill="1" applyBorder="1" applyAlignment="1">
      <alignment horizontal="center" vertical="center"/>
    </xf>
    <xf numFmtId="49" fontId="4" fillId="4" borderId="5" xfId="0" applyNumberFormat="1" applyFont="1" applyFill="1" applyBorder="1" applyAlignment="1">
      <alignment horizontal="center" vertical="center"/>
    </xf>
    <xf numFmtId="49" fontId="4" fillId="4" borderId="6" xfId="0" applyNumberFormat="1" applyFont="1" applyFill="1" applyBorder="1" applyAlignment="1">
      <alignment horizontal="center" vertical="center"/>
    </xf>
    <xf numFmtId="0" fontId="4" fillId="4" borderId="5" xfId="0" applyNumberFormat="1" applyFont="1" applyFill="1" applyBorder="1" applyAlignment="1">
      <alignment horizontal="center" vertical="center"/>
    </xf>
    <xf numFmtId="0" fontId="4" fillId="4" borderId="6" xfId="0" applyNumberFormat="1" applyFont="1" applyFill="1" applyBorder="1" applyAlignment="1">
      <alignment horizontal="center" vertical="center"/>
    </xf>
    <xf numFmtId="0" fontId="0" fillId="0" borderId="0" xfId="0" applyNumberFormat="1" applyFont="1" applyAlignment="1">
      <alignment horizontal="center"/>
    </xf>
    <xf numFmtId="0" fontId="21" fillId="6" borderId="0" xfId="1" applyNumberFormat="1" applyFont="1" applyFill="1" applyAlignment="1">
      <alignment horizontal="center"/>
    </xf>
    <xf numFmtId="0" fontId="22" fillId="6" borderId="0" xfId="1" applyNumberFormat="1" applyFont="1" applyFill="1" applyAlignment="1">
      <alignment horizontal="center"/>
    </xf>
    <xf numFmtId="0" fontId="13" fillId="4" borderId="0" xfId="0" applyNumberFormat="1" applyFont="1" applyFill="1" applyAlignment="1">
      <alignment horizontal="center"/>
    </xf>
    <xf numFmtId="0" fontId="0" fillId="4" borderId="0" xfId="0" applyNumberFormat="1" applyFont="1" applyFill="1" applyAlignment="1">
      <alignment horizontal="center"/>
    </xf>
    <xf numFmtId="0" fontId="19" fillId="4" borderId="0" xfId="1" applyNumberFormat="1" applyFont="1" applyFill="1" applyAlignment="1">
      <alignment horizontal="center"/>
    </xf>
    <xf numFmtId="0" fontId="19" fillId="4" borderId="0" xfId="0" applyNumberFormat="1" applyFont="1" applyFill="1" applyAlignment="1">
      <alignment horizontal="center"/>
    </xf>
    <xf numFmtId="49" fontId="14" fillId="4" borderId="16" xfId="0" applyNumberFormat="1" applyFont="1" applyFill="1" applyBorder="1" applyAlignment="1">
      <alignment horizontal="left" vertical="center"/>
    </xf>
    <xf numFmtId="0" fontId="14" fillId="4" borderId="17" xfId="0" applyNumberFormat="1" applyFont="1" applyFill="1" applyBorder="1" applyAlignment="1">
      <alignment horizontal="left" vertical="center"/>
    </xf>
    <xf numFmtId="17" fontId="4" fillId="4" borderId="5" xfId="0" applyNumberFormat="1" applyFont="1" applyFill="1" applyBorder="1" applyAlignment="1">
      <alignment horizontal="center" vertical="center"/>
    </xf>
    <xf numFmtId="17" fontId="4" fillId="4" borderId="6" xfId="0" applyNumberFormat="1" applyFont="1" applyFill="1" applyBorder="1" applyAlignment="1">
      <alignment horizontal="center" vertical="center"/>
    </xf>
    <xf numFmtId="49" fontId="7" fillId="5" borderId="27" xfId="0" applyNumberFormat="1" applyFont="1" applyFill="1" applyBorder="1" applyAlignment="1">
      <alignment horizontal="center" vertical="center"/>
    </xf>
    <xf numFmtId="0" fontId="7" fillId="5" borderId="28" xfId="0" applyNumberFormat="1" applyFont="1" applyFill="1" applyBorder="1" applyAlignment="1">
      <alignment horizontal="center" vertical="center"/>
    </xf>
    <xf numFmtId="49" fontId="14" fillId="4" borderId="13" xfId="0" applyNumberFormat="1" applyFont="1" applyFill="1" applyBorder="1" applyAlignment="1">
      <alignment horizontal="left" vertical="center"/>
    </xf>
    <xf numFmtId="0" fontId="14" fillId="4" borderId="14" xfId="0" applyNumberFormat="1" applyFont="1" applyFill="1" applyBorder="1" applyAlignment="1">
      <alignment horizontal="left" vertical="center"/>
    </xf>
    <xf numFmtId="49" fontId="14" fillId="4" borderId="10" xfId="0" applyNumberFormat="1" applyFont="1" applyFill="1" applyBorder="1" applyAlignment="1">
      <alignment horizontal="left" vertical="center"/>
    </xf>
    <xf numFmtId="0" fontId="14" fillId="4" borderId="11" xfId="0" applyNumberFormat="1" applyFont="1" applyFill="1" applyBorder="1" applyAlignment="1">
      <alignment horizontal="left" vertical="center"/>
    </xf>
    <xf numFmtId="49" fontId="4" fillId="4" borderId="26" xfId="0" applyNumberFormat="1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8" fontId="6" fillId="5" borderId="12" xfId="0" applyNumberFormat="1" applyFont="1" applyFill="1" applyBorder="1" applyAlignment="1">
      <alignment vertical="center"/>
    </xf>
    <xf numFmtId="8" fontId="8" fillId="2" borderId="3" xfId="0" applyNumberFormat="1" applyFont="1" applyFill="1" applyBorder="1" applyAlignment="1">
      <alignment vertical="center"/>
    </xf>
    <xf numFmtId="8" fontId="8" fillId="2" borderId="25" xfId="0" applyNumberFormat="1" applyFont="1" applyFill="1" applyBorder="1" applyAlignment="1">
      <alignment vertical="center"/>
    </xf>
    <xf numFmtId="8" fontId="9" fillId="3" borderId="22" xfId="0" applyNumberFormat="1" applyFont="1" applyFill="1" applyBorder="1" applyAlignment="1">
      <alignment horizontal="right" vertical="center"/>
    </xf>
    <xf numFmtId="44" fontId="5" fillId="2" borderId="3" xfId="2" applyFont="1" applyFill="1" applyBorder="1" applyAlignment="1">
      <alignment horizontal="right" vertical="center"/>
    </xf>
    <xf numFmtId="44" fontId="5" fillId="2" borderId="3" xfId="2" applyFont="1" applyFill="1" applyBorder="1" applyAlignment="1">
      <alignment vertical="center"/>
    </xf>
    <xf numFmtId="44" fontId="7" fillId="5" borderId="3" xfId="2" applyFont="1" applyFill="1" applyBorder="1" applyAlignment="1">
      <alignment vertical="center"/>
    </xf>
    <xf numFmtId="44" fontId="5" fillId="2" borderId="7" xfId="2" applyFont="1" applyFill="1" applyBorder="1" applyAlignment="1">
      <alignment vertical="center"/>
    </xf>
    <xf numFmtId="44" fontId="7" fillId="5" borderId="28" xfId="2" applyFont="1" applyFill="1" applyBorder="1" applyAlignment="1">
      <alignment vertical="center"/>
    </xf>
    <xf numFmtId="44" fontId="5" fillId="3" borderId="3" xfId="2" applyFont="1" applyFill="1" applyBorder="1" applyAlignment="1">
      <alignment horizontal="right" vertical="center"/>
    </xf>
    <xf numFmtId="44" fontId="5" fillId="2" borderId="7" xfId="2" applyFont="1" applyFill="1" applyBorder="1" applyAlignment="1">
      <alignment horizontal="right" vertical="center"/>
    </xf>
    <xf numFmtId="44" fontId="9" fillId="5" borderId="32" xfId="2" applyFont="1" applyFill="1" applyBorder="1" applyAlignment="1">
      <alignment vertical="center"/>
    </xf>
    <xf numFmtId="44" fontId="9" fillId="5" borderId="33" xfId="2" applyFont="1" applyFill="1" applyBorder="1" applyAlignment="1">
      <alignment vertical="center"/>
    </xf>
    <xf numFmtId="44" fontId="0" fillId="0" borderId="1" xfId="2" applyFont="1" applyFill="1" applyBorder="1" applyAlignment="1">
      <alignment vertical="center"/>
    </xf>
    <xf numFmtId="44" fontId="5" fillId="3" borderId="3" xfId="2" applyFont="1" applyFill="1" applyBorder="1" applyAlignment="1">
      <alignment vertical="center"/>
    </xf>
    <xf numFmtId="44" fontId="9" fillId="5" borderId="34" xfId="2" applyFont="1" applyFill="1" applyBorder="1" applyAlignment="1">
      <alignment vertical="center"/>
    </xf>
    <xf numFmtId="44" fontId="9" fillId="5" borderId="35" xfId="2" applyFont="1" applyFill="1" applyBorder="1" applyAlignment="1">
      <alignment vertical="center"/>
    </xf>
    <xf numFmtId="44" fontId="5" fillId="3" borderId="4" xfId="2" applyFont="1" applyFill="1" applyBorder="1" applyAlignment="1">
      <alignment vertical="center"/>
    </xf>
    <xf numFmtId="44" fontId="5" fillId="2" borderId="4" xfId="2" applyFont="1" applyFill="1" applyBorder="1" applyAlignment="1">
      <alignment vertical="center"/>
    </xf>
    <xf numFmtId="44" fontId="18" fillId="2" borderId="3" xfId="2" applyFont="1" applyFill="1" applyBorder="1" applyAlignment="1">
      <alignment vertical="center"/>
    </xf>
    <xf numFmtId="44" fontId="17" fillId="5" borderId="20" xfId="2" applyFont="1" applyFill="1" applyBorder="1" applyAlignment="1">
      <alignment vertical="center"/>
    </xf>
    <xf numFmtId="44" fontId="17" fillId="5" borderId="21" xfId="2" applyFont="1" applyFill="1" applyBorder="1" applyAlignment="1">
      <alignment vertical="center"/>
    </xf>
    <xf numFmtId="44" fontId="9" fillId="5" borderId="20" xfId="2" applyFont="1" applyFill="1" applyBorder="1" applyAlignment="1">
      <alignment vertical="center"/>
    </xf>
    <xf numFmtId="44" fontId="17" fillId="2" borderId="3" xfId="2" applyFont="1" applyFill="1" applyBorder="1" applyAlignment="1">
      <alignment vertical="center"/>
    </xf>
    <xf numFmtId="44" fontId="5" fillId="0" borderId="36" xfId="2" applyFont="1" applyFill="1" applyBorder="1" applyAlignment="1">
      <alignment horizontal="center" vertical="center"/>
    </xf>
    <xf numFmtId="44" fontId="5" fillId="0" borderId="9" xfId="2" applyFont="1" applyFill="1" applyBorder="1" applyAlignment="1">
      <alignment horizontal="center" vertical="center"/>
    </xf>
  </cellXfs>
  <cellStyles count="3">
    <cellStyle name="Currency" xfId="2" builtinId="4"/>
    <cellStyle name="Hyperlink" xfId="1" builtinId="8"/>
    <cellStyle name="Normal" xfId="0" builtinId="0"/>
  </cellStyles>
  <dxfs count="1"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336699"/>
      <rgbColor rgb="FFAAAAAA"/>
      <rgbColor rgb="FF009999"/>
      <rgbColor rgb="FFFF0000"/>
      <rgbColor rgb="FF33CCCC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35178"/>
      <color rgb="FF02A29A"/>
      <color rgb="FF0FC4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805898</xdr:colOff>
      <xdr:row>3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782550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0</xdr:row>
      <xdr:rowOff>142875</xdr:rowOff>
    </xdr:from>
    <xdr:to>
      <xdr:col>1</xdr:col>
      <xdr:colOff>723900</xdr:colOff>
      <xdr:row>2</xdr:row>
      <xdr:rowOff>187478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42875"/>
          <a:ext cx="2238375" cy="549428"/>
        </a:xfrm>
        <a:prstGeom prst="rect">
          <a:avLst/>
        </a:prstGeom>
      </xdr:spPr>
    </xdr:pic>
    <xdr:clientData/>
  </xdr:twoCellAnchor>
  <xdr:oneCellAnchor>
    <xdr:from>
      <xdr:col>7</xdr:col>
      <xdr:colOff>38100</xdr:colOff>
      <xdr:row>1</xdr:row>
      <xdr:rowOff>152400</xdr:rowOff>
    </xdr:from>
    <xdr:ext cx="3966661" cy="342464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8343900" y="447675"/>
          <a:ext cx="3966661" cy="342464"/>
        </a:xfrm>
        <a:prstGeom prst="rect">
          <a:avLst/>
        </a:prstGeom>
        <a:noFill/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clip" vert="horz" wrap="none" lIns="45719" tIns="45719" rIns="45719" bIns="45719" numCol="1" spcCol="38100" rtlCol="0" anchor="t">
          <a:spAutoFit/>
        </a:bodyPr>
        <a:lstStyle/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r>
            <a:rPr kumimoji="0" lang="en-US" sz="1600" b="1" i="0" u="none" strike="noStrike" cap="none" spc="0" normalizeH="0" baseline="0">
              <a:ln>
                <a:noFill/>
              </a:ln>
              <a:solidFill>
                <a:schemeClr val="bg1"/>
              </a:solidFill>
              <a:effectLst/>
              <a:uFillTx/>
              <a:latin typeface="Montserrat" panose="00000500000000000000" pitchFamily="2" charset="0"/>
              <a:ea typeface="Calibri"/>
              <a:cs typeface="Calibri"/>
              <a:sym typeface="Calibri"/>
            </a:rPr>
            <a:t>FINANZAS FAMILIARES ENERO 2022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Tema de Office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oporte@carlosdevis.com" TargetMode="External"/><Relationship Id="rId1" Type="http://schemas.openxmlformats.org/officeDocument/2006/relationships/hyperlink" Target="https://carlosdevis.com/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107"/>
  <sheetViews>
    <sheetView tabSelected="1" zoomScale="115" zoomScaleNormal="115" workbookViewId="0">
      <selection sqref="A1:I3"/>
    </sheetView>
  </sheetViews>
  <sheetFormatPr defaultColWidth="10.85546875" defaultRowHeight="14.25" customHeight="1" x14ac:dyDescent="0.25"/>
  <cols>
    <col min="1" max="2" width="23.140625" style="1" customWidth="1"/>
    <col min="3" max="3" width="16.85546875" style="1" bestFit="1" customWidth="1"/>
    <col min="4" max="4" width="15.140625" style="1" customWidth="1"/>
    <col min="5" max="5" width="16.85546875" style="1" customWidth="1"/>
    <col min="6" max="6" width="18.7109375" style="1" customWidth="1"/>
    <col min="7" max="7" width="12.5703125" style="1" bestFit="1" customWidth="1"/>
    <col min="8" max="8" width="53.140625" style="1" customWidth="1"/>
    <col min="9" max="9" width="13.7109375" style="1" customWidth="1"/>
    <col min="10" max="10" width="10.140625" style="1" customWidth="1"/>
    <col min="11" max="11" width="24.42578125" style="1" customWidth="1"/>
    <col min="12" max="12" width="16.42578125" style="1" customWidth="1"/>
    <col min="13" max="13" width="11.42578125" style="1" customWidth="1"/>
    <col min="14" max="14" width="30.140625" style="1" customWidth="1"/>
    <col min="15" max="15" width="15.85546875" style="1" customWidth="1"/>
    <col min="16" max="16" width="11.42578125" style="1" customWidth="1"/>
    <col min="17" max="17" width="29.42578125" style="1" customWidth="1"/>
    <col min="18" max="18" width="18" style="1" customWidth="1"/>
    <col min="19" max="20" width="15.140625" style="1" customWidth="1"/>
    <col min="21" max="24" width="13.7109375" style="1" customWidth="1"/>
    <col min="25" max="25" width="15.85546875" style="1" customWidth="1"/>
    <col min="26" max="27" width="16.42578125" style="1" customWidth="1"/>
    <col min="28" max="28" width="15.85546875" style="1" customWidth="1"/>
    <col min="29" max="30" width="16.42578125" style="1" customWidth="1"/>
    <col min="31" max="256" width="10.85546875" style="1" customWidth="1"/>
  </cols>
  <sheetData>
    <row r="1" spans="1:30" ht="20.25" customHeight="1" x14ac:dyDescent="0.3">
      <c r="A1" s="75"/>
      <c r="B1" s="75"/>
      <c r="C1" s="75"/>
      <c r="D1" s="75"/>
      <c r="E1" s="75"/>
      <c r="F1" s="75"/>
      <c r="G1" s="75"/>
      <c r="H1" s="75"/>
      <c r="I1" s="75"/>
      <c r="K1" s="76" t="s">
        <v>134</v>
      </c>
      <c r="L1" s="77"/>
      <c r="M1" s="77"/>
      <c r="N1" s="77"/>
    </row>
    <row r="2" spans="1:30" ht="19.5" customHeight="1" x14ac:dyDescent="0.3">
      <c r="A2" s="75"/>
      <c r="B2" s="75"/>
      <c r="C2" s="75"/>
      <c r="D2" s="75"/>
      <c r="E2" s="75"/>
      <c r="F2" s="75"/>
      <c r="G2" s="75"/>
      <c r="H2" s="75"/>
      <c r="I2" s="75"/>
      <c r="K2" s="78" t="s">
        <v>133</v>
      </c>
      <c r="L2" s="79"/>
      <c r="M2" s="79"/>
      <c r="N2" s="79"/>
    </row>
    <row r="3" spans="1:30" ht="19.5" customHeight="1" x14ac:dyDescent="0.35">
      <c r="A3" s="75"/>
      <c r="B3" s="75"/>
      <c r="C3" s="75"/>
      <c r="D3" s="75"/>
      <c r="E3" s="75"/>
      <c r="F3" s="75"/>
      <c r="G3" s="75"/>
      <c r="H3" s="75"/>
      <c r="I3" s="75"/>
      <c r="K3" s="80" t="s">
        <v>135</v>
      </c>
      <c r="L3" s="81"/>
      <c r="M3" s="81"/>
      <c r="N3" s="81"/>
    </row>
    <row r="4" spans="1:30" ht="20.25" customHeight="1" x14ac:dyDescent="0.25">
      <c r="A4" s="35"/>
      <c r="B4" s="35"/>
      <c r="C4" s="35"/>
      <c r="D4" s="35"/>
      <c r="E4" s="35"/>
      <c r="F4" s="35"/>
      <c r="G4" s="35"/>
      <c r="H4" s="35"/>
      <c r="I4" s="35"/>
      <c r="J4" s="32"/>
      <c r="K4" s="32"/>
      <c r="L4" s="32"/>
      <c r="M4" s="32"/>
      <c r="N4" s="32"/>
      <c r="O4" s="32"/>
      <c r="P4" s="32"/>
      <c r="Q4" s="70" t="s">
        <v>0</v>
      </c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2"/>
    </row>
    <row r="5" spans="1:30" ht="25.5" customHeight="1" x14ac:dyDescent="0.25">
      <c r="A5" s="33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64" t="s">
        <v>1</v>
      </c>
      <c r="R5" s="61" t="s">
        <v>2</v>
      </c>
      <c r="S5" s="61" t="s">
        <v>3</v>
      </c>
      <c r="T5" s="61" t="s">
        <v>4</v>
      </c>
      <c r="U5" s="61" t="s">
        <v>5</v>
      </c>
      <c r="V5" s="61" t="s">
        <v>6</v>
      </c>
      <c r="W5" s="61" t="s">
        <v>7</v>
      </c>
      <c r="X5" s="61" t="s">
        <v>8</v>
      </c>
      <c r="Y5" s="61" t="s">
        <v>9</v>
      </c>
      <c r="Z5" s="61" t="s">
        <v>10</v>
      </c>
      <c r="AA5" s="61" t="s">
        <v>11</v>
      </c>
      <c r="AB5" s="61" t="s">
        <v>12</v>
      </c>
      <c r="AC5" s="61" t="s">
        <v>13</v>
      </c>
      <c r="AD5" s="65" t="s">
        <v>14</v>
      </c>
    </row>
    <row r="6" spans="1:30" ht="20.25" customHeight="1" x14ac:dyDescent="0.25">
      <c r="A6" s="70" t="s">
        <v>15</v>
      </c>
      <c r="B6" s="73"/>
      <c r="C6" s="73"/>
      <c r="D6" s="73"/>
      <c r="E6" s="74"/>
      <c r="F6" s="31"/>
      <c r="G6" s="31"/>
      <c r="H6" s="31"/>
      <c r="I6" s="31"/>
      <c r="J6" s="31"/>
      <c r="K6" s="31"/>
      <c r="L6" s="31"/>
      <c r="M6" s="31"/>
      <c r="N6" s="31"/>
      <c r="O6" s="31"/>
      <c r="P6" s="32"/>
      <c r="Q6" s="59" t="s">
        <v>16</v>
      </c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</row>
    <row r="7" spans="1:30" ht="26.25" customHeight="1" x14ac:dyDescent="0.25">
      <c r="A7" s="11" t="s">
        <v>16</v>
      </c>
      <c r="B7" s="12" t="s">
        <v>17</v>
      </c>
      <c r="C7" s="13" t="s">
        <v>18</v>
      </c>
      <c r="D7" s="12" t="s">
        <v>19</v>
      </c>
      <c r="E7" s="14" t="s">
        <v>20</v>
      </c>
      <c r="F7" s="31"/>
      <c r="G7" s="90" t="s">
        <v>21</v>
      </c>
      <c r="H7" s="91"/>
      <c r="I7" s="94">
        <f>E15-(C38+F62)</f>
        <v>2511</v>
      </c>
      <c r="J7" s="31"/>
      <c r="K7" s="31"/>
      <c r="L7" s="31"/>
      <c r="M7" s="31"/>
      <c r="N7" s="31"/>
      <c r="O7" s="31"/>
      <c r="P7" s="32"/>
      <c r="Q7" s="57" t="s">
        <v>22</v>
      </c>
      <c r="R7" s="113">
        <f>SUM(S7:AD7)</f>
        <v>3600</v>
      </c>
      <c r="S7" s="113">
        <v>300</v>
      </c>
      <c r="T7" s="113">
        <v>300</v>
      </c>
      <c r="U7" s="113">
        <v>300</v>
      </c>
      <c r="V7" s="113">
        <v>300</v>
      </c>
      <c r="W7" s="113">
        <v>300</v>
      </c>
      <c r="X7" s="113">
        <v>300</v>
      </c>
      <c r="Y7" s="113">
        <v>300</v>
      </c>
      <c r="Z7" s="113">
        <v>300</v>
      </c>
      <c r="AA7" s="113">
        <v>300</v>
      </c>
      <c r="AB7" s="113">
        <v>300</v>
      </c>
      <c r="AC7" s="113">
        <v>300</v>
      </c>
      <c r="AD7" s="113">
        <v>300</v>
      </c>
    </row>
    <row r="8" spans="1:30" ht="15" customHeight="1" x14ac:dyDescent="0.25">
      <c r="A8" s="2" t="s">
        <v>23</v>
      </c>
      <c r="B8" s="2" t="s">
        <v>24</v>
      </c>
      <c r="C8" s="3">
        <f>40*4.3</f>
        <v>172</v>
      </c>
      <c r="D8" s="4">
        <v>44321</v>
      </c>
      <c r="E8" s="95">
        <v>5000</v>
      </c>
      <c r="F8" s="31"/>
      <c r="G8" s="88" t="s">
        <v>25</v>
      </c>
      <c r="H8" s="89"/>
      <c r="I8" s="15">
        <f>F62/E15</f>
        <v>0.27111111111111114</v>
      </c>
      <c r="J8" s="31"/>
      <c r="K8" s="31"/>
      <c r="L8" s="31"/>
      <c r="M8" s="31"/>
      <c r="N8" s="31"/>
      <c r="O8" s="31"/>
      <c r="P8" s="32"/>
      <c r="Q8" s="57" t="s">
        <v>26</v>
      </c>
      <c r="R8" s="113">
        <f>SUM(S8:AD8)</f>
        <v>3360</v>
      </c>
      <c r="S8" s="113">
        <v>280</v>
      </c>
      <c r="T8" s="113">
        <v>280</v>
      </c>
      <c r="U8" s="113">
        <v>280</v>
      </c>
      <c r="V8" s="113">
        <v>280</v>
      </c>
      <c r="W8" s="113">
        <v>280</v>
      </c>
      <c r="X8" s="113">
        <v>280</v>
      </c>
      <c r="Y8" s="113">
        <v>280</v>
      </c>
      <c r="Z8" s="113">
        <v>280</v>
      </c>
      <c r="AA8" s="113">
        <v>280</v>
      </c>
      <c r="AB8" s="113">
        <v>280</v>
      </c>
      <c r="AC8" s="113">
        <v>280</v>
      </c>
      <c r="AD8" s="113">
        <v>280</v>
      </c>
    </row>
    <row r="9" spans="1:30" ht="15.75" customHeight="1" x14ac:dyDescent="0.25">
      <c r="A9" s="2" t="s">
        <v>27</v>
      </c>
      <c r="B9" s="2" t="s">
        <v>24</v>
      </c>
      <c r="C9" s="3">
        <v>172</v>
      </c>
      <c r="D9" s="4">
        <v>44322</v>
      </c>
      <c r="E9" s="95">
        <v>500</v>
      </c>
      <c r="F9" s="31"/>
      <c r="G9" s="82" t="s">
        <v>28</v>
      </c>
      <c r="H9" s="83"/>
      <c r="I9" s="16">
        <f>E62/I7</f>
        <v>114.24093986459577</v>
      </c>
      <c r="J9" s="31"/>
      <c r="K9" s="31"/>
      <c r="L9" s="31"/>
      <c r="M9" s="31"/>
      <c r="N9" s="31"/>
      <c r="O9" s="31"/>
      <c r="P9" s="32"/>
      <c r="Q9" s="57" t="s">
        <v>29</v>
      </c>
      <c r="R9" s="113">
        <f>SUM(S9:AD9)</f>
        <v>2040</v>
      </c>
      <c r="S9" s="113">
        <v>170</v>
      </c>
      <c r="T9" s="113">
        <v>170</v>
      </c>
      <c r="U9" s="113">
        <v>170</v>
      </c>
      <c r="V9" s="113">
        <v>170</v>
      </c>
      <c r="W9" s="113">
        <v>170</v>
      </c>
      <c r="X9" s="113">
        <v>170</v>
      </c>
      <c r="Y9" s="113">
        <v>170</v>
      </c>
      <c r="Z9" s="113">
        <v>170</v>
      </c>
      <c r="AA9" s="113">
        <v>170</v>
      </c>
      <c r="AB9" s="113">
        <v>170</v>
      </c>
      <c r="AC9" s="113">
        <v>170</v>
      </c>
      <c r="AD9" s="113">
        <v>170</v>
      </c>
    </row>
    <row r="10" spans="1:30" ht="15" customHeight="1" x14ac:dyDescent="0.25">
      <c r="A10" s="5" t="s">
        <v>30</v>
      </c>
      <c r="B10" s="5" t="s">
        <v>31</v>
      </c>
      <c r="C10" s="3">
        <v>1</v>
      </c>
      <c r="D10" s="4">
        <v>44323</v>
      </c>
      <c r="E10" s="95">
        <v>200</v>
      </c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2"/>
      <c r="Q10" s="57" t="s">
        <v>32</v>
      </c>
      <c r="R10" s="113">
        <f>SUM(S10:AD10)</f>
        <v>240</v>
      </c>
      <c r="S10" s="113">
        <v>0</v>
      </c>
      <c r="T10" s="113">
        <v>0</v>
      </c>
      <c r="U10" s="113">
        <v>80</v>
      </c>
      <c r="V10" s="113">
        <v>0</v>
      </c>
      <c r="W10" s="113">
        <v>0</v>
      </c>
      <c r="X10" s="113">
        <v>80</v>
      </c>
      <c r="Y10" s="113">
        <v>0</v>
      </c>
      <c r="Z10" s="113">
        <v>0</v>
      </c>
      <c r="AA10" s="113">
        <v>80</v>
      </c>
      <c r="AB10" s="113">
        <v>0</v>
      </c>
      <c r="AC10" s="113">
        <v>0</v>
      </c>
      <c r="AD10" s="113">
        <v>0</v>
      </c>
    </row>
    <row r="11" spans="1:30" ht="15" customHeight="1" x14ac:dyDescent="0.25">
      <c r="A11" s="5" t="s">
        <v>33</v>
      </c>
      <c r="B11" s="5" t="s">
        <v>31</v>
      </c>
      <c r="C11" s="3">
        <v>1</v>
      </c>
      <c r="D11" s="4">
        <v>44324</v>
      </c>
      <c r="E11" s="95">
        <v>200</v>
      </c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2"/>
      <c r="Q11" s="62" t="s">
        <v>2</v>
      </c>
      <c r="R11" s="114">
        <f t="shared" ref="R11:AD11" si="0">SUM(R6:R10)</f>
        <v>9240</v>
      </c>
      <c r="S11" s="114">
        <f t="shared" si="0"/>
        <v>750</v>
      </c>
      <c r="T11" s="114">
        <f t="shared" si="0"/>
        <v>750</v>
      </c>
      <c r="U11" s="114">
        <f t="shared" si="0"/>
        <v>830</v>
      </c>
      <c r="V11" s="114">
        <f t="shared" si="0"/>
        <v>750</v>
      </c>
      <c r="W11" s="114">
        <f t="shared" si="0"/>
        <v>750</v>
      </c>
      <c r="X11" s="114">
        <f t="shared" si="0"/>
        <v>830</v>
      </c>
      <c r="Y11" s="114">
        <f t="shared" si="0"/>
        <v>750</v>
      </c>
      <c r="Z11" s="114">
        <f t="shared" si="0"/>
        <v>750</v>
      </c>
      <c r="AA11" s="114">
        <f t="shared" si="0"/>
        <v>830</v>
      </c>
      <c r="AB11" s="114">
        <f t="shared" si="0"/>
        <v>750</v>
      </c>
      <c r="AC11" s="114">
        <f t="shared" si="0"/>
        <v>750</v>
      </c>
      <c r="AD11" s="115">
        <f t="shared" si="0"/>
        <v>750</v>
      </c>
    </row>
    <row r="12" spans="1:30" ht="15" customHeight="1" x14ac:dyDescent="0.25">
      <c r="A12" s="5" t="s">
        <v>34</v>
      </c>
      <c r="B12" s="5" t="s">
        <v>31</v>
      </c>
      <c r="C12" s="3">
        <v>2</v>
      </c>
      <c r="D12" s="4">
        <v>44325</v>
      </c>
      <c r="E12" s="95">
        <v>1500</v>
      </c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2"/>
      <c r="Q12" s="56" t="s">
        <v>35</v>
      </c>
      <c r="R12" s="113"/>
      <c r="S12" s="113"/>
      <c r="T12" s="113"/>
      <c r="U12" s="113"/>
      <c r="V12" s="113"/>
      <c r="W12" s="113"/>
      <c r="X12" s="113"/>
      <c r="Y12" s="113"/>
      <c r="Z12" s="113"/>
      <c r="AA12" s="113"/>
      <c r="AB12" s="113"/>
      <c r="AC12" s="113"/>
      <c r="AD12" s="113"/>
    </row>
    <row r="13" spans="1:30" ht="15.6" customHeight="1" x14ac:dyDescent="0.25">
      <c r="A13" s="5" t="s">
        <v>36</v>
      </c>
      <c r="B13" s="5" t="s">
        <v>31</v>
      </c>
      <c r="C13" s="3">
        <v>2</v>
      </c>
      <c r="D13" s="4">
        <v>44326</v>
      </c>
      <c r="E13" s="95">
        <v>2500</v>
      </c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2"/>
      <c r="Q13" s="57" t="s">
        <v>37</v>
      </c>
      <c r="R13" s="113">
        <f>SUM(S13:AD13)</f>
        <v>996</v>
      </c>
      <c r="S13" s="113">
        <v>83</v>
      </c>
      <c r="T13" s="113">
        <v>83</v>
      </c>
      <c r="U13" s="113">
        <v>83</v>
      </c>
      <c r="V13" s="113">
        <v>83</v>
      </c>
      <c r="W13" s="113">
        <v>83</v>
      </c>
      <c r="X13" s="113">
        <v>83</v>
      </c>
      <c r="Y13" s="113">
        <v>83</v>
      </c>
      <c r="Z13" s="113">
        <v>83</v>
      </c>
      <c r="AA13" s="113">
        <v>83</v>
      </c>
      <c r="AB13" s="113">
        <v>83</v>
      </c>
      <c r="AC13" s="113">
        <v>83</v>
      </c>
      <c r="AD13" s="113">
        <v>83</v>
      </c>
    </row>
    <row r="14" spans="1:30" ht="15" customHeight="1" x14ac:dyDescent="0.25">
      <c r="A14" s="5" t="s">
        <v>38</v>
      </c>
      <c r="B14" s="5" t="s">
        <v>31</v>
      </c>
      <c r="C14" s="3">
        <v>2</v>
      </c>
      <c r="D14" s="8">
        <v>44327</v>
      </c>
      <c r="E14" s="96">
        <v>2700</v>
      </c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2"/>
      <c r="Q14" s="57" t="s">
        <v>39</v>
      </c>
      <c r="R14" s="113">
        <f>SUM(S14:AD14)</f>
        <v>2820</v>
      </c>
      <c r="S14" s="113">
        <v>235</v>
      </c>
      <c r="T14" s="113">
        <v>235</v>
      </c>
      <c r="U14" s="113">
        <v>235</v>
      </c>
      <c r="V14" s="113">
        <v>235</v>
      </c>
      <c r="W14" s="113">
        <v>235</v>
      </c>
      <c r="X14" s="113">
        <v>235</v>
      </c>
      <c r="Y14" s="113">
        <v>235</v>
      </c>
      <c r="Z14" s="113">
        <v>235</v>
      </c>
      <c r="AA14" s="113">
        <v>235</v>
      </c>
      <c r="AB14" s="113">
        <v>235</v>
      </c>
      <c r="AC14" s="113">
        <v>235</v>
      </c>
      <c r="AD14" s="113">
        <v>235</v>
      </c>
    </row>
    <row r="15" spans="1:30" ht="15" customHeight="1" x14ac:dyDescent="0.25">
      <c r="A15" s="10"/>
      <c r="B15" s="10"/>
      <c r="C15" s="17"/>
      <c r="D15" s="9" t="s">
        <v>2</v>
      </c>
      <c r="E15" s="97">
        <f>SUM(E8:E14)</f>
        <v>12600</v>
      </c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2"/>
      <c r="Q15" s="57" t="s">
        <v>40</v>
      </c>
      <c r="R15" s="113">
        <f>SUM(S15:AD15)</f>
        <v>900</v>
      </c>
      <c r="S15" s="113">
        <v>75</v>
      </c>
      <c r="T15" s="113">
        <v>75</v>
      </c>
      <c r="U15" s="113">
        <v>75</v>
      </c>
      <c r="V15" s="113">
        <v>75</v>
      </c>
      <c r="W15" s="113">
        <v>75</v>
      </c>
      <c r="X15" s="113">
        <v>75</v>
      </c>
      <c r="Y15" s="113">
        <v>75</v>
      </c>
      <c r="Z15" s="113">
        <v>75</v>
      </c>
      <c r="AA15" s="113">
        <v>75</v>
      </c>
      <c r="AB15" s="113">
        <v>75</v>
      </c>
      <c r="AC15" s="113">
        <v>75</v>
      </c>
      <c r="AD15" s="113">
        <v>75</v>
      </c>
    </row>
    <row r="16" spans="1:30" ht="15.6" customHeight="1" x14ac:dyDescent="0.25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57" t="s">
        <v>41</v>
      </c>
      <c r="R16" s="113">
        <v>9840</v>
      </c>
      <c r="S16" s="113">
        <v>70</v>
      </c>
      <c r="T16" s="113">
        <v>70</v>
      </c>
      <c r="U16" s="113">
        <v>70</v>
      </c>
      <c r="V16" s="113">
        <v>70</v>
      </c>
      <c r="W16" s="113">
        <v>70</v>
      </c>
      <c r="X16" s="113">
        <v>70</v>
      </c>
      <c r="Y16" s="113">
        <v>70</v>
      </c>
      <c r="Z16" s="113">
        <v>70</v>
      </c>
      <c r="AA16" s="113">
        <v>70</v>
      </c>
      <c r="AB16" s="113">
        <v>70</v>
      </c>
      <c r="AC16" s="113">
        <v>70</v>
      </c>
      <c r="AD16" s="113">
        <v>70</v>
      </c>
    </row>
    <row r="17" spans="1:30" ht="15" customHeight="1" x14ac:dyDescent="0.25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2"/>
      <c r="Q17" s="57" t="s">
        <v>42</v>
      </c>
      <c r="R17" s="113">
        <v>1960</v>
      </c>
      <c r="S17" s="113">
        <v>80</v>
      </c>
      <c r="T17" s="113">
        <v>80</v>
      </c>
      <c r="U17" s="113">
        <v>80</v>
      </c>
      <c r="V17" s="113">
        <v>80</v>
      </c>
      <c r="W17" s="113">
        <v>80</v>
      </c>
      <c r="X17" s="113">
        <v>80</v>
      </c>
      <c r="Y17" s="113">
        <v>80</v>
      </c>
      <c r="Z17" s="113">
        <v>80</v>
      </c>
      <c r="AA17" s="113">
        <v>80</v>
      </c>
      <c r="AB17" s="113">
        <v>80</v>
      </c>
      <c r="AC17" s="113">
        <v>80</v>
      </c>
      <c r="AD17" s="113">
        <v>80</v>
      </c>
    </row>
    <row r="18" spans="1:30" ht="20.25" customHeight="1" x14ac:dyDescent="0.25">
      <c r="A18" s="70" t="s">
        <v>43</v>
      </c>
      <c r="B18" s="84"/>
      <c r="C18" s="84"/>
      <c r="D18" s="84"/>
      <c r="E18" s="84"/>
      <c r="F18" s="84"/>
      <c r="G18" s="84"/>
      <c r="H18" s="85"/>
      <c r="I18" s="31"/>
      <c r="J18" s="31"/>
      <c r="K18" s="31"/>
      <c r="L18" s="31"/>
      <c r="M18" s="31"/>
      <c r="N18" s="31"/>
      <c r="O18" s="31"/>
      <c r="P18" s="32"/>
      <c r="Q18" s="57" t="s">
        <v>44</v>
      </c>
      <c r="R18" s="113">
        <f>SUM(S18:AD18)</f>
        <v>550</v>
      </c>
      <c r="S18" s="113">
        <v>0</v>
      </c>
      <c r="T18" s="113">
        <v>0</v>
      </c>
      <c r="U18" s="113">
        <v>150</v>
      </c>
      <c r="V18" s="113">
        <v>0</v>
      </c>
      <c r="W18" s="113">
        <v>0</v>
      </c>
      <c r="X18" s="113">
        <v>400</v>
      </c>
      <c r="Y18" s="113">
        <v>0</v>
      </c>
      <c r="Z18" s="113">
        <v>0</v>
      </c>
      <c r="AA18" s="113">
        <v>0</v>
      </c>
      <c r="AB18" s="113">
        <v>0</v>
      </c>
      <c r="AC18" s="113">
        <v>0</v>
      </c>
      <c r="AD18" s="113">
        <v>0</v>
      </c>
    </row>
    <row r="19" spans="1:30" ht="26.25" customHeight="1" x14ac:dyDescent="0.25">
      <c r="A19" s="6" t="s">
        <v>45</v>
      </c>
      <c r="B19" s="6" t="s">
        <v>19</v>
      </c>
      <c r="C19" s="6" t="s">
        <v>46</v>
      </c>
      <c r="D19" s="6" t="s">
        <v>47</v>
      </c>
      <c r="E19" s="7" t="s">
        <v>48</v>
      </c>
      <c r="F19" s="24" t="s">
        <v>49</v>
      </c>
      <c r="G19" s="6" t="s">
        <v>47</v>
      </c>
      <c r="H19" s="6" t="s">
        <v>50</v>
      </c>
      <c r="I19" s="31"/>
      <c r="J19" s="31"/>
      <c r="K19" s="31"/>
      <c r="L19" s="31"/>
      <c r="M19" s="31"/>
      <c r="N19" s="31"/>
      <c r="O19" s="31"/>
      <c r="P19" s="32"/>
      <c r="Q19" s="63" t="s">
        <v>51</v>
      </c>
      <c r="R19" s="116">
        <f>R13+R14+R15+SUM(S16:AD16)+SUM(S17:AD17)+R18</f>
        <v>7066</v>
      </c>
      <c r="S19" s="114">
        <f t="shared" ref="S19:AD19" si="1">SUM(S12:S18)</f>
        <v>543</v>
      </c>
      <c r="T19" s="114">
        <f t="shared" si="1"/>
        <v>543</v>
      </c>
      <c r="U19" s="114">
        <f t="shared" si="1"/>
        <v>693</v>
      </c>
      <c r="V19" s="114">
        <f t="shared" si="1"/>
        <v>543</v>
      </c>
      <c r="W19" s="114">
        <f t="shared" si="1"/>
        <v>543</v>
      </c>
      <c r="X19" s="114">
        <f t="shared" si="1"/>
        <v>943</v>
      </c>
      <c r="Y19" s="114">
        <f t="shared" si="1"/>
        <v>543</v>
      </c>
      <c r="Z19" s="114">
        <f t="shared" si="1"/>
        <v>543</v>
      </c>
      <c r="AA19" s="114">
        <f t="shared" si="1"/>
        <v>543</v>
      </c>
      <c r="AB19" s="114">
        <f t="shared" si="1"/>
        <v>543</v>
      </c>
      <c r="AC19" s="114">
        <f t="shared" si="1"/>
        <v>543</v>
      </c>
      <c r="AD19" s="115">
        <f t="shared" si="1"/>
        <v>543</v>
      </c>
    </row>
    <row r="20" spans="1:30" ht="15" customHeight="1" x14ac:dyDescent="0.25">
      <c r="A20" s="18" t="s">
        <v>52</v>
      </c>
      <c r="B20" s="19" t="s">
        <v>53</v>
      </c>
      <c r="C20" s="98">
        <v>450</v>
      </c>
      <c r="D20" s="20">
        <f>C20/C38</f>
        <v>6.743593586093212E-2</v>
      </c>
      <c r="E20" s="98">
        <v>270</v>
      </c>
      <c r="F20" s="98">
        <v>122</v>
      </c>
      <c r="G20" s="20">
        <f t="shared" ref="G20:G37" si="2">(E20+F20)/(E$38+F$38)</f>
        <v>5.6869287683156827E-2</v>
      </c>
      <c r="H20" s="18" t="s">
        <v>54</v>
      </c>
      <c r="I20" s="31"/>
      <c r="J20" s="31"/>
      <c r="K20" s="31"/>
      <c r="L20" s="31"/>
      <c r="M20" s="31"/>
      <c r="N20" s="31"/>
      <c r="O20" s="31"/>
      <c r="P20" s="32"/>
      <c r="Q20" s="58" t="s">
        <v>55</v>
      </c>
      <c r="R20" s="117">
        <f>SUM(R13:R18)</f>
        <v>17066</v>
      </c>
      <c r="S20" s="117">
        <f>S11-S19</f>
        <v>207</v>
      </c>
      <c r="T20" s="117">
        <f t="shared" ref="T20:AD20" si="3">S20+T11-T19</f>
        <v>414</v>
      </c>
      <c r="U20" s="117">
        <f t="shared" si="3"/>
        <v>551</v>
      </c>
      <c r="V20" s="117">
        <f t="shared" si="3"/>
        <v>758</v>
      </c>
      <c r="W20" s="117">
        <f t="shared" si="3"/>
        <v>965</v>
      </c>
      <c r="X20" s="117">
        <f t="shared" si="3"/>
        <v>852</v>
      </c>
      <c r="Y20" s="117">
        <f t="shared" si="3"/>
        <v>1059</v>
      </c>
      <c r="Z20" s="117">
        <f t="shared" si="3"/>
        <v>1266</v>
      </c>
      <c r="AA20" s="117">
        <f t="shared" si="3"/>
        <v>1553</v>
      </c>
      <c r="AB20" s="117">
        <f t="shared" si="3"/>
        <v>1760</v>
      </c>
      <c r="AC20" s="117">
        <f t="shared" si="3"/>
        <v>1967</v>
      </c>
      <c r="AD20" s="117">
        <f t="shared" si="3"/>
        <v>2174</v>
      </c>
    </row>
    <row r="21" spans="1:30" ht="15" customHeight="1" x14ac:dyDescent="0.25">
      <c r="A21" s="18" t="s">
        <v>56</v>
      </c>
      <c r="B21" s="19" t="s">
        <v>57</v>
      </c>
      <c r="C21" s="98">
        <v>50</v>
      </c>
      <c r="D21" s="20">
        <f t="shared" ref="D21:D37" si="4">C21/C$38</f>
        <v>7.4928817623257909E-3</v>
      </c>
      <c r="E21" s="98">
        <v>0</v>
      </c>
      <c r="F21" s="98">
        <v>47</v>
      </c>
      <c r="G21" s="20">
        <f t="shared" si="2"/>
        <v>6.8185115334397214E-3</v>
      </c>
      <c r="H21" s="18" t="s">
        <v>58</v>
      </c>
      <c r="I21" s="31"/>
      <c r="J21" s="31"/>
      <c r="K21" s="31"/>
      <c r="L21" s="31"/>
      <c r="M21" s="31"/>
      <c r="N21" s="31"/>
      <c r="O21" s="31"/>
      <c r="P21" s="32"/>
      <c r="Q21" s="58" t="s">
        <v>59</v>
      </c>
      <c r="R21" s="117">
        <f>R11-R20</f>
        <v>-7826</v>
      </c>
      <c r="S21" s="118"/>
      <c r="T21" s="119"/>
      <c r="U21" s="119"/>
      <c r="V21" s="119"/>
      <c r="W21" s="119"/>
      <c r="X21" s="119"/>
      <c r="Y21" s="119"/>
      <c r="Z21" s="119"/>
      <c r="AA21" s="119"/>
      <c r="AB21" s="119"/>
      <c r="AC21" s="119"/>
      <c r="AD21" s="119"/>
    </row>
    <row r="22" spans="1:30" ht="16.5" customHeight="1" x14ac:dyDescent="0.25">
      <c r="A22" s="18" t="s">
        <v>60</v>
      </c>
      <c r="B22" s="19" t="s">
        <v>61</v>
      </c>
      <c r="C22" s="98">
        <v>120</v>
      </c>
      <c r="D22" s="20">
        <f t="shared" si="4"/>
        <v>1.7982916229581897E-2</v>
      </c>
      <c r="E22" s="98">
        <v>0</v>
      </c>
      <c r="F22" s="98">
        <v>133</v>
      </c>
      <c r="G22" s="20">
        <f t="shared" si="2"/>
        <v>1.9294936892499639E-2</v>
      </c>
      <c r="H22" s="18" t="s">
        <v>62</v>
      </c>
      <c r="I22" s="31"/>
      <c r="J22" s="31"/>
      <c r="K22" s="31"/>
      <c r="L22" s="31"/>
      <c r="M22" s="31"/>
      <c r="N22" s="31"/>
      <c r="O22" s="31"/>
      <c r="P22" s="32"/>
      <c r="Q22" s="66"/>
      <c r="R22" s="67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</row>
    <row r="23" spans="1:30" ht="15.95" customHeight="1" x14ac:dyDescent="0.25">
      <c r="A23" s="21" t="s">
        <v>63</v>
      </c>
      <c r="B23" s="19" t="s">
        <v>64</v>
      </c>
      <c r="C23" s="98">
        <v>25</v>
      </c>
      <c r="D23" s="20">
        <f t="shared" si="4"/>
        <v>3.7464408811628954E-3</v>
      </c>
      <c r="E23" s="98">
        <v>0</v>
      </c>
      <c r="F23" s="98">
        <v>22</v>
      </c>
      <c r="G23" s="20">
        <f t="shared" si="2"/>
        <v>3.1916436965036994E-3</v>
      </c>
      <c r="H23" s="18" t="s">
        <v>65</v>
      </c>
      <c r="I23" s="31"/>
      <c r="J23" s="31"/>
      <c r="K23" s="31"/>
      <c r="L23" s="31"/>
      <c r="M23" s="31"/>
      <c r="N23" s="31"/>
      <c r="O23" s="31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</row>
    <row r="24" spans="1:30" ht="15.95" customHeight="1" x14ac:dyDescent="0.25">
      <c r="A24" s="21" t="s">
        <v>66</v>
      </c>
      <c r="B24" s="19" t="s">
        <v>67</v>
      </c>
      <c r="C24" s="98">
        <v>1500</v>
      </c>
      <c r="D24" s="20">
        <f t="shared" si="4"/>
        <v>0.22478645286977372</v>
      </c>
      <c r="E24" s="98">
        <v>0</v>
      </c>
      <c r="F24" s="98">
        <v>1500</v>
      </c>
      <c r="G24" s="20">
        <f t="shared" si="2"/>
        <v>0.21761207021616133</v>
      </c>
      <c r="H24" s="18" t="s">
        <v>68</v>
      </c>
      <c r="I24" s="31"/>
      <c r="J24" s="31"/>
      <c r="K24" s="31"/>
      <c r="L24" s="31"/>
      <c r="M24" s="31"/>
      <c r="N24" s="31"/>
      <c r="O24" s="31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</row>
    <row r="25" spans="1:30" ht="15.95" customHeight="1" x14ac:dyDescent="0.25">
      <c r="A25" s="21" t="s">
        <v>69</v>
      </c>
      <c r="B25" s="19" t="s">
        <v>70</v>
      </c>
      <c r="C25" s="98">
        <v>200</v>
      </c>
      <c r="D25" s="20">
        <f t="shared" si="4"/>
        <v>2.9971527049303164E-2</v>
      </c>
      <c r="E25" s="98">
        <v>0</v>
      </c>
      <c r="F25" s="98">
        <v>200</v>
      </c>
      <c r="G25" s="20">
        <f t="shared" si="2"/>
        <v>2.9014942695488176E-2</v>
      </c>
      <c r="H25" s="18" t="s">
        <v>71</v>
      </c>
      <c r="I25" s="31"/>
      <c r="J25" s="31"/>
      <c r="K25" s="31"/>
      <c r="L25" s="31"/>
      <c r="M25" s="31"/>
      <c r="N25" s="31"/>
      <c r="O25" s="31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</row>
    <row r="26" spans="1:30" ht="15.95" customHeight="1" x14ac:dyDescent="0.25">
      <c r="A26" s="21" t="s">
        <v>72</v>
      </c>
      <c r="B26" s="19" t="s">
        <v>73</v>
      </c>
      <c r="C26" s="98">
        <v>600</v>
      </c>
      <c r="D26" s="20">
        <f t="shared" si="4"/>
        <v>8.9914581147909484E-2</v>
      </c>
      <c r="E26" s="98">
        <v>600</v>
      </c>
      <c r="F26" s="98">
        <v>0</v>
      </c>
      <c r="G26" s="20">
        <f t="shared" si="2"/>
        <v>8.7044828086464535E-2</v>
      </c>
      <c r="H26" s="18" t="s">
        <v>74</v>
      </c>
      <c r="I26" s="31"/>
      <c r="J26" s="31"/>
      <c r="K26" s="31"/>
      <c r="L26" s="31"/>
      <c r="M26" s="31"/>
      <c r="N26" s="31"/>
      <c r="O26" s="31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</row>
    <row r="27" spans="1:30" ht="15.95" customHeight="1" x14ac:dyDescent="0.25">
      <c r="A27" s="21" t="s">
        <v>75</v>
      </c>
      <c r="B27" s="19" t="s">
        <v>76</v>
      </c>
      <c r="C27" s="99">
        <v>200</v>
      </c>
      <c r="D27" s="20">
        <f t="shared" si="4"/>
        <v>2.9971527049303164E-2</v>
      </c>
      <c r="E27" s="98">
        <v>0</v>
      </c>
      <c r="F27" s="98">
        <f>30+45+120</f>
        <v>195</v>
      </c>
      <c r="G27" s="20">
        <f t="shared" si="2"/>
        <v>2.8289569128100971E-2</v>
      </c>
      <c r="H27" s="18" t="s">
        <v>77</v>
      </c>
      <c r="I27" s="31"/>
      <c r="J27" s="31"/>
      <c r="K27" s="31"/>
      <c r="L27" s="31"/>
      <c r="M27" s="31"/>
      <c r="N27" s="31"/>
      <c r="O27" s="31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</row>
    <row r="28" spans="1:30" ht="15.95" customHeight="1" x14ac:dyDescent="0.25">
      <c r="A28" s="21" t="s">
        <v>78</v>
      </c>
      <c r="B28" s="19" t="s">
        <v>79</v>
      </c>
      <c r="C28" s="99">
        <v>153</v>
      </c>
      <c r="D28" s="20">
        <f t="shared" si="4"/>
        <v>2.2928218192716919E-2</v>
      </c>
      <c r="E28" s="98">
        <v>153</v>
      </c>
      <c r="F28" s="98">
        <v>0</v>
      </c>
      <c r="G28" s="20">
        <f t="shared" si="2"/>
        <v>2.2196431162048454E-2</v>
      </c>
      <c r="H28" s="18" t="s">
        <v>80</v>
      </c>
      <c r="I28" s="31"/>
      <c r="J28" s="31"/>
      <c r="K28" s="31"/>
      <c r="L28" s="31"/>
      <c r="M28" s="31"/>
      <c r="N28" s="31"/>
      <c r="O28" s="31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</row>
    <row r="29" spans="1:30" ht="15.95" customHeight="1" x14ac:dyDescent="0.25">
      <c r="A29" s="21" t="s">
        <v>81</v>
      </c>
      <c r="B29" s="19" t="s">
        <v>82</v>
      </c>
      <c r="C29" s="99">
        <v>500</v>
      </c>
      <c r="D29" s="20">
        <f t="shared" si="4"/>
        <v>7.4928817623257898E-2</v>
      </c>
      <c r="E29" s="98">
        <v>398</v>
      </c>
      <c r="F29" s="98">
        <v>275</v>
      </c>
      <c r="G29" s="20">
        <f t="shared" si="2"/>
        <v>9.7635282170317708E-2</v>
      </c>
      <c r="H29" s="18" t="s">
        <v>83</v>
      </c>
      <c r="I29" s="31"/>
      <c r="J29" s="31"/>
      <c r="K29" s="31"/>
      <c r="L29" s="31"/>
      <c r="M29" s="31"/>
      <c r="N29" s="31"/>
      <c r="O29" s="31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</row>
    <row r="30" spans="1:30" ht="15.95" customHeight="1" x14ac:dyDescent="0.25">
      <c r="A30" s="21" t="s">
        <v>84</v>
      </c>
      <c r="B30" s="19" t="s">
        <v>85</v>
      </c>
      <c r="C30" s="99">
        <v>300</v>
      </c>
      <c r="D30" s="20">
        <f t="shared" si="4"/>
        <v>4.4957290573954742E-2</v>
      </c>
      <c r="E30" s="98">
        <v>0</v>
      </c>
      <c r="F30" s="98">
        <f>C30</f>
        <v>300</v>
      </c>
      <c r="G30" s="20">
        <f t="shared" si="2"/>
        <v>4.3522414043232267E-2</v>
      </c>
      <c r="H30" s="18" t="s">
        <v>86</v>
      </c>
      <c r="I30" s="31"/>
      <c r="J30" s="31"/>
      <c r="K30" s="31"/>
      <c r="L30" s="31"/>
      <c r="M30" s="31"/>
      <c r="N30" s="31"/>
      <c r="O30" s="31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</row>
    <row r="31" spans="1:30" ht="15.95" customHeight="1" x14ac:dyDescent="0.25">
      <c r="A31" s="21" t="s">
        <v>87</v>
      </c>
      <c r="B31" s="19" t="s">
        <v>82</v>
      </c>
      <c r="C31" s="98">
        <v>150</v>
      </c>
      <c r="D31" s="20">
        <f t="shared" si="4"/>
        <v>2.2478645286977371E-2</v>
      </c>
      <c r="E31" s="98">
        <v>199</v>
      </c>
      <c r="F31" s="98">
        <v>0</v>
      </c>
      <c r="G31" s="20">
        <f t="shared" si="2"/>
        <v>2.8869867982010737E-2</v>
      </c>
      <c r="H31" s="18" t="s">
        <v>88</v>
      </c>
      <c r="I31" s="31"/>
      <c r="J31" s="31"/>
      <c r="K31" s="31"/>
      <c r="L31" s="31"/>
      <c r="M31" s="31"/>
      <c r="N31" s="31"/>
      <c r="O31" s="31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</row>
    <row r="32" spans="1:30" ht="15.95" customHeight="1" x14ac:dyDescent="0.25">
      <c r="A32" s="21" t="s">
        <v>89</v>
      </c>
      <c r="B32" s="19" t="s">
        <v>90</v>
      </c>
      <c r="C32" s="98">
        <v>550</v>
      </c>
      <c r="D32" s="20">
        <f t="shared" si="4"/>
        <v>8.2421699385583691E-2</v>
      </c>
      <c r="E32" s="98">
        <v>0</v>
      </c>
      <c r="F32" s="98">
        <v>550</v>
      </c>
      <c r="G32" s="20">
        <f t="shared" si="2"/>
        <v>7.9791092412592482E-2</v>
      </c>
      <c r="H32" s="18" t="s">
        <v>91</v>
      </c>
      <c r="I32" s="31"/>
      <c r="J32" s="31"/>
      <c r="K32" s="31"/>
      <c r="L32" s="31"/>
      <c r="M32" s="31"/>
      <c r="N32" s="31"/>
      <c r="O32" s="31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</row>
    <row r="33" spans="1:30" ht="15.95" customHeight="1" x14ac:dyDescent="0.25">
      <c r="A33" s="21" t="s">
        <v>92</v>
      </c>
      <c r="B33" s="19" t="s">
        <v>82</v>
      </c>
      <c r="C33" s="99">
        <v>200</v>
      </c>
      <c r="D33" s="20">
        <f t="shared" si="4"/>
        <v>2.9971527049303164E-2</v>
      </c>
      <c r="E33" s="98">
        <v>0</v>
      </c>
      <c r="F33" s="98">
        <v>200</v>
      </c>
      <c r="G33" s="20">
        <f t="shared" si="2"/>
        <v>2.9014942695488176E-2</v>
      </c>
      <c r="H33" s="18" t="s">
        <v>93</v>
      </c>
      <c r="I33" s="31"/>
      <c r="J33" s="31"/>
      <c r="K33" s="31"/>
      <c r="L33" s="31"/>
      <c r="M33" s="31"/>
      <c r="N33" s="31"/>
      <c r="O33" s="31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</row>
    <row r="34" spans="1:30" ht="15.95" customHeight="1" x14ac:dyDescent="0.25">
      <c r="A34" s="21" t="s">
        <v>94</v>
      </c>
      <c r="B34" s="19" t="s">
        <v>82</v>
      </c>
      <c r="C34" s="99">
        <v>300</v>
      </c>
      <c r="D34" s="20">
        <f t="shared" si="4"/>
        <v>4.4957290573954742E-2</v>
      </c>
      <c r="E34" s="98">
        <v>279</v>
      </c>
      <c r="F34" s="98">
        <v>0</v>
      </c>
      <c r="G34" s="20">
        <f t="shared" si="2"/>
        <v>4.0475845060206003E-2</v>
      </c>
      <c r="H34" s="21" t="s">
        <v>95</v>
      </c>
      <c r="I34" s="31"/>
      <c r="J34" s="31"/>
      <c r="K34" s="31"/>
      <c r="L34" s="31"/>
      <c r="M34" s="31"/>
      <c r="N34" s="31"/>
      <c r="O34" s="31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</row>
    <row r="35" spans="1:30" ht="15.95" customHeight="1" x14ac:dyDescent="0.25">
      <c r="A35" s="21" t="s">
        <v>96</v>
      </c>
      <c r="B35" s="19" t="s">
        <v>82</v>
      </c>
      <c r="C35" s="99">
        <v>500</v>
      </c>
      <c r="D35" s="20">
        <f t="shared" si="4"/>
        <v>7.4928817623257898E-2</v>
      </c>
      <c r="E35" s="98">
        <v>500</v>
      </c>
      <c r="F35" s="98">
        <v>0</v>
      </c>
      <c r="G35" s="20">
        <f t="shared" si="2"/>
        <v>7.2537356738720443E-2</v>
      </c>
      <c r="H35" s="21" t="s">
        <v>97</v>
      </c>
      <c r="I35" s="31"/>
      <c r="J35" s="31"/>
      <c r="K35" s="31"/>
      <c r="L35" s="31"/>
      <c r="M35" s="31"/>
      <c r="N35" s="31"/>
      <c r="O35" s="31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</row>
    <row r="36" spans="1:30" ht="15.95" customHeight="1" x14ac:dyDescent="0.25">
      <c r="A36" s="21" t="s">
        <v>98</v>
      </c>
      <c r="B36" s="19" t="s">
        <v>82</v>
      </c>
      <c r="C36" s="99">
        <v>375</v>
      </c>
      <c r="D36" s="20">
        <f t="shared" si="4"/>
        <v>5.6196613217443431E-2</v>
      </c>
      <c r="E36" s="98">
        <v>375</v>
      </c>
      <c r="F36" s="98">
        <v>0</v>
      </c>
      <c r="G36" s="20">
        <f t="shared" si="2"/>
        <v>5.4403017554040332E-2</v>
      </c>
      <c r="H36" s="21" t="s">
        <v>99</v>
      </c>
      <c r="I36" s="31"/>
      <c r="J36" s="31"/>
      <c r="K36" s="31"/>
      <c r="L36" s="31"/>
      <c r="M36" s="31"/>
      <c r="N36" s="31"/>
      <c r="O36" s="31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</row>
    <row r="37" spans="1:30" ht="15" customHeight="1" x14ac:dyDescent="0.25">
      <c r="A37" s="21" t="s">
        <v>100</v>
      </c>
      <c r="B37" s="19" t="s">
        <v>82</v>
      </c>
      <c r="C37" s="99">
        <v>500</v>
      </c>
      <c r="D37" s="20">
        <f t="shared" si="4"/>
        <v>7.4928817623257898E-2</v>
      </c>
      <c r="E37" s="98">
        <v>300</v>
      </c>
      <c r="F37" s="98">
        <v>275</v>
      </c>
      <c r="G37" s="20">
        <f t="shared" si="2"/>
        <v>8.3417960249528508E-2</v>
      </c>
      <c r="H37" s="21" t="s">
        <v>101</v>
      </c>
      <c r="I37" s="31"/>
      <c r="J37" s="31"/>
      <c r="K37" s="31"/>
      <c r="L37" s="31"/>
      <c r="M37" s="31"/>
      <c r="N37" s="31"/>
      <c r="O37" s="31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</row>
    <row r="38" spans="1:30" ht="15" customHeight="1" x14ac:dyDescent="0.25">
      <c r="A38" s="68" t="s">
        <v>102</v>
      </c>
      <c r="B38" s="69"/>
      <c r="C38" s="100">
        <f>SUM(C20:C37)</f>
        <v>6673</v>
      </c>
      <c r="D38" s="25">
        <f>SUM(D20:D37)</f>
        <v>1</v>
      </c>
      <c r="E38" s="100">
        <f>SUM(E20:E37)</f>
        <v>3074</v>
      </c>
      <c r="F38" s="100">
        <f>SUM(F20:F37)</f>
        <v>3819</v>
      </c>
      <c r="G38" s="25">
        <f>SUM(G20:G37)</f>
        <v>1</v>
      </c>
      <c r="H38" s="22"/>
      <c r="I38" s="31"/>
      <c r="J38" s="31"/>
      <c r="K38" s="31"/>
      <c r="L38" s="31"/>
      <c r="M38" s="31"/>
      <c r="N38" s="31"/>
      <c r="O38" s="31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</row>
    <row r="39" spans="1:30" ht="16.5" customHeight="1" x14ac:dyDescent="0.25">
      <c r="A39" s="21" t="s">
        <v>103</v>
      </c>
      <c r="B39" s="19" t="s">
        <v>85</v>
      </c>
      <c r="C39" s="99">
        <v>300</v>
      </c>
      <c r="D39" s="20">
        <f t="shared" ref="D39:D44" si="5">C39/C$38</f>
        <v>4.4957290573954742E-2</v>
      </c>
      <c r="E39" s="98">
        <v>0</v>
      </c>
      <c r="F39" s="98">
        <f>C39</f>
        <v>300</v>
      </c>
      <c r="G39" s="20">
        <f t="shared" ref="G39:G44" si="6">(E39+F39)/(E$38+F$38)</f>
        <v>4.3522414043232267E-2</v>
      </c>
      <c r="H39" s="18" t="s">
        <v>86</v>
      </c>
      <c r="I39" s="31"/>
      <c r="J39" s="31"/>
      <c r="K39" s="31"/>
      <c r="L39" s="31"/>
      <c r="M39" s="31"/>
      <c r="N39" s="31"/>
      <c r="O39" s="31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</row>
    <row r="40" spans="1:30" ht="15.95" customHeight="1" x14ac:dyDescent="0.25">
      <c r="A40" s="21" t="s">
        <v>104</v>
      </c>
      <c r="B40" s="19" t="s">
        <v>105</v>
      </c>
      <c r="C40" s="98">
        <v>150</v>
      </c>
      <c r="D40" s="20">
        <f t="shared" si="5"/>
        <v>2.2478645286977371E-2</v>
      </c>
      <c r="E40" s="98">
        <v>199</v>
      </c>
      <c r="F40" s="98">
        <v>0</v>
      </c>
      <c r="G40" s="20">
        <f t="shared" si="6"/>
        <v>2.8869867982010737E-2</v>
      </c>
      <c r="H40" s="18" t="s">
        <v>88</v>
      </c>
      <c r="I40" s="31"/>
      <c r="J40" s="31"/>
      <c r="K40" s="31"/>
      <c r="L40" s="31"/>
      <c r="M40" s="31"/>
      <c r="N40" s="31"/>
      <c r="O40" s="31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</row>
    <row r="41" spans="1:30" ht="15.95" customHeight="1" x14ac:dyDescent="0.25">
      <c r="A41" s="21" t="s">
        <v>106</v>
      </c>
      <c r="B41" s="19" t="s">
        <v>90</v>
      </c>
      <c r="C41" s="98">
        <v>550</v>
      </c>
      <c r="D41" s="20">
        <f t="shared" si="5"/>
        <v>8.2421699385583691E-2</v>
      </c>
      <c r="E41" s="98">
        <v>0</v>
      </c>
      <c r="F41" s="98">
        <v>550</v>
      </c>
      <c r="G41" s="20">
        <f t="shared" si="6"/>
        <v>7.9791092412592482E-2</v>
      </c>
      <c r="H41" s="18" t="s">
        <v>91</v>
      </c>
      <c r="I41" s="31"/>
      <c r="J41" s="31"/>
      <c r="K41" s="31"/>
      <c r="L41" s="31"/>
      <c r="M41" s="31"/>
      <c r="N41" s="31"/>
      <c r="O41" s="31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</row>
    <row r="42" spans="1:30" ht="15.95" customHeight="1" x14ac:dyDescent="0.25">
      <c r="A42" s="21" t="s">
        <v>107</v>
      </c>
      <c r="B42" s="19" t="s">
        <v>82</v>
      </c>
      <c r="C42" s="99">
        <v>200</v>
      </c>
      <c r="D42" s="20">
        <f t="shared" si="5"/>
        <v>2.9971527049303164E-2</v>
      </c>
      <c r="E42" s="98">
        <v>0</v>
      </c>
      <c r="F42" s="98">
        <v>200</v>
      </c>
      <c r="G42" s="20">
        <f t="shared" si="6"/>
        <v>2.9014942695488176E-2</v>
      </c>
      <c r="H42" s="18" t="s">
        <v>93</v>
      </c>
      <c r="I42" s="31"/>
      <c r="J42" s="31"/>
      <c r="K42" s="31"/>
      <c r="L42" s="31"/>
      <c r="M42" s="31"/>
      <c r="N42" s="31"/>
      <c r="O42" s="31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</row>
    <row r="43" spans="1:30" ht="15.95" customHeight="1" x14ac:dyDescent="0.25">
      <c r="A43" s="21" t="s">
        <v>98</v>
      </c>
      <c r="B43" s="19" t="s">
        <v>82</v>
      </c>
      <c r="C43" s="99">
        <v>300</v>
      </c>
      <c r="D43" s="20">
        <f t="shared" si="5"/>
        <v>4.4957290573954742E-2</v>
      </c>
      <c r="E43" s="98">
        <v>279</v>
      </c>
      <c r="F43" s="98">
        <v>0</v>
      </c>
      <c r="G43" s="20">
        <f t="shared" si="6"/>
        <v>4.0475845060206003E-2</v>
      </c>
      <c r="H43" s="21" t="s">
        <v>95</v>
      </c>
      <c r="I43" s="31"/>
      <c r="J43" s="31"/>
      <c r="K43" s="31"/>
      <c r="L43" s="31"/>
      <c r="M43" s="31"/>
      <c r="N43" s="31"/>
      <c r="O43" s="31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</row>
    <row r="44" spans="1:30" ht="15" customHeight="1" x14ac:dyDescent="0.25">
      <c r="A44" s="21" t="s">
        <v>108</v>
      </c>
      <c r="B44" s="19" t="s">
        <v>82</v>
      </c>
      <c r="C44" s="99">
        <v>500</v>
      </c>
      <c r="D44" s="20">
        <f t="shared" si="5"/>
        <v>7.4928817623257898E-2</v>
      </c>
      <c r="E44" s="98">
        <v>500</v>
      </c>
      <c r="F44" s="98">
        <v>0</v>
      </c>
      <c r="G44" s="20">
        <f t="shared" si="6"/>
        <v>7.2537356738720443E-2</v>
      </c>
      <c r="H44" s="21" t="s">
        <v>97</v>
      </c>
      <c r="I44" s="31"/>
      <c r="J44" s="31"/>
      <c r="K44" s="31"/>
      <c r="L44" s="31"/>
      <c r="M44" s="31"/>
      <c r="N44" s="31"/>
      <c r="O44" s="31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</row>
    <row r="45" spans="1:30" ht="15" customHeight="1" x14ac:dyDescent="0.25">
      <c r="A45" s="68" t="s">
        <v>109</v>
      </c>
      <c r="B45" s="69"/>
      <c r="C45" s="100">
        <f>SUM(C39:C44)</f>
        <v>2000</v>
      </c>
      <c r="D45" s="25">
        <f>SUM(D39:D44)</f>
        <v>0.29971527049303159</v>
      </c>
      <c r="E45" s="100">
        <f>SUM(E39:E44)</f>
        <v>978</v>
      </c>
      <c r="F45" s="100">
        <f>SUM(F39:F44)</f>
        <v>1050</v>
      </c>
      <c r="G45" s="25">
        <f>SUM(G39:G44)</f>
        <v>0.29421151893225006</v>
      </c>
      <c r="H45" s="22"/>
      <c r="I45" s="31"/>
      <c r="J45" s="31"/>
      <c r="K45" s="31"/>
      <c r="L45" s="31"/>
      <c r="M45" s="31"/>
      <c r="N45" s="31"/>
      <c r="O45" s="31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</row>
    <row r="46" spans="1:30" ht="15" customHeight="1" x14ac:dyDescent="0.25">
      <c r="A46" s="23" t="s">
        <v>110</v>
      </c>
      <c r="B46" s="19" t="s">
        <v>111</v>
      </c>
      <c r="C46" s="98">
        <v>550</v>
      </c>
      <c r="D46" s="20">
        <f>C46/C$38</f>
        <v>8.2421699385583691E-2</v>
      </c>
      <c r="E46" s="98">
        <v>0</v>
      </c>
      <c r="F46" s="98">
        <v>550</v>
      </c>
      <c r="G46" s="20">
        <f>(E46+F46)/(E$38+F$38)</f>
        <v>7.9791092412592482E-2</v>
      </c>
      <c r="H46" s="18" t="s">
        <v>91</v>
      </c>
      <c r="I46" s="31"/>
      <c r="J46" s="31"/>
      <c r="K46" s="31"/>
      <c r="L46" s="31"/>
      <c r="M46" s="31"/>
      <c r="N46" s="31"/>
      <c r="O46" s="31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</row>
    <row r="47" spans="1:30" ht="15" customHeight="1" x14ac:dyDescent="0.25">
      <c r="A47" s="23" t="s">
        <v>112</v>
      </c>
      <c r="B47" s="19" t="s">
        <v>113</v>
      </c>
      <c r="C47" s="99">
        <v>200</v>
      </c>
      <c r="D47" s="20">
        <f>C47/C$38</f>
        <v>2.9971527049303164E-2</v>
      </c>
      <c r="E47" s="98">
        <v>0</v>
      </c>
      <c r="F47" s="98">
        <v>200</v>
      </c>
      <c r="G47" s="20">
        <f>(E47+F47)/(E$38+F$38)</f>
        <v>2.9014942695488176E-2</v>
      </c>
      <c r="H47" s="18" t="s">
        <v>93</v>
      </c>
      <c r="I47" s="31"/>
      <c r="J47" s="31"/>
      <c r="K47" s="31"/>
      <c r="L47" s="31"/>
      <c r="M47" s="31"/>
      <c r="N47" s="31"/>
      <c r="O47" s="31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</row>
    <row r="48" spans="1:30" ht="15" customHeight="1" x14ac:dyDescent="0.25">
      <c r="A48" s="23" t="s">
        <v>114</v>
      </c>
      <c r="B48" s="19" t="s">
        <v>115</v>
      </c>
      <c r="C48" s="99">
        <v>300</v>
      </c>
      <c r="D48" s="20">
        <f>C48/C$38</f>
        <v>4.4957290573954742E-2</v>
      </c>
      <c r="E48" s="98">
        <v>279</v>
      </c>
      <c r="F48" s="98">
        <v>0</v>
      </c>
      <c r="G48" s="20">
        <f>(E48+F48)/(E$38+F$38)</f>
        <v>4.0475845060206003E-2</v>
      </c>
      <c r="H48" s="21" t="s">
        <v>95</v>
      </c>
      <c r="I48" s="31"/>
      <c r="J48" s="31"/>
      <c r="K48" s="31"/>
      <c r="L48" s="31"/>
      <c r="M48" s="31"/>
      <c r="N48" s="31"/>
      <c r="O48" s="31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</row>
    <row r="49" spans="1:30" ht="15.75" customHeight="1" x14ac:dyDescent="0.25">
      <c r="A49" s="26" t="s">
        <v>116</v>
      </c>
      <c r="B49" s="27" t="s">
        <v>117</v>
      </c>
      <c r="C49" s="101">
        <v>500</v>
      </c>
      <c r="D49" s="28">
        <f>C49/C$38</f>
        <v>7.4928817623257898E-2</v>
      </c>
      <c r="E49" s="104">
        <v>500</v>
      </c>
      <c r="F49" s="104">
        <v>0</v>
      </c>
      <c r="G49" s="28">
        <f>(E49+F49)/(E$38+F$38)</f>
        <v>7.2537356738720443E-2</v>
      </c>
      <c r="H49" s="21" t="s">
        <v>97</v>
      </c>
      <c r="I49" s="31"/>
      <c r="J49" s="31"/>
      <c r="K49" s="31"/>
      <c r="L49" s="31"/>
      <c r="M49" s="31"/>
      <c r="N49" s="31"/>
      <c r="O49" s="31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</row>
    <row r="50" spans="1:30" ht="15" customHeight="1" x14ac:dyDescent="0.25">
      <c r="A50" s="86" t="s">
        <v>118</v>
      </c>
      <c r="B50" s="87"/>
      <c r="C50" s="102">
        <f>SUM(C46:C49)</f>
        <v>1550</v>
      </c>
      <c r="D50" s="29">
        <f>SUM(D46:D49)</f>
        <v>0.23227933463209952</v>
      </c>
      <c r="E50" s="102">
        <f>SUM(E46:E49)</f>
        <v>779</v>
      </c>
      <c r="F50" s="102">
        <f>SUM(F46:F49)</f>
        <v>750</v>
      </c>
      <c r="G50" s="30">
        <f>SUM(G46:G49)</f>
        <v>0.22181923690700708</v>
      </c>
      <c r="H50" s="31"/>
      <c r="I50" s="31"/>
      <c r="J50" s="31"/>
      <c r="K50" s="31"/>
      <c r="L50" s="31"/>
      <c r="M50" s="31"/>
      <c r="N50" s="31"/>
      <c r="O50" s="31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</row>
    <row r="51" spans="1:30" ht="15.6" customHeight="1" x14ac:dyDescent="0.25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</row>
    <row r="52" spans="1:30" ht="15" customHeight="1" x14ac:dyDescent="0.25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</row>
    <row r="53" spans="1:30" ht="15" customHeight="1" x14ac:dyDescent="0.25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</row>
    <row r="54" spans="1:30" ht="15" customHeight="1" x14ac:dyDescent="0.25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</row>
    <row r="55" spans="1:30" ht="15" customHeight="1" x14ac:dyDescent="0.2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</row>
    <row r="56" spans="1:30" ht="20.25" customHeight="1" x14ac:dyDescent="0.25">
      <c r="A56" s="92" t="s">
        <v>119</v>
      </c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31"/>
      <c r="N56" s="52" t="s">
        <v>120</v>
      </c>
      <c r="O56" s="54">
        <f>H62/E62</f>
        <v>6.0511492333360064E-3</v>
      </c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</row>
    <row r="57" spans="1:30" ht="15.75" customHeight="1" x14ac:dyDescent="0.25">
      <c r="A57" s="36" t="s">
        <v>121</v>
      </c>
      <c r="B57" s="37" t="s">
        <v>122</v>
      </c>
      <c r="C57" s="37" t="s">
        <v>20</v>
      </c>
      <c r="D57" s="37" t="s">
        <v>19</v>
      </c>
      <c r="E57" s="37" t="s">
        <v>59</v>
      </c>
      <c r="F57" s="37" t="s">
        <v>123</v>
      </c>
      <c r="G57" s="37" t="s">
        <v>124</v>
      </c>
      <c r="H57" s="37" t="s">
        <v>125</v>
      </c>
      <c r="I57" s="37" t="s">
        <v>126</v>
      </c>
      <c r="J57" s="37" t="s">
        <v>127</v>
      </c>
      <c r="K57" s="37" t="s">
        <v>128</v>
      </c>
      <c r="L57" s="37" t="s">
        <v>129</v>
      </c>
      <c r="M57" s="31"/>
      <c r="N57" s="53" t="s">
        <v>130</v>
      </c>
      <c r="O57" s="55">
        <f>F62/E15</f>
        <v>0.27111111111111114</v>
      </c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</row>
    <row r="58" spans="1:30" ht="15" customHeight="1" x14ac:dyDescent="0.25">
      <c r="A58" s="38" t="s">
        <v>110</v>
      </c>
      <c r="B58" s="39" t="s">
        <v>131</v>
      </c>
      <c r="C58" s="103">
        <v>50000</v>
      </c>
      <c r="D58" s="40">
        <v>43953</v>
      </c>
      <c r="E58" s="103">
        <v>32234</v>
      </c>
      <c r="F58" s="103">
        <v>1050</v>
      </c>
      <c r="G58" s="108">
        <f>F58-H58</f>
        <v>794.16411540779995</v>
      </c>
      <c r="H58" s="108">
        <f>E58*I58</f>
        <v>255.83588459219999</v>
      </c>
      <c r="I58" s="41">
        <v>7.9368332999999996E-3</v>
      </c>
      <c r="J58" s="42">
        <v>9.9500000000000005E-2</v>
      </c>
      <c r="K58" s="108">
        <v>0</v>
      </c>
      <c r="L58" s="111">
        <v>0</v>
      </c>
      <c r="M58" s="31"/>
      <c r="N58" s="31"/>
      <c r="O58" s="31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</row>
    <row r="59" spans="1:30" ht="15" customHeight="1" x14ac:dyDescent="0.25">
      <c r="A59" s="23" t="s">
        <v>112</v>
      </c>
      <c r="B59" s="18" t="s">
        <v>36</v>
      </c>
      <c r="C59" s="98">
        <v>20000</v>
      </c>
      <c r="D59" s="43">
        <v>43397</v>
      </c>
      <c r="E59" s="98">
        <v>20000</v>
      </c>
      <c r="F59" s="98">
        <v>200</v>
      </c>
      <c r="G59" s="99">
        <f>F59-H59</f>
        <v>0</v>
      </c>
      <c r="H59" s="99">
        <f>E59*I59</f>
        <v>200</v>
      </c>
      <c r="I59" s="20">
        <v>0.01</v>
      </c>
      <c r="J59" s="20">
        <v>0.12559999999999999</v>
      </c>
      <c r="K59" s="99">
        <v>0</v>
      </c>
      <c r="L59" s="112">
        <v>0</v>
      </c>
      <c r="M59" s="31"/>
      <c r="N59" s="31"/>
      <c r="O59" s="31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</row>
    <row r="60" spans="1:30" ht="15" customHeight="1" x14ac:dyDescent="0.25">
      <c r="A60" s="23" t="s">
        <v>114</v>
      </c>
      <c r="B60" s="18" t="s">
        <v>36</v>
      </c>
      <c r="C60" s="98">
        <v>90000</v>
      </c>
      <c r="D60" s="43">
        <v>42179</v>
      </c>
      <c r="E60" s="99">
        <v>72863</v>
      </c>
      <c r="F60" s="99">
        <v>1068</v>
      </c>
      <c r="G60" s="99">
        <f>F60-H60</f>
        <v>596.81926666666664</v>
      </c>
      <c r="H60" s="99">
        <f>E60*I60</f>
        <v>471.18073333333331</v>
      </c>
      <c r="I60" s="20">
        <f>J60/12</f>
        <v>6.4666666666666666E-3</v>
      </c>
      <c r="J60" s="20">
        <v>7.7600000000000002E-2</v>
      </c>
      <c r="K60" s="99">
        <v>0</v>
      </c>
      <c r="L60" s="112">
        <f>K60/2.8</f>
        <v>0</v>
      </c>
      <c r="M60" s="31"/>
      <c r="N60" s="31"/>
      <c r="O60" s="31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</row>
    <row r="61" spans="1:30" ht="15.75" customHeight="1" x14ac:dyDescent="0.25">
      <c r="A61" s="23" t="s">
        <v>116</v>
      </c>
      <c r="B61" s="44" t="s">
        <v>132</v>
      </c>
      <c r="C61" s="104">
        <v>180000</v>
      </c>
      <c r="D61" s="45">
        <v>42808</v>
      </c>
      <c r="E61" s="104">
        <v>161762</v>
      </c>
      <c r="F61" s="104">
        <v>1098</v>
      </c>
      <c r="G61" s="101">
        <f>F61-H61</f>
        <v>289.18999999999994</v>
      </c>
      <c r="H61" s="101">
        <f>E61*I61</f>
        <v>808.81000000000006</v>
      </c>
      <c r="I61" s="20">
        <v>5.0000000000000001E-3</v>
      </c>
      <c r="J61" s="20">
        <v>6.1199999999999997E-2</v>
      </c>
      <c r="K61" s="101">
        <v>0</v>
      </c>
      <c r="L61" s="112">
        <f>K61/100</f>
        <v>0</v>
      </c>
      <c r="M61" s="31"/>
      <c r="N61" s="31"/>
      <c r="O61" s="31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</row>
    <row r="62" spans="1:30" ht="15" customHeight="1" x14ac:dyDescent="0.25">
      <c r="A62" s="17"/>
      <c r="B62" s="49" t="s">
        <v>2</v>
      </c>
      <c r="C62" s="105">
        <f>SUM(C58:C61)</f>
        <v>340000</v>
      </c>
      <c r="D62" s="47"/>
      <c r="E62" s="106">
        <f>SUM(E58:E61)</f>
        <v>286859</v>
      </c>
      <c r="F62" s="106">
        <f>SUM(F58:F61)</f>
        <v>3416</v>
      </c>
      <c r="G62" s="109">
        <f>SUM(G58:G61)</f>
        <v>1680.1733820744666</v>
      </c>
      <c r="H62" s="110">
        <f>SUM(H58:H61)</f>
        <v>1735.8266179255334</v>
      </c>
      <c r="I62" s="46"/>
      <c r="J62" s="46"/>
      <c r="K62" s="110">
        <f>SUM(K58:K61)</f>
        <v>0</v>
      </c>
      <c r="L62" s="46"/>
      <c r="M62" s="31"/>
      <c r="N62" s="31"/>
      <c r="O62" s="31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</row>
    <row r="63" spans="1:30" ht="15.6" customHeight="1" x14ac:dyDescent="0.25">
      <c r="A63" s="32"/>
      <c r="B63" s="32"/>
      <c r="C63" s="32"/>
      <c r="D63" s="32"/>
      <c r="E63" s="107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</row>
    <row r="64" spans="1:30" ht="15" customHeight="1" x14ac:dyDescent="0.25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</row>
    <row r="65" spans="1:30" ht="14.25" customHeight="1" x14ac:dyDescent="0.25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</row>
    <row r="66" spans="1:30" ht="14.25" customHeight="1" x14ac:dyDescent="0.25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</row>
    <row r="67" spans="1:30" ht="14.25" customHeight="1" x14ac:dyDescent="0.25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</row>
    <row r="68" spans="1:30" ht="14.25" customHeight="1" x14ac:dyDescent="0.25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</row>
    <row r="69" spans="1:30" ht="14.25" customHeight="1" x14ac:dyDescent="0.25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</row>
    <row r="70" spans="1:30" ht="14.25" customHeight="1" x14ac:dyDescent="0.25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</row>
    <row r="71" spans="1:30" ht="14.25" customHeight="1" x14ac:dyDescent="0.25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</row>
    <row r="72" spans="1:30" ht="14.25" customHeight="1" x14ac:dyDescent="0.25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</row>
    <row r="73" spans="1:30" ht="14.25" customHeight="1" x14ac:dyDescent="0.25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</row>
    <row r="74" spans="1:30" ht="14.25" customHeight="1" x14ac:dyDescent="0.25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</row>
    <row r="75" spans="1:30" ht="14.25" customHeight="1" x14ac:dyDescent="0.25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</row>
    <row r="76" spans="1:30" ht="14.25" customHeight="1" x14ac:dyDescent="0.25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</row>
    <row r="77" spans="1:30" ht="14.25" customHeight="1" x14ac:dyDescent="0.25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</row>
    <row r="78" spans="1:30" ht="14.25" customHeight="1" x14ac:dyDescent="0.25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</row>
    <row r="79" spans="1:30" ht="14.25" customHeight="1" x14ac:dyDescent="0.25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</row>
    <row r="80" spans="1:30" ht="14.25" customHeight="1" x14ac:dyDescent="0.25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</row>
    <row r="81" spans="1:30" ht="14.25" customHeight="1" x14ac:dyDescent="0.25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</row>
    <row r="82" spans="1:30" ht="14.25" customHeight="1" x14ac:dyDescent="0.25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</row>
    <row r="83" spans="1:30" ht="14.25" customHeight="1" x14ac:dyDescent="0.25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</row>
    <row r="84" spans="1:30" ht="14.25" customHeight="1" x14ac:dyDescent="0.25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</row>
    <row r="85" spans="1:30" ht="14.25" customHeight="1" x14ac:dyDescent="0.25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</row>
    <row r="86" spans="1:30" ht="14.25" customHeight="1" x14ac:dyDescent="0.25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</row>
    <row r="87" spans="1:30" ht="14.25" customHeight="1" x14ac:dyDescent="0.25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</row>
    <row r="88" spans="1:30" ht="14.25" customHeight="1" x14ac:dyDescent="0.25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</row>
    <row r="89" spans="1:30" ht="14.25" customHeight="1" x14ac:dyDescent="0.25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</row>
    <row r="90" spans="1:30" ht="14.25" customHeight="1" x14ac:dyDescent="0.25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48"/>
    </row>
    <row r="91" spans="1:30" ht="14.25" customHeight="1" x14ac:dyDescent="0.25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48"/>
    </row>
    <row r="92" spans="1:30" ht="14.25" customHeight="1" x14ac:dyDescent="0.25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48"/>
    </row>
    <row r="93" spans="1:30" ht="14.25" customHeight="1" x14ac:dyDescent="0.25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48"/>
    </row>
    <row r="94" spans="1:30" ht="14.25" customHeight="1" x14ac:dyDescent="0.25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48"/>
    </row>
    <row r="95" spans="1:30" ht="14.25" customHeight="1" x14ac:dyDescent="0.25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48"/>
    </row>
    <row r="96" spans="1:30" ht="14.25" customHeight="1" x14ac:dyDescent="0.25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48"/>
    </row>
    <row r="97" spans="1:13" ht="14.25" customHeight="1" x14ac:dyDescent="0.25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48"/>
    </row>
    <row r="98" spans="1:13" ht="14.25" customHeight="1" x14ac:dyDescent="0.25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48"/>
    </row>
    <row r="99" spans="1:13" ht="14.25" customHeight="1" x14ac:dyDescent="0.25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48"/>
    </row>
    <row r="100" spans="1:13" ht="14.25" customHeight="1" x14ac:dyDescent="0.25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48"/>
    </row>
    <row r="101" spans="1:13" ht="14.25" customHeight="1" x14ac:dyDescent="0.25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48"/>
    </row>
    <row r="102" spans="1:13" ht="14.25" customHeight="1" x14ac:dyDescent="0.25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48"/>
    </row>
    <row r="103" spans="1:13" ht="14.25" customHeight="1" x14ac:dyDescent="0.25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48"/>
    </row>
    <row r="104" spans="1:13" ht="14.25" customHeight="1" x14ac:dyDescent="0.25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48"/>
    </row>
    <row r="105" spans="1:13" ht="14.25" customHeight="1" x14ac:dyDescent="0.25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48"/>
    </row>
    <row r="106" spans="1:13" ht="14.25" customHeight="1" x14ac:dyDescent="0.25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48"/>
    </row>
    <row r="107" spans="1:13" ht="14.25" customHeight="1" x14ac:dyDescent="0.25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48"/>
    </row>
  </sheetData>
  <mergeCells count="15">
    <mergeCell ref="A50:B50"/>
    <mergeCell ref="G8:H8"/>
    <mergeCell ref="G7:H7"/>
    <mergeCell ref="A38:B38"/>
    <mergeCell ref="A56:L56"/>
    <mergeCell ref="S21:AD21"/>
    <mergeCell ref="A45:B45"/>
    <mergeCell ref="Q4:AD4"/>
    <mergeCell ref="A6:E6"/>
    <mergeCell ref="A1:I3"/>
    <mergeCell ref="K1:N1"/>
    <mergeCell ref="K2:N2"/>
    <mergeCell ref="K3:N3"/>
    <mergeCell ref="G9:H9"/>
    <mergeCell ref="A18:H18"/>
  </mergeCells>
  <conditionalFormatting sqref="R6:AD20 R21">
    <cfRule type="cellIs" dxfId="0" priority="1" stopIfTrue="1" operator="lessThan">
      <formula>0</formula>
    </cfRule>
  </conditionalFormatting>
  <hyperlinks>
    <hyperlink ref="K1:N1" r:id="rId1" display="MÁS INFORMACIÓN: www.carlosdevis.com" xr:uid="{00000000-0004-0000-0000-000000000000}"/>
    <hyperlink ref="K3" r:id="rId2" xr:uid="{00000000-0004-0000-0000-000001000000}"/>
  </hyperlinks>
  <pageMargins left="0.7" right="0.7" top="0.75" bottom="0.75" header="0.3" footer="0.3"/>
  <pageSetup orientation="portrait" r:id="rId3"/>
  <headerFooter>
    <oddFooter>&amp;C&amp;"Helvetica,Regular"&amp;12&amp;K000000&amp;P</oddFooter>
  </headerFooter>
  <drawing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ENERO 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2022-11-09T23:51:52Z</dcterms:modified>
</cp:coreProperties>
</file>