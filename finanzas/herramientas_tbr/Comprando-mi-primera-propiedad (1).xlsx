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GOCIACION" sheetId="1" r:id="rId4"/>
  </sheets>
  <externalReferences>
    <externalReference r:id="rId5"/>
    <externalReference r:id="rId6"/>
  </externalReferences>
  <definedNames>
    <definedName name="Expresion_Tasa">[1]Tablas!$A$5:$B$9</definedName>
    <definedName name="Impuestos_Mensuales">'[2]Analisis Propiedades'!$B$20</definedName>
    <definedName name="Lista_1">[1]Tablas!$A$5:$A$9</definedName>
    <definedName name="Oferta">'[2]Analisis Propiedades'!$B$4</definedName>
    <definedName name="Plazo_de_Prestamo">'[2]Analisis Propiedades'!$H$3</definedName>
    <definedName name="Seguro_Inmueble">'[2]Analisis Propiedades'!$B$21</definedName>
    <definedName name="Reparaciones">#REF!</definedName>
    <definedName name="Vacancia">#REF!</definedName>
    <definedName name="Precio_Propiedad">#REF!</definedName>
    <definedName name="Contabilidad_y_Juridico">#REF!</definedName>
    <definedName name="Retorno_Ideal">#REF!</definedName>
    <definedName name="Tasa_Annual">#REF!</definedName>
    <definedName name="Pago_Mensual">#REF!</definedName>
    <definedName name="Gastos_de_Cierre">#REF!</definedName>
    <definedName name="Costo_de_Asociación_Mensual">#REF!</definedName>
    <definedName name="PMI">#REF!</definedName>
    <definedName name="Enganche">#REF!</definedName>
    <definedName name="Renta_Neta">#REF!</definedName>
    <definedName name="Administracion">#REF!</definedName>
    <definedName name="Costo_de_Utilidades">#REF!</definedName>
    <definedName name="Impuestos_Anuales">#REF!</definedName>
    <definedName name="Mantenimiendo">#REF!</definedName>
    <definedName name="Renta_Mensual">#REF!</definedName>
  </definedNames>
  <calcPr/>
  <extLst>
    <ext uri="GoogleSheetsCustomDataVersion2">
      <go:sheetsCustomData xmlns:go="http://customooxmlschemas.google.com/" r:id="rId7" roundtripDataChecksum="6Jav3WmjGUV74kGlgM1DoxGUrddnGlj6WNo8uoh2weM="/>
    </ext>
  </extLst>
</workbook>
</file>

<file path=xl/sharedStrings.xml><?xml version="1.0" encoding="utf-8"?>
<sst xmlns="http://schemas.openxmlformats.org/spreadsheetml/2006/main" count="40" uniqueCount="36">
  <si>
    <t>LINEA METRICA</t>
  </si>
  <si>
    <t>PIES</t>
  </si>
  <si>
    <t>²</t>
  </si>
  <si>
    <t>METROS</t>
  </si>
  <si>
    <t>M</t>
  </si>
  <si>
    <t>PROPIEDAD</t>
  </si>
  <si>
    <t>ALQUILER</t>
  </si>
  <si>
    <t>ÁREA</t>
  </si>
  <si>
    <t>VARIABLES A CAMBIAR</t>
  </si>
  <si>
    <t>CELDAS CON FÓRMULAS NO SE CAMBIAN</t>
  </si>
  <si>
    <t xml:space="preserve"> RESULTADOS IMPORTANTES NO SE CAMBIAN</t>
  </si>
  <si>
    <r>
      <rPr>
        <rFont val="Montserrat"/>
        <b/>
        <color theme="0"/>
        <sz val="8.0"/>
      </rPr>
      <t>MÁS INFORMACIÓN:</t>
    </r>
    <r>
      <rPr>
        <rFont val="Montserrat"/>
        <b/>
        <color theme="10"/>
        <sz val="9.0"/>
      </rPr>
      <t xml:space="preserve"> </t>
    </r>
    <r>
      <rPr>
        <rFont val="Montserrat"/>
        <color theme="0"/>
        <sz val="9.0"/>
      </rPr>
      <t>www.carlosdevis.com</t>
    </r>
  </si>
  <si>
    <t>SI TIENES ALGUN INCONVENIENTE CONTACTA A :</t>
  </si>
  <si>
    <t>soporte@carlosdevis.com</t>
  </si>
  <si>
    <t>ESTABLECER PRECIO ESTIMADO DE ALQUILER</t>
  </si>
  <si>
    <t>PRECIO ESTIMADO ALQUILER</t>
  </si>
  <si>
    <t>ESTABLECER PRECIO MÁXIMO DE NEGOCIACIÓN</t>
  </si>
  <si>
    <t>PRECIO ESTIMADO DE ALQUILER</t>
  </si>
  <si>
    <t>X 100</t>
  </si>
  <si>
    <t>/ RENTA (0,6)</t>
  </si>
  <si>
    <t>PRECIO BRUTO NEGOCIACIÓN</t>
  </si>
  <si>
    <t>PBN</t>
  </si>
  <si>
    <t>- CIERRE</t>
  </si>
  <si>
    <t>- REPARACIÓN</t>
  </si>
  <si>
    <t>- OTROS</t>
  </si>
  <si>
    <t>PRECIO MÁXIMO NEGOCIACIÓN</t>
  </si>
  <si>
    <t>ESTABLECER PRECIO DE OFERTA</t>
  </si>
  <si>
    <t>PRECIO MÁXIMO DE NEGOCIACIÓN</t>
  </si>
  <si>
    <t>- MARGEN NEGOCIACIÓN</t>
  </si>
  <si>
    <t>PRECIO DE OFERTA</t>
  </si>
  <si>
    <t>COMPRAR</t>
  </si>
  <si>
    <t>BUSCAR 50</t>
  </si>
  <si>
    <t>NOTAS</t>
  </si>
  <si>
    <t>ESCOGER 10</t>
  </si>
  <si>
    <t>OFERTAR 10</t>
  </si>
  <si>
    <t>NEGOCIAR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</si>
</sst>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FFFFFF"/>
      <name val="Montserrat"/>
    </font>
    <font/>
    <font>
      <sz val="11.0"/>
      <color rgb="FF000000"/>
      <name val="Verdana"/>
    </font>
    <font>
      <sz val="11.0"/>
      <color rgb="FF000000"/>
      <name val="Montserrat"/>
    </font>
    <font>
      <sz val="10.0"/>
      <color rgb="FF000000"/>
      <name val="Montserrat"/>
    </font>
    <font>
      <b/>
      <sz val="9.0"/>
      <color rgb="FF000000"/>
      <name val="Montserrat"/>
    </font>
    <font>
      <sz val="10.0"/>
      <color rgb="FFFFFFFF"/>
      <name val="Verdana"/>
    </font>
    <font>
      <b/>
      <sz val="8.0"/>
      <color rgb="FF000000"/>
      <name val="Montserrat"/>
    </font>
    <font>
      <sz val="10.0"/>
      <color rgb="FF000000"/>
      <name val="Verdana"/>
    </font>
    <font>
      <sz val="9.0"/>
      <color theme="0"/>
      <name val="Montserrat"/>
    </font>
    <font>
      <sz val="9.0"/>
      <color rgb="FF000000"/>
      <name val="Montserrat"/>
    </font>
    <font>
      <b/>
      <sz val="8.0"/>
      <color theme="1"/>
      <name val="Montserrat"/>
    </font>
    <font>
      <sz val="9.0"/>
      <color theme="10"/>
      <name val="Montserrat"/>
    </font>
    <font>
      <b/>
      <sz val="8.0"/>
      <color theme="0"/>
      <name val="Montserrat"/>
    </font>
    <font>
      <u/>
      <sz val="9.0"/>
      <color theme="0"/>
      <name val="Montserrat"/>
    </font>
    <font>
      <b/>
      <sz val="10.0"/>
      <color rgb="FF000000"/>
      <name val="Montserrat"/>
    </font>
    <font>
      <b/>
      <sz val="10.0"/>
      <color theme="0"/>
      <name val="Montserrat"/>
    </font>
    <font>
      <sz val="10.0"/>
      <color theme="0"/>
      <name val="Montserrat"/>
    </font>
    <font>
      <sz val="8.0"/>
      <color theme="0"/>
      <name val="Montserrat"/>
    </font>
    <font>
      <sz val="11.0"/>
      <color rgb="FF000000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0E4470"/>
        <bgColor rgb="FF0E4470"/>
      </patternFill>
    </fill>
    <fill>
      <patternFill patternType="solid">
        <fgColor rgb="FFFFFFFF"/>
        <bgColor rgb="FFFFFFFF"/>
      </patternFill>
    </fill>
    <fill>
      <patternFill patternType="solid">
        <fgColor rgb="FFABE2FF"/>
        <bgColor rgb="FFABE2FF"/>
      </patternFill>
    </fill>
    <fill>
      <patternFill patternType="solid">
        <fgColor rgb="FF2A8CCB"/>
        <bgColor rgb="FF2A8CCB"/>
      </patternFill>
    </fill>
    <fill>
      <patternFill patternType="solid">
        <fgColor rgb="FF1A9AA7"/>
        <bgColor rgb="FF1A9AA7"/>
      </patternFill>
    </fill>
  </fills>
  <borders count="92">
    <border/>
    <border>
      <left style="thin">
        <color rgb="FF0E4470"/>
      </left>
      <top/>
    </border>
    <border>
      <top/>
    </border>
    <border>
      <right style="thin">
        <color rgb="FF0E4470"/>
      </right>
      <top/>
    </border>
    <border>
      <right/>
      <top/>
      <bottom style="thin">
        <color rgb="FFAAAAAA"/>
      </bottom>
    </border>
    <border>
      <left/>
      <right/>
      <top/>
      <bottom/>
    </border>
    <border>
      <left style="thin">
        <color rgb="FF0E4470"/>
      </left>
      <right style="thin">
        <color rgb="FF0E4470"/>
      </right>
      <top style="thin">
        <color rgb="FF0E4470"/>
      </top>
      <bottom style="thin">
        <color rgb="FF0E4470"/>
      </bottom>
    </border>
    <border>
      <left style="thin">
        <color rgb="FF0E4470"/>
      </left>
      <bottom style="thin">
        <color rgb="FF000000"/>
      </bottom>
    </border>
    <border>
      <bottom style="thin">
        <color rgb="FF000000"/>
      </bottom>
    </border>
    <border>
      <right style="thin">
        <color rgb="FF0E4470"/>
      </right>
      <bottom style="thin">
        <color rgb="FF000000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0E4470"/>
      </left>
      <top style="thin">
        <color rgb="FF000000"/>
      </top>
      <bottom style="thin">
        <color theme="0"/>
      </bottom>
    </border>
    <border>
      <top style="thin">
        <color rgb="FF000000"/>
      </top>
      <bottom style="thin">
        <color theme="0"/>
      </bottom>
    </border>
    <border>
      <right style="thin">
        <color rgb="FF000000"/>
      </right>
      <top style="thin">
        <color rgb="FF000000"/>
      </top>
      <bottom style="thin">
        <color theme="0"/>
      </bottom>
    </border>
    <border>
      <left style="thin">
        <color rgb="FF000000"/>
      </left>
      <top style="thin">
        <color rgb="FF000000"/>
      </top>
      <bottom style="thin">
        <color theme="0"/>
      </bottom>
    </border>
    <border>
      <right style="thin">
        <color rgb="FF0E4470"/>
      </right>
      <top style="thin">
        <color rgb="FF000000"/>
      </top>
      <bottom style="thin">
        <color theme="0"/>
      </bottom>
    </border>
    <border>
      <left/>
      <right/>
      <top style="thin">
        <color rgb="FFAAAAAA"/>
      </top>
      <bottom style="thin">
        <color rgb="FFAAAAAA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E447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theme="0"/>
      </bottom>
    </border>
    <border>
      <top/>
      <bottom style="thin">
        <color theme="0"/>
      </bottom>
    </border>
    <border>
      <right style="thin">
        <color theme="0"/>
      </right>
      <top/>
      <bottom style="thin">
        <color theme="0"/>
      </bottom>
    </border>
    <border>
      <left style="thin">
        <color theme="0"/>
      </left>
      <top/>
      <bottom style="thin">
        <color theme="0"/>
      </bottom>
    </border>
    <border>
      <right style="thin">
        <color rgb="FF0E4470"/>
      </right>
      <top/>
      <bottom style="thin">
        <color theme="0"/>
      </bottom>
    </border>
    <border>
      <left style="thin">
        <color rgb="FF0E447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right style="thin">
        <color rgb="FF0E4470"/>
      </right>
      <top style="thin">
        <color theme="0"/>
      </top>
      <bottom style="thin">
        <color theme="0"/>
      </bottom>
    </border>
    <border>
      <left style="thin">
        <color rgb="FF0E4470"/>
      </left>
      <right style="thin">
        <color rgb="FF000000"/>
      </right>
      <top style="thin">
        <color rgb="FF000000"/>
      </top>
      <bottom style="thin">
        <color rgb="FF0E4470"/>
      </bottom>
    </border>
    <border>
      <left style="thin">
        <color rgb="FF000000"/>
      </left>
      <top style="thin">
        <color theme="0"/>
      </top>
      <bottom style="thin">
        <color rgb="FF0E4470"/>
      </bottom>
    </border>
    <border>
      <top style="thin">
        <color theme="0"/>
      </top>
      <bottom style="thin">
        <color rgb="FF0E4470"/>
      </bottom>
    </border>
    <border>
      <right style="thin">
        <color theme="0"/>
      </right>
      <top style="thin">
        <color theme="0"/>
      </top>
      <bottom style="thin">
        <color rgb="FF0E4470"/>
      </bottom>
    </border>
    <border>
      <left style="thin">
        <color theme="0"/>
      </left>
      <top style="thin">
        <color theme="0"/>
      </top>
      <bottom style="thin">
        <color rgb="FF0E4470"/>
      </bottom>
    </border>
    <border>
      <right style="thin">
        <color rgb="FF0E4470"/>
      </right>
      <top style="thin">
        <color theme="0"/>
      </top>
      <bottom style="thin">
        <color rgb="FF0E4470"/>
      </bottom>
    </border>
    <border>
      <left style="thin">
        <color rgb="FF000000"/>
      </left>
    </border>
    <border>
      <left style="thin">
        <color theme="0"/>
      </left>
      <top style="thin">
        <color rgb="FF0E4470"/>
      </top>
    </border>
    <border>
      <top style="thin">
        <color rgb="FF0E4470"/>
      </top>
    </border>
    <border>
      <right style="thin">
        <color rgb="FF000000"/>
      </right>
      <top style="thin">
        <color rgb="FF0E4470"/>
      </top>
    </border>
    <border>
      <left style="thin">
        <color rgb="FF000000"/>
      </left>
      <right/>
      <top style="thin">
        <color rgb="FFAAAAAA"/>
      </top>
      <bottom style="thin">
        <color rgb="FFAAAAAA"/>
      </bottom>
    </border>
    <border>
      <left style="thin">
        <color theme="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 style="thin">
        <color theme="0"/>
      </top>
    </border>
    <border>
      <top style="thin">
        <color theme="0"/>
      </top>
    </border>
    <border>
      <right style="thin">
        <color rgb="FF000000"/>
      </right>
      <top style="thin">
        <color theme="0"/>
      </top>
    </border>
    <border>
      <left style="thin">
        <color rgb="FF000000"/>
      </left>
      <bottom style="thin">
        <color theme="0"/>
      </bottom>
    </border>
    <border>
      <bottom style="thin">
        <color theme="0"/>
      </bottom>
    </border>
    <border>
      <right style="thin">
        <color rgb="FF000000"/>
      </right>
      <bottom style="thin">
        <color theme="0"/>
      </bottom>
    </border>
    <border>
      <left style="thin">
        <color rgb="FF0E4470"/>
      </left>
      <top style="thin">
        <color theme="0"/>
      </top>
      <bottom style="thin">
        <color rgb="FF0E4470"/>
      </bottom>
    </border>
    <border>
      <right style="thin">
        <color rgb="FF000000"/>
      </right>
      <top style="thin">
        <color theme="0"/>
      </top>
      <bottom style="thin">
        <color rgb="FF0E4470"/>
      </bottom>
    </border>
    <border>
      <left style="thin">
        <color rgb="FF000000"/>
      </left>
      <top style="thin">
        <color rgb="FF0E4470"/>
      </top>
      <bottom style="thin">
        <color rgb="FF0E4470"/>
      </bottom>
    </border>
    <border>
      <top style="thin">
        <color rgb="FF0E4470"/>
      </top>
      <bottom style="thin">
        <color rgb="FF0E4470"/>
      </bottom>
    </border>
    <border>
      <right style="thin">
        <color theme="0"/>
      </right>
      <top style="thin">
        <color rgb="FF0E4470"/>
      </top>
      <bottom style="thin">
        <color rgb="FF0E4470"/>
      </bottom>
    </border>
    <border>
      <left style="thin">
        <color theme="0"/>
      </left>
      <top style="thin">
        <color rgb="FF0E4470"/>
      </top>
      <bottom style="thin">
        <color rgb="FF0E4470"/>
      </bottom>
    </border>
    <border>
      <right style="thin">
        <color rgb="FF000000"/>
      </right>
      <top style="thin">
        <color rgb="FF0E4470"/>
      </top>
      <bottom style="thin">
        <color rgb="FF0E4470"/>
      </bottom>
    </border>
    <border>
      <left style="thin">
        <color rgb="FF0E4470"/>
      </left>
      <top style="thin">
        <color rgb="FF0E4470"/>
      </top>
    </border>
    <border>
      <right style="thin">
        <color rgb="FF0E4470"/>
      </right>
      <top style="thin">
        <color rgb="FF0E4470"/>
      </top>
    </border>
    <border>
      <left style="thin">
        <color rgb="FF0E447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E4470"/>
      </right>
      <top style="thin">
        <color rgb="FF000000"/>
      </top>
    </border>
    <border>
      <left style="thin">
        <color rgb="FF0E4470"/>
      </left>
      <top style="thin">
        <color rgb="FF0E4470"/>
      </top>
      <bottom style="thin">
        <color rgb="FF0E4470"/>
      </bottom>
    </border>
    <border>
      <right style="thin">
        <color rgb="FF0E4470"/>
      </right>
      <top style="thin">
        <color rgb="FF0E4470"/>
      </top>
      <bottom style="thin">
        <color rgb="FF0E4470"/>
      </bottom>
    </border>
    <border>
      <left style="thin">
        <color rgb="FF0E4470"/>
      </left>
    </border>
    <border>
      <right style="thin">
        <color rgb="FF000000"/>
      </right>
    </border>
    <border>
      <right style="thin">
        <color rgb="FF0E4470"/>
      </right>
    </border>
    <border>
      <left style="thin">
        <color rgb="FF0E447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E447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E4470"/>
      </right>
      <top style="thin">
        <color rgb="FF000000"/>
      </top>
      <bottom/>
    </border>
    <border>
      <left style="thin">
        <color rgb="FF000000"/>
      </left>
      <top/>
    </border>
    <border>
      <left style="thin">
        <color rgb="FF0E4470"/>
      </left>
      <top style="thin">
        <color rgb="FF000000"/>
      </top>
      <bottom style="thin">
        <color rgb="FF0E4470"/>
      </bottom>
    </border>
    <border>
      <top style="thin">
        <color rgb="FF000000"/>
      </top>
      <bottom style="thin">
        <color rgb="FF0E4470"/>
      </bottom>
    </border>
    <border>
      <right style="thin">
        <color rgb="FF000000"/>
      </right>
      <top style="thin">
        <color rgb="FF000000"/>
      </top>
      <bottom style="thin">
        <color rgb="FF0E4470"/>
      </bottom>
    </border>
    <border>
      <left style="thin">
        <color rgb="FF000000"/>
      </left>
      <bottom style="thin">
        <color rgb="FF0E4470"/>
      </bottom>
    </border>
    <border>
      <bottom style="thin">
        <color rgb="FF0E4470"/>
      </bottom>
    </border>
    <border>
      <right style="thin">
        <color rgb="FF0E4470"/>
      </right>
      <bottom style="thin">
        <color rgb="FF0E4470"/>
      </bottom>
    </border>
    <border>
      <left/>
      <right/>
      <top style="thin">
        <color rgb="FFAAAAAA"/>
      </top>
      <bottom/>
    </border>
    <border>
      <left style="thin">
        <color rgb="FFAAAAAA"/>
      </left>
      <right/>
      <top/>
      <bottom/>
    </border>
    <border>
      <left style="thin">
        <color rgb="FFAAAAAA"/>
      </left>
    </border>
    <border>
      <left style="thin">
        <color rgb="FFAAAAAA"/>
      </left>
      <right/>
      <top/>
      <bottom style="thin">
        <color rgb="FFAAAAAA"/>
      </bottom>
    </border>
    <border>
      <left/>
      <right/>
      <top/>
      <bottom style="thin">
        <color rgb="FFAAAAAA"/>
      </bottom>
    </border>
    <border>
      <bottom style="thin">
        <color rgb="FFAAAAAA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1" numFmtId="0" xfId="0" applyAlignment="1" applyBorder="1" applyFill="1" applyFont="1">
      <alignment vertical="center"/>
    </xf>
    <xf borderId="5" fillId="3" fontId="4" numFmtId="0" xfId="0" applyAlignment="1" applyBorder="1" applyFont="1">
      <alignment vertical="center"/>
    </xf>
    <xf borderId="6" fillId="3" fontId="5" numFmtId="0" xfId="0" applyAlignment="1" applyBorder="1" applyFont="1">
      <alignment vertical="center"/>
    </xf>
    <xf borderId="6" fillId="4" fontId="6" numFmtId="0" xfId="0" applyAlignment="1" applyBorder="1" applyFill="1" applyFont="1">
      <alignment horizontal="center"/>
    </xf>
    <xf borderId="5" fillId="3" fontId="5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3" fontId="1" numFmtId="0" xfId="0" applyAlignment="1" applyBorder="1" applyFont="1">
      <alignment vertical="center"/>
    </xf>
    <xf borderId="11" fillId="0" fontId="7" numFmtId="49" xfId="0" applyAlignment="1" applyBorder="1" applyFont="1" applyNumberForma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4" fillId="0" fontId="7" numFmtId="49" xfId="0" applyAlignment="1" applyBorder="1" applyFont="1" applyNumberFormat="1">
      <alignment horizontal="center" vertical="center"/>
    </xf>
    <xf borderId="15" fillId="0" fontId="3" numFmtId="0" xfId="0" applyBorder="1" applyFont="1"/>
    <xf borderId="16" fillId="3" fontId="8" numFmtId="0" xfId="0" applyAlignment="1" applyBorder="1" applyFont="1">
      <alignment horizontal="center" vertical="center"/>
    </xf>
    <xf borderId="17" fillId="4" fontId="9" numFmtId="0" xfId="0" applyAlignment="1" applyBorder="1" applyFont="1">
      <alignment horizontal="center"/>
    </xf>
    <xf borderId="18" fillId="0" fontId="3" numFmtId="0" xfId="0" applyBorder="1" applyFont="1"/>
    <xf borderId="19" fillId="0" fontId="3" numFmtId="0" xfId="0" applyBorder="1" applyFont="1"/>
    <xf borderId="5" fillId="3" fontId="10" numFmtId="0" xfId="0" applyAlignment="1" applyBorder="1" applyFont="1">
      <alignment vertical="center"/>
    </xf>
    <xf borderId="20" fillId="2" fontId="11" numFmtId="0" xfId="0" applyAlignment="1" applyBorder="1" applyFont="1">
      <alignment horizontal="center" vertical="center"/>
    </xf>
    <xf borderId="21" fillId="4" fontId="12" numFmtId="0" xfId="0" applyAlignment="1" applyBorder="1" applyFont="1">
      <alignment horizontal="center" vertical="center"/>
    </xf>
    <xf borderId="22" fillId="0" fontId="3" numFmtId="0" xfId="0" applyBorder="1" applyFont="1"/>
    <xf borderId="23" fillId="0" fontId="3" numFmtId="0" xfId="0" applyBorder="1" applyFont="1"/>
    <xf borderId="24" fillId="4" fontId="12" numFmtId="4" xfId="0" applyAlignment="1" applyBorder="1" applyFont="1" applyNumberFormat="1">
      <alignment horizontal="center" vertical="center"/>
    </xf>
    <xf borderId="24" fillId="5" fontId="11" numFmtId="4" xfId="0" applyAlignment="1" applyBorder="1" applyFill="1" applyFont="1" applyNumberFormat="1">
      <alignment horizontal="center" vertical="center"/>
    </xf>
    <xf borderId="25" fillId="0" fontId="3" numFmtId="0" xfId="0" applyBorder="1" applyFont="1"/>
    <xf borderId="16" fillId="3" fontId="8" numFmtId="49" xfId="0" applyAlignment="1" applyBorder="1" applyFont="1" applyNumberFormat="1">
      <alignment horizontal="center" vertical="center"/>
    </xf>
    <xf borderId="17" fillId="5" fontId="13" numFmtId="0" xfId="0" applyAlignment="1" applyBorder="1" applyFont="1">
      <alignment horizontal="center" vertical="center"/>
    </xf>
    <xf borderId="26" fillId="2" fontId="11" numFmtId="0" xfId="0" applyAlignment="1" applyBorder="1" applyFont="1">
      <alignment horizontal="center" vertical="center"/>
    </xf>
    <xf borderId="27" fillId="4" fontId="12" numFmtId="0" xfId="0" applyAlignment="1" applyBorder="1" applyFont="1">
      <alignment horizontal="center" vertical="center"/>
    </xf>
    <xf borderId="28" fillId="0" fontId="3" numFmtId="0" xfId="0" applyBorder="1" applyFont="1"/>
    <xf borderId="29" fillId="0" fontId="3" numFmtId="0" xfId="0" applyBorder="1" applyFont="1"/>
    <xf borderId="30" fillId="4" fontId="12" numFmtId="4" xfId="0" applyAlignment="1" applyBorder="1" applyFont="1" applyNumberFormat="1">
      <alignment horizontal="center" vertical="center"/>
    </xf>
    <xf borderId="30" fillId="5" fontId="11" numFmtId="4" xfId="0" applyAlignment="1" applyBorder="1" applyFont="1" applyNumberFormat="1">
      <alignment horizontal="center" vertical="center"/>
    </xf>
    <xf borderId="31" fillId="0" fontId="3" numFmtId="0" xfId="0" applyBorder="1" applyFont="1"/>
    <xf borderId="17" fillId="6" fontId="9" numFmtId="0" xfId="0" applyAlignment="1" applyBorder="1" applyFill="1" applyFont="1">
      <alignment horizontal="center" vertical="center"/>
    </xf>
    <xf borderId="17" fillId="6" fontId="14" numFmtId="0" xfId="0" applyAlignment="1" applyBorder="1" applyFont="1">
      <alignment horizontal="center" vertical="center"/>
    </xf>
    <xf borderId="17" fillId="2" fontId="15" numFmtId="0" xfId="0" applyAlignment="1" applyBorder="1" applyFont="1">
      <alignment horizontal="center" vertical="center"/>
    </xf>
    <xf borderId="17" fillId="2" fontId="16" numFmtId="0" xfId="0" applyAlignment="1" applyBorder="1" applyFont="1">
      <alignment horizontal="center" vertical="center"/>
    </xf>
    <xf borderId="30" fillId="5" fontId="12" numFmtId="4" xfId="0" applyAlignment="1" applyBorder="1" applyFont="1" applyNumberFormat="1">
      <alignment horizontal="center" vertical="center"/>
    </xf>
    <xf borderId="32" fillId="2" fontId="11" numFmtId="0" xfId="0" applyAlignment="1" applyBorder="1" applyFont="1">
      <alignment horizontal="center" vertical="center"/>
    </xf>
    <xf borderId="33" fillId="4" fontId="12" numFmtId="0" xfId="0" applyAlignment="1" applyBorder="1" applyFont="1">
      <alignment horizontal="center" vertical="center"/>
    </xf>
    <xf borderId="34" fillId="0" fontId="3" numFmtId="0" xfId="0" applyBorder="1" applyFont="1"/>
    <xf borderId="35" fillId="0" fontId="3" numFmtId="0" xfId="0" applyBorder="1" applyFont="1"/>
    <xf borderId="36" fillId="4" fontId="12" numFmtId="4" xfId="0" applyAlignment="1" applyBorder="1" applyFont="1" applyNumberFormat="1">
      <alignment horizontal="center" vertical="center"/>
    </xf>
    <xf borderId="36" fillId="5" fontId="12" numFmtId="4" xfId="0" applyAlignment="1" applyBorder="1" applyFont="1" applyNumberFormat="1">
      <alignment horizontal="center" vertical="center"/>
    </xf>
    <xf borderId="37" fillId="0" fontId="3" numFmtId="0" xfId="0" applyBorder="1" applyFont="1"/>
    <xf borderId="38" fillId="0" fontId="17" numFmtId="0" xfId="0" applyAlignment="1" applyBorder="1" applyFont="1">
      <alignment horizontal="center" vertical="center"/>
    </xf>
    <xf borderId="39" fillId="5" fontId="18" numFmtId="4" xfId="0" applyAlignment="1" applyBorder="1" applyFont="1" applyNumberFormat="1">
      <alignment horizontal="center" vertical="center"/>
    </xf>
    <xf borderId="40" fillId="0" fontId="3" numFmtId="0" xfId="0" applyBorder="1" applyFont="1"/>
    <xf borderId="41" fillId="0" fontId="3" numFmtId="0" xfId="0" applyBorder="1" applyFont="1"/>
    <xf borderId="42" fillId="3" fontId="1" numFmtId="0" xfId="0" applyAlignment="1" applyBorder="1" applyFont="1">
      <alignment vertical="center"/>
    </xf>
    <xf borderId="38" fillId="0" fontId="3" numFmtId="0" xfId="0" applyBorder="1" applyFont="1"/>
    <xf borderId="43" fillId="0" fontId="3" numFmtId="0" xfId="0" applyBorder="1" applyFont="1"/>
    <xf borderId="44" fillId="0" fontId="3" numFmtId="0" xfId="0" applyBorder="1" applyFont="1"/>
    <xf borderId="45" fillId="0" fontId="3" numFmtId="0" xfId="0" applyBorder="1" applyFont="1"/>
    <xf borderId="46" fillId="2" fontId="2" numFmtId="49" xfId="0" applyAlignment="1" applyBorder="1" applyFont="1" applyNumberFormat="1">
      <alignment horizontal="left" vertical="center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50" fillId="0" fontId="3" numFmtId="0" xfId="0" applyBorder="1" applyFont="1"/>
    <xf borderId="51" fillId="0" fontId="3" numFmtId="0" xfId="0" applyBorder="1" applyFont="1"/>
    <xf borderId="52" fillId="0" fontId="17" numFmtId="0" xfId="0" applyAlignment="1" applyBorder="1" applyFont="1">
      <alignment horizontal="center" vertical="center"/>
    </xf>
    <xf borderId="53" fillId="0" fontId="3" numFmtId="0" xfId="0" applyBorder="1" applyFont="1"/>
    <xf borderId="33" fillId="0" fontId="17" numFmtId="49" xfId="0" applyAlignment="1" applyBorder="1" applyFont="1" applyNumberFormat="1">
      <alignment horizontal="center" vertical="center"/>
    </xf>
    <xf borderId="33" fillId="0" fontId="7" numFmtId="49" xfId="0" applyAlignment="1" applyBorder="1" applyFont="1" applyNumberFormat="1">
      <alignment horizontal="center" vertical="center"/>
    </xf>
    <xf borderId="16" fillId="3" fontId="1" numFmtId="0" xfId="0" applyAlignment="1" applyBorder="1" applyFont="1">
      <alignment vertical="center"/>
    </xf>
    <xf borderId="54" fillId="5" fontId="11" numFmtId="4" xfId="0" applyAlignment="1" applyBorder="1" applyFont="1" applyNumberFormat="1">
      <alignment horizontal="center" vertical="center"/>
    </xf>
    <xf borderId="55" fillId="0" fontId="3" numFmtId="0" xfId="0" applyBorder="1" applyFont="1"/>
    <xf borderId="56" fillId="0" fontId="3" numFmtId="0" xfId="0" applyBorder="1" applyFont="1"/>
    <xf borderId="57" fillId="4" fontId="12" numFmtId="4" xfId="0" applyAlignment="1" applyBorder="1" applyFont="1" applyNumberFormat="1">
      <alignment horizontal="center" vertical="center"/>
    </xf>
    <xf borderId="57" fillId="5" fontId="11" numFmtId="4" xfId="0" applyAlignment="1" applyBorder="1" applyFont="1" applyNumberFormat="1">
      <alignment horizontal="center" vertical="center"/>
    </xf>
    <xf borderId="58" fillId="0" fontId="3" numFmtId="0" xfId="0" applyBorder="1" applyFont="1"/>
    <xf borderId="59" fillId="2" fontId="2" numFmtId="49" xfId="0" applyAlignment="1" applyBorder="1" applyFont="1" applyNumberFormat="1">
      <alignment horizontal="left" vertical="center"/>
    </xf>
    <xf borderId="60" fillId="0" fontId="3" numFmtId="0" xfId="0" applyBorder="1" applyFont="1"/>
    <xf borderId="61" fillId="0" fontId="7" numFmtId="49" xfId="0" applyAlignment="1" applyBorder="1" applyFont="1" applyNumberFormat="1">
      <alignment horizontal="center" vertical="center"/>
    </xf>
    <xf borderId="62" fillId="0" fontId="3" numFmtId="0" xfId="0" applyBorder="1" applyFont="1"/>
    <xf borderId="63" fillId="0" fontId="3" numFmtId="0" xfId="0" applyBorder="1" applyFont="1"/>
    <xf borderId="64" fillId="0" fontId="17" numFmtId="49" xfId="0" applyAlignment="1" applyBorder="1" applyFont="1" applyNumberFormat="1">
      <alignment horizontal="center" vertical="center"/>
    </xf>
    <xf borderId="64" fillId="0" fontId="7" numFmtId="49" xfId="0" applyAlignment="1" applyBorder="1" applyFont="1" applyNumberFormat="1">
      <alignment horizontal="center" vertical="center"/>
    </xf>
    <xf borderId="65" fillId="0" fontId="3" numFmtId="0" xfId="0" applyBorder="1" applyFont="1"/>
    <xf borderId="66" fillId="5" fontId="19" numFmtId="4" xfId="0" applyAlignment="1" applyBorder="1" applyFont="1" applyNumberFormat="1">
      <alignment horizontal="center" vertical="center"/>
    </xf>
    <xf borderId="57" fillId="5" fontId="20" numFmtId="4" xfId="0" applyAlignment="1" applyBorder="1" applyFont="1" applyNumberFormat="1">
      <alignment horizontal="center" vertical="center"/>
    </xf>
    <xf borderId="57" fillId="5" fontId="19" numFmtId="4" xfId="0" applyAlignment="1" applyBorder="1" applyFont="1" applyNumberFormat="1">
      <alignment horizontal="center" vertical="center"/>
    </xf>
    <xf borderId="67" fillId="0" fontId="3" numFmtId="0" xfId="0" applyBorder="1" applyFont="1"/>
    <xf borderId="68" fillId="0" fontId="17" numFmtId="49" xfId="0" applyAlignment="1" applyBorder="1" applyFont="1" applyNumberFormat="1">
      <alignment horizontal="center" vertical="center"/>
    </xf>
    <xf borderId="69" fillId="0" fontId="3" numFmtId="0" xfId="0" applyBorder="1" applyFont="1"/>
    <xf borderId="38" fillId="0" fontId="17" numFmtId="49" xfId="0" applyAlignment="1" applyBorder="1" applyFont="1" applyNumberFormat="1">
      <alignment horizontal="center" vertical="center"/>
    </xf>
    <xf borderId="38" fillId="0" fontId="7" numFmtId="49" xfId="0" applyAlignment="1" applyBorder="1" applyFont="1" applyNumberFormat="1">
      <alignment horizontal="center" vertical="center"/>
    </xf>
    <xf borderId="70" fillId="0" fontId="3" numFmtId="0" xfId="0" applyBorder="1" applyFont="1"/>
    <xf borderId="57" fillId="4" fontId="6" numFmtId="4" xfId="0" applyAlignment="1" applyBorder="1" applyFont="1" applyNumberFormat="1">
      <alignment horizontal="center" vertical="center"/>
    </xf>
    <xf borderId="57" fillId="6" fontId="18" numFmtId="4" xfId="0" applyAlignment="1" applyBorder="1" applyFont="1" applyNumberFormat="1">
      <alignment horizontal="center" vertical="center"/>
    </xf>
    <xf borderId="1" fillId="2" fontId="2" numFmtId="49" xfId="0" applyAlignment="1" applyBorder="1" applyFont="1" applyNumberFormat="1">
      <alignment horizontal="left" vertical="center"/>
    </xf>
    <xf borderId="71" fillId="3" fontId="17" numFmtId="49" xfId="0" applyAlignment="1" applyBorder="1" applyFont="1" applyNumberFormat="1">
      <alignment horizontal="center" vertical="center"/>
    </xf>
    <xf borderId="72" fillId="0" fontId="3" numFmtId="0" xfId="0" applyBorder="1" applyFont="1"/>
    <xf borderId="73" fillId="0" fontId="3" numFmtId="0" xfId="0" applyBorder="1" applyFont="1"/>
    <xf borderId="74" fillId="3" fontId="7" numFmtId="49" xfId="0" applyAlignment="1" applyBorder="1" applyFont="1" applyNumberFormat="1">
      <alignment horizontal="center" vertical="center"/>
    </xf>
    <xf borderId="74" fillId="3" fontId="17" numFmtId="49" xfId="0" applyAlignment="1" applyBorder="1" applyFont="1" applyNumberFormat="1">
      <alignment horizontal="center" vertical="center"/>
    </xf>
    <xf borderId="75" fillId="0" fontId="3" numFmtId="0" xfId="0" applyBorder="1" applyFont="1"/>
    <xf borderId="71" fillId="5" fontId="19" numFmtId="4" xfId="0" applyAlignment="1" applyBorder="1" applyFont="1" applyNumberFormat="1">
      <alignment horizontal="center" vertical="center"/>
    </xf>
    <xf borderId="74" fillId="4" fontId="6" numFmtId="9" xfId="0" applyAlignment="1" applyBorder="1" applyFont="1" applyNumberFormat="1">
      <alignment horizontal="center" vertical="center"/>
    </xf>
    <xf borderId="74" fillId="6" fontId="18" numFmtId="4" xfId="0" applyAlignment="1" applyBorder="1" applyFont="1" applyNumberFormat="1">
      <alignment horizontal="center" vertical="center"/>
    </xf>
    <xf borderId="61" fillId="2" fontId="2" numFmtId="49" xfId="0" applyAlignment="1" applyBorder="1" applyFont="1" applyNumberFormat="1">
      <alignment horizontal="left" vertical="center"/>
    </xf>
    <xf borderId="71" fillId="3" fontId="6" numFmtId="49" xfId="0" applyAlignment="1" applyBorder="1" applyFont="1" applyNumberFormat="1">
      <alignment horizontal="left" vertical="center"/>
    </xf>
    <xf borderId="76" fillId="3" fontId="17" numFmtId="49" xfId="0" applyAlignment="1" applyBorder="1" applyFont="1" applyNumberFormat="1">
      <alignment horizontal="left" vertical="center"/>
    </xf>
    <xf borderId="77" fillId="0" fontId="3" numFmtId="0" xfId="0" applyBorder="1" applyFont="1"/>
    <xf borderId="78" fillId="0" fontId="3" numFmtId="0" xfId="0" applyBorder="1" applyFont="1"/>
    <xf borderId="79" fillId="3" fontId="5" numFmtId="0" xfId="0" applyAlignment="1" applyBorder="1" applyFont="1">
      <alignment horizontal="left" shrinkToFit="0" vertical="top" wrapText="1"/>
    </xf>
    <xf borderId="80" fillId="3" fontId="6" numFmtId="49" xfId="0" applyAlignment="1" applyBorder="1" applyFont="1" applyNumberFormat="1">
      <alignment horizontal="left" vertical="center"/>
    </xf>
    <xf borderId="81" fillId="0" fontId="3" numFmtId="0" xfId="0" applyBorder="1" applyFont="1"/>
    <xf borderId="82" fillId="0" fontId="3" numFmtId="0" xfId="0" applyBorder="1" applyFont="1"/>
    <xf borderId="83" fillId="0" fontId="3" numFmtId="0" xfId="0" applyBorder="1" applyFont="1"/>
    <xf borderId="84" fillId="0" fontId="3" numFmtId="0" xfId="0" applyBorder="1" applyFont="1"/>
    <xf borderId="85" fillId="0" fontId="3" numFmtId="0" xfId="0" applyBorder="1" applyFont="1"/>
    <xf borderId="86" fillId="3" fontId="1" numFmtId="0" xfId="0" applyAlignment="1" applyBorder="1" applyFont="1">
      <alignment vertical="center"/>
    </xf>
    <xf borderId="87" fillId="3" fontId="21" numFmtId="0" xfId="0" applyAlignment="1" applyBorder="1" applyFont="1">
      <alignment vertical="center"/>
    </xf>
    <xf borderId="5" fillId="3" fontId="21" numFmtId="0" xfId="0" applyAlignment="1" applyBorder="1" applyFont="1">
      <alignment vertical="center"/>
    </xf>
    <xf borderId="5" fillId="3" fontId="8" numFmtId="0" xfId="0" applyAlignment="1" applyBorder="1" applyFont="1">
      <alignment horizontal="center" vertical="center"/>
    </xf>
    <xf borderId="88" fillId="0" fontId="21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89" fillId="3" fontId="21" numFmtId="0" xfId="0" applyAlignment="1" applyBorder="1" applyFont="1">
      <alignment vertical="center"/>
    </xf>
    <xf borderId="90" fillId="3" fontId="21" numFmtId="0" xfId="0" applyAlignment="1" applyBorder="1" applyFont="1">
      <alignment vertical="center"/>
    </xf>
    <xf borderId="90" fillId="3" fontId="8" numFmtId="0" xfId="0" applyAlignment="1" applyBorder="1" applyFont="1">
      <alignment horizontal="center" vertical="center"/>
    </xf>
    <xf borderId="90" fillId="3" fontId="4" numFmtId="0" xfId="0" applyAlignment="1" applyBorder="1" applyFont="1">
      <alignment vertical="center"/>
    </xf>
    <xf borderId="91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266700</xdr:colOff>
      <xdr:row>3</xdr:row>
      <xdr:rowOff>19050</xdr:rowOff>
    </xdr:from>
    <xdr:ext cx="333375" cy="333375"/>
    <xdr:sp>
      <xdr:nvSpPr>
        <xdr:cNvPr id="3" name="Shape 3"/>
        <xdr:cNvSpPr/>
      </xdr:nvSpPr>
      <xdr:spPr>
        <a:xfrm>
          <a:off x="5184075" y="3618075"/>
          <a:ext cx="323850" cy="323850"/>
        </a:xfrm>
        <a:prstGeom prst="ellipse">
          <a:avLst/>
        </a:prstGeom>
        <a:noFill/>
        <a:ln cap="flat" cmpd="sng" w="12700">
          <a:solidFill>
            <a:schemeClr val="lt1"/>
          </a:solidFill>
          <a:prstDash val="solid"/>
          <a:miter lim="4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295275</xdr:colOff>
      <xdr:row>3</xdr:row>
      <xdr:rowOff>66675</xdr:rowOff>
    </xdr:from>
    <xdr:ext cx="266700" cy="266700"/>
    <xdr:sp>
      <xdr:nvSpPr>
        <xdr:cNvPr id="4" name="Shape 4"/>
        <xdr:cNvSpPr/>
      </xdr:nvSpPr>
      <xdr:spPr>
        <a:xfrm>
          <a:off x="5217413" y="3651413"/>
          <a:ext cx="257175" cy="257175"/>
        </a:xfrm>
        <a:prstGeom prst="rect">
          <a:avLst/>
        </a:prstGeom>
        <a:noFill/>
        <a:ln>
          <a:noFill/>
        </a:ln>
      </xdr:spPr>
      <xdr:txBody>
        <a:bodyPr anchorCtr="0" anchor="ctr" bIns="45700" lIns="45700" spcFirstLastPara="1" rIns="45700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ontserrat"/>
            <a:buNone/>
          </a:pPr>
          <a:r>
            <a:rPr b="1" i="0" lang="en-US" sz="1400" u="none" cap="none" strike="noStrike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1</a:t>
          </a:r>
          <a:endParaRPr sz="1400"/>
        </a:p>
      </xdr:txBody>
    </xdr:sp>
    <xdr:clientData fLocksWithSheet="0"/>
  </xdr:oneCellAnchor>
  <xdr:oneCellAnchor>
    <xdr:from>
      <xdr:col>17</xdr:col>
      <xdr:colOff>266700</xdr:colOff>
      <xdr:row>32</xdr:row>
      <xdr:rowOff>9525</xdr:rowOff>
    </xdr:from>
    <xdr:ext cx="333375" cy="333375"/>
    <xdr:sp>
      <xdr:nvSpPr>
        <xdr:cNvPr id="3" name="Shape 3"/>
        <xdr:cNvSpPr/>
      </xdr:nvSpPr>
      <xdr:spPr>
        <a:xfrm>
          <a:off x="5184075" y="3618075"/>
          <a:ext cx="323850" cy="323850"/>
        </a:xfrm>
        <a:prstGeom prst="ellipse">
          <a:avLst/>
        </a:prstGeom>
        <a:noFill/>
        <a:ln cap="flat" cmpd="sng" w="12700">
          <a:solidFill>
            <a:schemeClr val="lt1"/>
          </a:solidFill>
          <a:prstDash val="solid"/>
          <a:miter lim="4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304800</xdr:colOff>
      <xdr:row>32</xdr:row>
      <xdr:rowOff>38100</xdr:rowOff>
    </xdr:from>
    <xdr:ext cx="266700" cy="266700"/>
    <xdr:sp>
      <xdr:nvSpPr>
        <xdr:cNvPr id="5" name="Shape 5"/>
        <xdr:cNvSpPr/>
      </xdr:nvSpPr>
      <xdr:spPr>
        <a:xfrm>
          <a:off x="5217413" y="3651413"/>
          <a:ext cx="257175" cy="257175"/>
        </a:xfrm>
        <a:prstGeom prst="rect">
          <a:avLst/>
        </a:prstGeom>
        <a:noFill/>
        <a:ln>
          <a:noFill/>
        </a:ln>
      </xdr:spPr>
      <xdr:txBody>
        <a:bodyPr anchorCtr="0" anchor="ctr" bIns="45700" lIns="45700" spcFirstLastPara="1" rIns="45700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ontserrat"/>
            <a:buNone/>
          </a:pPr>
          <a:r>
            <a:rPr b="1" i="0" lang="en-US" sz="1400" u="none" cap="none" strike="noStrike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3</a:t>
          </a:r>
          <a:endParaRPr sz="1400"/>
        </a:p>
      </xdr:txBody>
    </xdr:sp>
    <xdr:clientData fLocksWithSheet="0"/>
  </xdr:oneCellAnchor>
  <xdr:oneCellAnchor>
    <xdr:from>
      <xdr:col>17</xdr:col>
      <xdr:colOff>276225</xdr:colOff>
      <xdr:row>38</xdr:row>
      <xdr:rowOff>28575</xdr:rowOff>
    </xdr:from>
    <xdr:ext cx="333375" cy="333375"/>
    <xdr:sp>
      <xdr:nvSpPr>
        <xdr:cNvPr id="6" name="Shape 6"/>
        <xdr:cNvSpPr/>
      </xdr:nvSpPr>
      <xdr:spPr>
        <a:xfrm>
          <a:off x="5184075" y="3618075"/>
          <a:ext cx="323850" cy="323850"/>
        </a:xfrm>
        <a:prstGeom prst="ellipse">
          <a:avLst/>
        </a:prstGeom>
        <a:solidFill>
          <a:srgbClr val="0E4470"/>
        </a:solidFill>
        <a:ln cap="flat" cmpd="sng" w="12700">
          <a:solidFill>
            <a:schemeClr val="lt1"/>
          </a:solidFill>
          <a:prstDash val="solid"/>
          <a:miter lim="4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18</xdr:col>
      <xdr:colOff>0</xdr:colOff>
      <xdr:row>38</xdr:row>
      <xdr:rowOff>57150</xdr:rowOff>
    </xdr:from>
    <xdr:ext cx="257175" cy="266700"/>
    <xdr:sp>
      <xdr:nvSpPr>
        <xdr:cNvPr id="7" name="Shape 7"/>
        <xdr:cNvSpPr/>
      </xdr:nvSpPr>
      <xdr:spPr>
        <a:xfrm>
          <a:off x="5222175" y="3651413"/>
          <a:ext cx="247650" cy="257175"/>
        </a:xfrm>
        <a:prstGeom prst="rect">
          <a:avLst/>
        </a:prstGeom>
        <a:noFill/>
        <a:ln>
          <a:noFill/>
        </a:ln>
      </xdr:spPr>
      <xdr:txBody>
        <a:bodyPr anchorCtr="0" anchor="ctr" bIns="45700" lIns="45700" spcFirstLastPara="1" rIns="45700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ontserrat"/>
            <a:buNone/>
          </a:pPr>
          <a:r>
            <a:rPr b="1" i="0" lang="en-US" sz="1400" u="none" cap="none" strike="noStrike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4</a:t>
          </a:r>
          <a:endParaRPr sz="1400"/>
        </a:p>
      </xdr:txBody>
    </xdr:sp>
    <xdr:clientData fLocksWithSheet="0"/>
  </xdr:oneCellAnchor>
  <xdr:oneCellAnchor>
    <xdr:from>
      <xdr:col>17</xdr:col>
      <xdr:colOff>276225</xdr:colOff>
      <xdr:row>42</xdr:row>
      <xdr:rowOff>19050</xdr:rowOff>
    </xdr:from>
    <xdr:ext cx="333375" cy="333375"/>
    <xdr:sp>
      <xdr:nvSpPr>
        <xdr:cNvPr id="8" name="Shape 8"/>
        <xdr:cNvSpPr/>
      </xdr:nvSpPr>
      <xdr:spPr>
        <a:xfrm>
          <a:off x="5184075" y="3618075"/>
          <a:ext cx="323850" cy="323850"/>
        </a:xfrm>
        <a:prstGeom prst="ellipse">
          <a:avLst/>
        </a:prstGeom>
        <a:noFill/>
        <a:ln cap="flat" cmpd="sng" w="12700">
          <a:solidFill>
            <a:schemeClr val="lt1"/>
          </a:solidFill>
          <a:prstDash val="solid"/>
          <a:miter lim="4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18</xdr:col>
      <xdr:colOff>0</xdr:colOff>
      <xdr:row>42</xdr:row>
      <xdr:rowOff>47625</xdr:rowOff>
    </xdr:from>
    <xdr:ext cx="257175" cy="266700"/>
    <xdr:sp>
      <xdr:nvSpPr>
        <xdr:cNvPr id="9" name="Shape 9"/>
        <xdr:cNvSpPr/>
      </xdr:nvSpPr>
      <xdr:spPr>
        <a:xfrm>
          <a:off x="5222175" y="3651413"/>
          <a:ext cx="247650" cy="257175"/>
        </a:xfrm>
        <a:prstGeom prst="rect">
          <a:avLst/>
        </a:prstGeom>
        <a:noFill/>
        <a:ln>
          <a:noFill/>
        </a:ln>
      </xdr:spPr>
      <xdr:txBody>
        <a:bodyPr anchorCtr="0" anchor="ctr" bIns="45700" lIns="45700" spcFirstLastPara="1" rIns="45700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ontserrat"/>
            <a:buNone/>
          </a:pPr>
          <a:r>
            <a:rPr b="1" i="0" lang="en-US" sz="1400" u="none" cap="none" strike="noStrike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5</a:t>
          </a:r>
          <a:endParaRPr sz="1400"/>
        </a:p>
      </xdr:txBody>
    </xdr:sp>
    <xdr:clientData fLocksWithSheet="0"/>
  </xdr:oneCellAnchor>
  <xdr:oneCellAnchor>
    <xdr:from>
      <xdr:col>17</xdr:col>
      <xdr:colOff>247650</xdr:colOff>
      <xdr:row>28</xdr:row>
      <xdr:rowOff>19050</xdr:rowOff>
    </xdr:from>
    <xdr:ext cx="333375" cy="333375"/>
    <xdr:sp>
      <xdr:nvSpPr>
        <xdr:cNvPr id="3" name="Shape 3"/>
        <xdr:cNvSpPr/>
      </xdr:nvSpPr>
      <xdr:spPr>
        <a:xfrm>
          <a:off x="5184075" y="3618075"/>
          <a:ext cx="323850" cy="323850"/>
        </a:xfrm>
        <a:prstGeom prst="ellipse">
          <a:avLst/>
        </a:prstGeom>
        <a:noFill/>
        <a:ln cap="flat" cmpd="sng" w="12700">
          <a:solidFill>
            <a:schemeClr val="lt1"/>
          </a:solidFill>
          <a:prstDash val="solid"/>
          <a:miter lim="4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285750</xdr:colOff>
      <xdr:row>28</xdr:row>
      <xdr:rowOff>47625</xdr:rowOff>
    </xdr:from>
    <xdr:ext cx="266700" cy="266700"/>
    <xdr:sp>
      <xdr:nvSpPr>
        <xdr:cNvPr id="10" name="Shape 10"/>
        <xdr:cNvSpPr/>
      </xdr:nvSpPr>
      <xdr:spPr>
        <a:xfrm>
          <a:off x="5217413" y="3651413"/>
          <a:ext cx="257175" cy="257175"/>
        </a:xfrm>
        <a:prstGeom prst="rect">
          <a:avLst/>
        </a:prstGeom>
        <a:noFill/>
        <a:ln>
          <a:noFill/>
        </a:ln>
      </xdr:spPr>
      <xdr:txBody>
        <a:bodyPr anchorCtr="0" anchor="ctr" bIns="45700" lIns="45700" spcFirstLastPara="1" rIns="45700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ontserrat"/>
            <a:buNone/>
          </a:pPr>
          <a:r>
            <a:rPr b="1" i="0" lang="en-US" sz="1400" u="none" cap="none" strike="noStrike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2</a:t>
          </a:r>
          <a:endParaRPr sz="1400"/>
        </a:p>
      </xdr:txBody>
    </xdr:sp>
    <xdr:clientData fLocksWithSheet="0"/>
  </xdr:oneCellAnchor>
  <xdr:oneCellAnchor>
    <xdr:from>
      <xdr:col>15</xdr:col>
      <xdr:colOff>266700</xdr:colOff>
      <xdr:row>0</xdr:row>
      <xdr:rowOff>95250</xdr:rowOff>
    </xdr:from>
    <xdr:ext cx="3028950" cy="266700"/>
    <xdr:sp>
      <xdr:nvSpPr>
        <xdr:cNvPr id="11" name="Shape 11"/>
        <xdr:cNvSpPr txBox="1"/>
      </xdr:nvSpPr>
      <xdr:spPr>
        <a:xfrm>
          <a:off x="3835780" y="3647850"/>
          <a:ext cx="3020440" cy="264301"/>
        </a:xfrm>
        <a:prstGeom prst="rect">
          <a:avLst/>
        </a:prstGeom>
        <a:noFill/>
        <a:ln>
          <a:noFill/>
        </a:ln>
      </xdr:spPr>
      <xdr:txBody>
        <a:bodyPr anchorCtr="0" anchor="t" bIns="45700" lIns="45700" spcFirstLastPara="1" rIns="45700" wrap="square" tIns="45700">
          <a:sp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Montserrat"/>
            <a:buNone/>
          </a:pPr>
          <a:r>
            <a:rPr b="1" i="0" lang="en-US" sz="1100" u="none" cap="none" strike="noStrike">
              <a:solidFill>
                <a:schemeClr val="lt1"/>
              </a:solidFill>
              <a:latin typeface="Montserrat"/>
              <a:ea typeface="Montserrat"/>
              <a:cs typeface="Montserrat"/>
              <a:sym typeface="Montserrat"/>
            </a:rPr>
            <a:t>COMPRANDO MI PRIMERA PROPIEDAD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9296400" cy="361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0</xdr:row>
      <xdr:rowOff>28575</xdr:rowOff>
    </xdr:from>
    <xdr:ext cx="1371600" cy="3333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Javier%20Castro%202\Downloads\A-%20%20APLICATIVOS%20DE%20LIQUIDACION%20ALEJANDRO1.xlsm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d.docs.live.net/9b9cc990667f7650/Documents/Mine/Extra%20Businesses/Real%20Estate/CashFlow%20Investmen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icio"/>
      <sheetName val="Valor Futuro"/>
      <sheetName val="Conversor Tasas"/>
      <sheetName val="Hoja3"/>
      <sheetName val="Tablas"/>
      <sheetName val="Interes Credito Comercial"/>
      <sheetName val="Interes Mora Tributario"/>
      <sheetName val="Dverificacion"/>
      <sheetName val="Modelo de Credito"/>
      <sheetName val="A-  APLICATIVOS DE LIQUIDACION 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Properties Cashflow"/>
      <sheetName val="Amortization Schedule"/>
      <sheetName val="SIMULADOR"/>
      <sheetName val="Amortizacion"/>
      <sheetName val="Calculadora de Prestamo"/>
      <sheetName val="RENTAL"/>
      <sheetName val="Properties Cashflow 1 (2)"/>
      <sheetName val="ROI"/>
      <sheetName val="Properties Cashflows"/>
      <sheetName val="Analisis Propiedades"/>
      <sheetName val="ROI MIAMI"/>
      <sheetName val="ROI STELLAR"/>
      <sheetName val="Rentalizer"/>
      <sheetName val="HELOC VAR"/>
      <sheetName val="HELOC RATES"/>
      <sheetName val="HOAs Accept AIRBNB"/>
      <sheetName val="Properties Cashflow Me"/>
      <sheetName val="Properties Cashflow (2)"/>
      <sheetName val="Properties Cashflow (3)"/>
      <sheetName val="HELOC FIJ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oporte@carlosdevis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2" width="4.71"/>
    <col customWidth="1" min="13" max="13" width="3.0"/>
    <col customWidth="1" min="14" max="18" width="4.71"/>
    <col customWidth="1" min="19" max="19" width="6.14"/>
    <col customWidth="1" hidden="1" min="20" max="20" width="10.86"/>
    <col customWidth="1" min="21" max="21" width="4.71"/>
    <col customWidth="1" min="22" max="22" width="18.0"/>
    <col customWidth="1" min="23" max="23" width="5.0"/>
    <col customWidth="1" min="24" max="24" width="2.43"/>
    <col customWidth="1" min="25" max="26" width="4.71"/>
    <col customWidth="1" hidden="1" min="27" max="27" width="10.29"/>
    <col customWidth="1" hidden="1" min="28" max="28" width="3.86"/>
    <col customWidth="1" hidden="1" min="29" max="29" width="4.71"/>
    <col customWidth="1" min="30" max="42" width="4.71"/>
    <col customWidth="1" min="43" max="48" width="11.43"/>
  </cols>
  <sheetData>
    <row r="1" ht="14.25" customHeight="1">
      <c r="A1" s="1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ht="14.25" customHeight="1"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ht="15.0" customHeight="1">
      <c r="A4" s="3" t="str">
        <f>CONCATENATE("ESTABLECER PRECIO ", W4, " ", X4, " PROMEDIO DE ALQUILER")</f>
        <v>ESTABLECER PRECIO PIES ² PROMEDIO DE ALQUILER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  <c r="T4" s="6"/>
      <c r="U4" s="7"/>
      <c r="V4" s="8" t="s">
        <v>0</v>
      </c>
      <c r="W4" s="9" t="s">
        <v>1</v>
      </c>
      <c r="X4" s="10" t="s">
        <v>2</v>
      </c>
      <c r="Y4" s="7"/>
      <c r="Z4" s="7"/>
      <c r="AA4" s="7" t="s">
        <v>3</v>
      </c>
      <c r="AB4" s="7" t="s">
        <v>4</v>
      </c>
      <c r="AC4" s="7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 ht="15.0" customHeight="1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4"/>
      <c r="T5" s="15"/>
      <c r="U5" s="7"/>
      <c r="V5" s="7"/>
      <c r="W5" s="2"/>
      <c r="X5" s="2"/>
      <c r="Y5" s="7"/>
      <c r="Z5" s="7"/>
      <c r="AA5" s="7" t="s">
        <v>1</v>
      </c>
      <c r="AB5" s="7" t="s">
        <v>1</v>
      </c>
      <c r="AC5" s="7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</row>
    <row r="6" ht="15.0" customHeight="1">
      <c r="A6" s="16" t="s">
        <v>5</v>
      </c>
      <c r="B6" s="17"/>
      <c r="C6" s="17"/>
      <c r="D6" s="17"/>
      <c r="E6" s="17"/>
      <c r="F6" s="17"/>
      <c r="G6" s="17"/>
      <c r="H6" s="17"/>
      <c r="I6" s="17"/>
      <c r="J6" s="18"/>
      <c r="K6" s="19" t="s">
        <v>6</v>
      </c>
      <c r="L6" s="17"/>
      <c r="M6" s="18"/>
      <c r="N6" s="19" t="s">
        <v>7</v>
      </c>
      <c r="O6" s="17"/>
      <c r="P6" s="18"/>
      <c r="Q6" s="19" t="str">
        <f>CONCATENATE("VALOR EN ",W4,X4)</f>
        <v>VALOR EN PIES²</v>
      </c>
      <c r="R6" s="17"/>
      <c r="S6" s="20"/>
      <c r="T6" s="21">
        <f>COUNT(Q7:S26)</f>
        <v>9</v>
      </c>
      <c r="U6" s="22" t="s">
        <v>8</v>
      </c>
      <c r="V6" s="23"/>
      <c r="W6" s="23"/>
      <c r="X6" s="23"/>
      <c r="Y6" s="23"/>
      <c r="Z6" s="24"/>
      <c r="AA6" s="2"/>
      <c r="AB6" s="7"/>
      <c r="AC6" s="25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</row>
    <row r="7" ht="15.0" customHeight="1">
      <c r="A7" s="26">
        <v>1.0</v>
      </c>
      <c r="B7" s="27"/>
      <c r="C7" s="28"/>
      <c r="D7" s="28"/>
      <c r="E7" s="28"/>
      <c r="F7" s="28"/>
      <c r="G7" s="28"/>
      <c r="H7" s="28"/>
      <c r="I7" s="28"/>
      <c r="J7" s="29"/>
      <c r="K7" s="30">
        <v>980.0</v>
      </c>
      <c r="L7" s="28"/>
      <c r="M7" s="29"/>
      <c r="N7" s="30">
        <v>57.0</v>
      </c>
      <c r="O7" s="28"/>
      <c r="P7" s="29"/>
      <c r="Q7" s="31">
        <f t="shared" ref="Q7:Q26" si="1">IFERROR(K7/N7,"")</f>
        <v>17.19298246</v>
      </c>
      <c r="R7" s="28"/>
      <c r="S7" s="32"/>
      <c r="T7" s="33" t="str">
        <f t="shared" ref="T7:T26" si="2">IF(K7="","O","I")</f>
        <v>I</v>
      </c>
      <c r="U7" s="34" t="s">
        <v>9</v>
      </c>
      <c r="V7" s="23"/>
      <c r="W7" s="23"/>
      <c r="X7" s="23"/>
      <c r="Y7" s="23"/>
      <c r="Z7" s="24"/>
      <c r="AA7" s="25"/>
      <c r="AB7" s="7"/>
      <c r="AC7" s="7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</row>
    <row r="8" ht="15.0" customHeight="1">
      <c r="A8" s="35">
        <v>2.0</v>
      </c>
      <c r="B8" s="36"/>
      <c r="C8" s="37"/>
      <c r="D8" s="37"/>
      <c r="E8" s="37"/>
      <c r="F8" s="37"/>
      <c r="G8" s="37"/>
      <c r="H8" s="37"/>
      <c r="I8" s="37"/>
      <c r="J8" s="38"/>
      <c r="K8" s="39">
        <v>840.0</v>
      </c>
      <c r="L8" s="37"/>
      <c r="M8" s="38"/>
      <c r="N8" s="39">
        <v>47.0</v>
      </c>
      <c r="O8" s="37"/>
      <c r="P8" s="38"/>
      <c r="Q8" s="40">
        <f t="shared" si="1"/>
        <v>17.87234043</v>
      </c>
      <c r="R8" s="37"/>
      <c r="S8" s="41"/>
      <c r="T8" s="33" t="str">
        <f t="shared" si="2"/>
        <v>I</v>
      </c>
      <c r="U8" s="42" t="s">
        <v>10</v>
      </c>
      <c r="V8" s="23"/>
      <c r="W8" s="23"/>
      <c r="X8" s="23"/>
      <c r="Y8" s="23"/>
      <c r="Z8" s="24"/>
      <c r="AA8" s="7"/>
      <c r="AB8" s="7"/>
      <c r="AC8" s="7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</row>
    <row r="9" ht="15.0" customHeight="1">
      <c r="A9" s="35">
        <v>3.0</v>
      </c>
      <c r="B9" s="36"/>
      <c r="C9" s="37"/>
      <c r="D9" s="37"/>
      <c r="E9" s="37"/>
      <c r="F9" s="37"/>
      <c r="G9" s="37"/>
      <c r="H9" s="37"/>
      <c r="I9" s="37"/>
      <c r="J9" s="38"/>
      <c r="K9" s="39">
        <v>890.0</v>
      </c>
      <c r="L9" s="37"/>
      <c r="M9" s="38"/>
      <c r="N9" s="39">
        <v>57.0</v>
      </c>
      <c r="O9" s="37"/>
      <c r="P9" s="38"/>
      <c r="Q9" s="40">
        <f t="shared" si="1"/>
        <v>15.61403509</v>
      </c>
      <c r="R9" s="37"/>
      <c r="S9" s="41"/>
      <c r="T9" s="33" t="str">
        <f t="shared" si="2"/>
        <v>I</v>
      </c>
      <c r="U9" s="7"/>
      <c r="V9" s="7"/>
      <c r="W9" s="7"/>
      <c r="X9" s="7"/>
      <c r="Y9" s="7"/>
      <c r="Z9" s="7"/>
      <c r="AA9" s="7"/>
      <c r="AB9" s="7"/>
      <c r="AC9" s="7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</row>
    <row r="10" ht="15.0" customHeight="1">
      <c r="A10" s="35">
        <v>4.0</v>
      </c>
      <c r="B10" s="36"/>
      <c r="C10" s="37"/>
      <c r="D10" s="37"/>
      <c r="E10" s="37"/>
      <c r="F10" s="37"/>
      <c r="G10" s="37"/>
      <c r="H10" s="37"/>
      <c r="I10" s="37"/>
      <c r="J10" s="38"/>
      <c r="K10" s="39">
        <v>1120.0</v>
      </c>
      <c r="L10" s="37"/>
      <c r="M10" s="38"/>
      <c r="N10" s="39">
        <v>65.0</v>
      </c>
      <c r="O10" s="37"/>
      <c r="P10" s="38"/>
      <c r="Q10" s="40">
        <f t="shared" si="1"/>
        <v>17.23076923</v>
      </c>
      <c r="R10" s="37"/>
      <c r="S10" s="41"/>
      <c r="T10" s="33" t="str">
        <f t="shared" si="2"/>
        <v>I</v>
      </c>
      <c r="U10" s="43" t="s">
        <v>11</v>
      </c>
      <c r="V10" s="23"/>
      <c r="W10" s="23"/>
      <c r="X10" s="23"/>
      <c r="Y10" s="23"/>
      <c r="Z10" s="24"/>
      <c r="AA10" s="7"/>
      <c r="AB10" s="7"/>
      <c r="AC10" s="7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</row>
    <row r="11" ht="15.0" customHeight="1">
      <c r="A11" s="35">
        <v>5.0</v>
      </c>
      <c r="B11" s="36"/>
      <c r="C11" s="37"/>
      <c r="D11" s="37"/>
      <c r="E11" s="37"/>
      <c r="F11" s="37"/>
      <c r="G11" s="37"/>
      <c r="H11" s="37"/>
      <c r="I11" s="37"/>
      <c r="J11" s="38"/>
      <c r="K11" s="39">
        <v>790.0</v>
      </c>
      <c r="L11" s="37"/>
      <c r="M11" s="38"/>
      <c r="N11" s="39">
        <v>47.0</v>
      </c>
      <c r="O11" s="37"/>
      <c r="P11" s="38"/>
      <c r="Q11" s="40">
        <f t="shared" si="1"/>
        <v>16.80851064</v>
      </c>
      <c r="R11" s="37"/>
      <c r="S11" s="41"/>
      <c r="T11" s="33" t="str">
        <f t="shared" si="2"/>
        <v>I</v>
      </c>
      <c r="U11" s="44" t="s">
        <v>12</v>
      </c>
      <c r="V11" s="23"/>
      <c r="W11" s="23"/>
      <c r="X11" s="23"/>
      <c r="Y11" s="23"/>
      <c r="Z11" s="24"/>
      <c r="AA11" s="7"/>
      <c r="AB11" s="7"/>
      <c r="AC11" s="7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</row>
    <row r="12" ht="15.0" customHeight="1">
      <c r="A12" s="35">
        <v>6.0</v>
      </c>
      <c r="B12" s="36"/>
      <c r="C12" s="37"/>
      <c r="D12" s="37"/>
      <c r="E12" s="37"/>
      <c r="F12" s="37"/>
      <c r="G12" s="37"/>
      <c r="H12" s="37"/>
      <c r="I12" s="37"/>
      <c r="J12" s="38"/>
      <c r="K12" s="39">
        <v>1030.0</v>
      </c>
      <c r="L12" s="37"/>
      <c r="M12" s="38"/>
      <c r="N12" s="39">
        <v>57.0</v>
      </c>
      <c r="O12" s="37"/>
      <c r="P12" s="38"/>
      <c r="Q12" s="40">
        <f t="shared" si="1"/>
        <v>18.07017544</v>
      </c>
      <c r="R12" s="37"/>
      <c r="S12" s="41"/>
      <c r="T12" s="33" t="str">
        <f t="shared" si="2"/>
        <v>I</v>
      </c>
      <c r="U12" s="45" t="s">
        <v>13</v>
      </c>
      <c r="V12" s="23"/>
      <c r="W12" s="23"/>
      <c r="X12" s="23"/>
      <c r="Y12" s="23"/>
      <c r="Z12" s="24"/>
      <c r="AA12" s="7"/>
      <c r="AB12" s="7"/>
      <c r="AC12" s="7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</row>
    <row r="13" ht="15.0" customHeight="1">
      <c r="A13" s="35">
        <v>7.0</v>
      </c>
      <c r="B13" s="36"/>
      <c r="C13" s="37"/>
      <c r="D13" s="37"/>
      <c r="E13" s="37"/>
      <c r="F13" s="37"/>
      <c r="G13" s="37"/>
      <c r="H13" s="37"/>
      <c r="I13" s="37"/>
      <c r="J13" s="38"/>
      <c r="K13" s="39">
        <v>790.0</v>
      </c>
      <c r="L13" s="37"/>
      <c r="M13" s="38"/>
      <c r="N13" s="39">
        <v>41.0</v>
      </c>
      <c r="O13" s="37"/>
      <c r="P13" s="38"/>
      <c r="Q13" s="40">
        <f t="shared" si="1"/>
        <v>19.26829268</v>
      </c>
      <c r="R13" s="37"/>
      <c r="S13" s="41"/>
      <c r="T13" s="33" t="str">
        <f t="shared" si="2"/>
        <v>I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</row>
    <row r="14" ht="15.0" customHeight="1">
      <c r="A14" s="35">
        <v>8.0</v>
      </c>
      <c r="B14" s="36"/>
      <c r="C14" s="37"/>
      <c r="D14" s="37"/>
      <c r="E14" s="37"/>
      <c r="F14" s="37"/>
      <c r="G14" s="37"/>
      <c r="H14" s="37"/>
      <c r="I14" s="37"/>
      <c r="J14" s="38"/>
      <c r="K14" s="39">
        <v>970.0</v>
      </c>
      <c r="L14" s="37"/>
      <c r="M14" s="38"/>
      <c r="N14" s="39">
        <v>57.0</v>
      </c>
      <c r="O14" s="37"/>
      <c r="P14" s="38"/>
      <c r="Q14" s="40">
        <f t="shared" si="1"/>
        <v>17.01754386</v>
      </c>
      <c r="R14" s="37"/>
      <c r="S14" s="41"/>
      <c r="T14" s="33" t="str">
        <f t="shared" si="2"/>
        <v>I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</row>
    <row r="15" ht="15.0" customHeight="1">
      <c r="A15" s="35">
        <v>9.0</v>
      </c>
      <c r="B15" s="36"/>
      <c r="C15" s="37"/>
      <c r="D15" s="37"/>
      <c r="E15" s="37"/>
      <c r="F15" s="37"/>
      <c r="G15" s="37"/>
      <c r="H15" s="37"/>
      <c r="I15" s="37"/>
      <c r="J15" s="38"/>
      <c r="K15" s="39">
        <v>980.0</v>
      </c>
      <c r="L15" s="37"/>
      <c r="M15" s="38"/>
      <c r="N15" s="39">
        <v>52.0</v>
      </c>
      <c r="O15" s="37"/>
      <c r="P15" s="38"/>
      <c r="Q15" s="40">
        <f t="shared" si="1"/>
        <v>18.84615385</v>
      </c>
      <c r="R15" s="37"/>
      <c r="S15" s="41"/>
      <c r="T15" s="33" t="str">
        <f t="shared" si="2"/>
        <v>I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</row>
    <row r="16" ht="15.0" customHeight="1">
      <c r="A16" s="35">
        <v>10.0</v>
      </c>
      <c r="B16" s="36"/>
      <c r="C16" s="37"/>
      <c r="D16" s="37"/>
      <c r="E16" s="37"/>
      <c r="F16" s="37"/>
      <c r="G16" s="37"/>
      <c r="H16" s="37"/>
      <c r="I16" s="37"/>
      <c r="J16" s="38"/>
      <c r="K16" s="39"/>
      <c r="L16" s="37"/>
      <c r="M16" s="38"/>
      <c r="N16" s="39"/>
      <c r="O16" s="37"/>
      <c r="P16" s="38"/>
      <c r="Q16" s="46" t="str">
        <f t="shared" si="1"/>
        <v/>
      </c>
      <c r="R16" s="37"/>
      <c r="S16" s="41"/>
      <c r="T16" s="33" t="str">
        <f t="shared" si="2"/>
        <v>O</v>
      </c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</row>
    <row r="17" ht="15.0" customHeight="1">
      <c r="A17" s="35">
        <v>11.0</v>
      </c>
      <c r="B17" s="36"/>
      <c r="C17" s="37"/>
      <c r="D17" s="37"/>
      <c r="E17" s="37"/>
      <c r="F17" s="37"/>
      <c r="G17" s="37"/>
      <c r="H17" s="37"/>
      <c r="I17" s="37"/>
      <c r="J17" s="38"/>
      <c r="K17" s="39"/>
      <c r="L17" s="37"/>
      <c r="M17" s="38"/>
      <c r="N17" s="39"/>
      <c r="O17" s="37"/>
      <c r="P17" s="38"/>
      <c r="Q17" s="46" t="str">
        <f t="shared" si="1"/>
        <v/>
      </c>
      <c r="R17" s="37"/>
      <c r="S17" s="41"/>
      <c r="T17" s="33" t="str">
        <f t="shared" si="2"/>
        <v>O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</row>
    <row r="18" ht="15.0" customHeight="1">
      <c r="A18" s="35">
        <v>12.0</v>
      </c>
      <c r="B18" s="36"/>
      <c r="C18" s="37"/>
      <c r="D18" s="37"/>
      <c r="E18" s="37"/>
      <c r="F18" s="37"/>
      <c r="G18" s="37"/>
      <c r="H18" s="37"/>
      <c r="I18" s="37"/>
      <c r="J18" s="38"/>
      <c r="K18" s="39"/>
      <c r="L18" s="37"/>
      <c r="M18" s="38"/>
      <c r="N18" s="39"/>
      <c r="O18" s="37"/>
      <c r="P18" s="38"/>
      <c r="Q18" s="46" t="str">
        <f t="shared" si="1"/>
        <v/>
      </c>
      <c r="R18" s="37"/>
      <c r="S18" s="41"/>
      <c r="T18" s="33" t="str">
        <f t="shared" si="2"/>
        <v>O</v>
      </c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</row>
    <row r="19" ht="15.0" customHeight="1">
      <c r="A19" s="35">
        <v>13.0</v>
      </c>
      <c r="B19" s="36"/>
      <c r="C19" s="37"/>
      <c r="D19" s="37"/>
      <c r="E19" s="37"/>
      <c r="F19" s="37"/>
      <c r="G19" s="37"/>
      <c r="H19" s="37"/>
      <c r="I19" s="37"/>
      <c r="J19" s="38"/>
      <c r="K19" s="39"/>
      <c r="L19" s="37"/>
      <c r="M19" s="38"/>
      <c r="N19" s="39"/>
      <c r="O19" s="37"/>
      <c r="P19" s="38"/>
      <c r="Q19" s="46" t="str">
        <f t="shared" si="1"/>
        <v/>
      </c>
      <c r="R19" s="37"/>
      <c r="S19" s="41"/>
      <c r="T19" s="33" t="str">
        <f t="shared" si="2"/>
        <v>O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</row>
    <row r="20" ht="15.0" customHeight="1">
      <c r="A20" s="35">
        <v>14.0</v>
      </c>
      <c r="B20" s="36"/>
      <c r="C20" s="37"/>
      <c r="D20" s="37"/>
      <c r="E20" s="37"/>
      <c r="F20" s="37"/>
      <c r="G20" s="37"/>
      <c r="H20" s="37"/>
      <c r="I20" s="37"/>
      <c r="J20" s="38"/>
      <c r="K20" s="39"/>
      <c r="L20" s="37"/>
      <c r="M20" s="38"/>
      <c r="N20" s="39"/>
      <c r="O20" s="37"/>
      <c r="P20" s="38"/>
      <c r="Q20" s="46" t="str">
        <f t="shared" si="1"/>
        <v/>
      </c>
      <c r="R20" s="37"/>
      <c r="S20" s="41"/>
      <c r="T20" s="33" t="str">
        <f t="shared" si="2"/>
        <v>O</v>
      </c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</row>
    <row r="21" ht="15.0" customHeight="1">
      <c r="A21" s="35">
        <v>15.0</v>
      </c>
      <c r="B21" s="36"/>
      <c r="C21" s="37"/>
      <c r="D21" s="37"/>
      <c r="E21" s="37"/>
      <c r="F21" s="37"/>
      <c r="G21" s="37"/>
      <c r="H21" s="37"/>
      <c r="I21" s="37"/>
      <c r="J21" s="38"/>
      <c r="K21" s="39"/>
      <c r="L21" s="37"/>
      <c r="M21" s="38"/>
      <c r="N21" s="39"/>
      <c r="O21" s="37"/>
      <c r="P21" s="38"/>
      <c r="Q21" s="46" t="str">
        <f t="shared" si="1"/>
        <v/>
      </c>
      <c r="R21" s="37"/>
      <c r="S21" s="41"/>
      <c r="T21" s="33" t="str">
        <f t="shared" si="2"/>
        <v>O</v>
      </c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</row>
    <row r="22" ht="15.0" customHeight="1">
      <c r="A22" s="35">
        <v>16.0</v>
      </c>
      <c r="B22" s="36"/>
      <c r="C22" s="37"/>
      <c r="D22" s="37"/>
      <c r="E22" s="37"/>
      <c r="F22" s="37"/>
      <c r="G22" s="37"/>
      <c r="H22" s="37"/>
      <c r="I22" s="37"/>
      <c r="J22" s="38"/>
      <c r="K22" s="39"/>
      <c r="L22" s="37"/>
      <c r="M22" s="38"/>
      <c r="N22" s="39"/>
      <c r="O22" s="37"/>
      <c r="P22" s="38"/>
      <c r="Q22" s="46" t="str">
        <f t="shared" si="1"/>
        <v/>
      </c>
      <c r="R22" s="37"/>
      <c r="S22" s="41"/>
      <c r="T22" s="33" t="str">
        <f t="shared" si="2"/>
        <v>O</v>
      </c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</row>
    <row r="23" ht="15.0" customHeight="1">
      <c r="A23" s="35">
        <v>17.0</v>
      </c>
      <c r="B23" s="36"/>
      <c r="C23" s="37"/>
      <c r="D23" s="37"/>
      <c r="E23" s="37"/>
      <c r="F23" s="37"/>
      <c r="G23" s="37"/>
      <c r="H23" s="37"/>
      <c r="I23" s="37"/>
      <c r="J23" s="38"/>
      <c r="K23" s="39"/>
      <c r="L23" s="37"/>
      <c r="M23" s="38"/>
      <c r="N23" s="39"/>
      <c r="O23" s="37"/>
      <c r="P23" s="38"/>
      <c r="Q23" s="46" t="str">
        <f t="shared" si="1"/>
        <v/>
      </c>
      <c r="R23" s="37"/>
      <c r="S23" s="41"/>
      <c r="T23" s="33" t="str">
        <f t="shared" si="2"/>
        <v>O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</row>
    <row r="24" ht="15.0" customHeight="1">
      <c r="A24" s="35">
        <v>18.0</v>
      </c>
      <c r="B24" s="36"/>
      <c r="C24" s="37"/>
      <c r="D24" s="37"/>
      <c r="E24" s="37"/>
      <c r="F24" s="37"/>
      <c r="G24" s="37"/>
      <c r="H24" s="37"/>
      <c r="I24" s="37"/>
      <c r="J24" s="38"/>
      <c r="K24" s="39"/>
      <c r="L24" s="37"/>
      <c r="M24" s="38"/>
      <c r="N24" s="39"/>
      <c r="O24" s="37"/>
      <c r="P24" s="38"/>
      <c r="Q24" s="46" t="str">
        <f t="shared" si="1"/>
        <v/>
      </c>
      <c r="R24" s="37"/>
      <c r="S24" s="41"/>
      <c r="T24" s="33" t="str">
        <f t="shared" si="2"/>
        <v>O</v>
      </c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</row>
    <row r="25" ht="15.0" customHeight="1">
      <c r="A25" s="35">
        <v>19.0</v>
      </c>
      <c r="B25" s="36"/>
      <c r="C25" s="37"/>
      <c r="D25" s="37"/>
      <c r="E25" s="37"/>
      <c r="F25" s="37"/>
      <c r="G25" s="37"/>
      <c r="H25" s="37"/>
      <c r="I25" s="37"/>
      <c r="J25" s="38"/>
      <c r="K25" s="39"/>
      <c r="L25" s="37"/>
      <c r="M25" s="38"/>
      <c r="N25" s="39"/>
      <c r="O25" s="37"/>
      <c r="P25" s="38"/>
      <c r="Q25" s="46" t="str">
        <f t="shared" si="1"/>
        <v/>
      </c>
      <c r="R25" s="37"/>
      <c r="S25" s="41"/>
      <c r="T25" s="33" t="str">
        <f t="shared" si="2"/>
        <v>O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</row>
    <row r="26" ht="15.0" customHeight="1">
      <c r="A26" s="47">
        <v>20.0</v>
      </c>
      <c r="B26" s="48"/>
      <c r="C26" s="49"/>
      <c r="D26" s="49"/>
      <c r="E26" s="49"/>
      <c r="F26" s="49"/>
      <c r="G26" s="49"/>
      <c r="H26" s="49"/>
      <c r="I26" s="49"/>
      <c r="J26" s="50"/>
      <c r="K26" s="51"/>
      <c r="L26" s="49"/>
      <c r="M26" s="50"/>
      <c r="N26" s="51"/>
      <c r="O26" s="49"/>
      <c r="P26" s="50"/>
      <c r="Q26" s="52" t="str">
        <f t="shared" si="1"/>
        <v/>
      </c>
      <c r="R26" s="49"/>
      <c r="S26" s="53"/>
      <c r="T26" s="33" t="str">
        <f t="shared" si="2"/>
        <v>O</v>
      </c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</row>
    <row r="27" ht="15.0" customHeight="1">
      <c r="A27" s="54" t="str">
        <f>CONCATENATE("PRECIO ",$W$4,$X$4," PROMEDIO DE ALQUILER")</f>
        <v>PRECIO PIES² PROMEDIO DE ALQUILER</v>
      </c>
      <c r="Q27" s="55">
        <f>(SUMIF(T7:T26,"I",Q7:S26))/T6</f>
        <v>17.54675596</v>
      </c>
      <c r="R27" s="56"/>
      <c r="S27" s="57"/>
      <c r="T27" s="58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ht="15.0" customHeight="1">
      <c r="A28" s="59"/>
      <c r="Q28" s="60"/>
      <c r="R28" s="61"/>
      <c r="S28" s="62"/>
      <c r="T28" s="58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</row>
    <row r="29" ht="15.0" customHeight="1">
      <c r="A29" s="63" t="s">
        <v>14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5"/>
      <c r="T29" s="58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</row>
    <row r="30" ht="15.0" customHeight="1">
      <c r="A30" s="66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8"/>
      <c r="T30" s="58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</row>
    <row r="31" ht="15.0" customHeight="1">
      <c r="A31" s="69" t="str">
        <f>CONCATENATE("PRECIO ",$W$4,$X$4," PROMEDIO DE ALQUILER")</f>
        <v>PRECIO PIES² PROMEDIO DE ALQUILER</v>
      </c>
      <c r="B31" s="49"/>
      <c r="C31" s="49"/>
      <c r="D31" s="49"/>
      <c r="E31" s="49"/>
      <c r="F31" s="49"/>
      <c r="G31" s="49"/>
      <c r="H31" s="49"/>
      <c r="I31" s="49"/>
      <c r="J31" s="70"/>
      <c r="K31" s="71" t="s">
        <v>7</v>
      </c>
      <c r="L31" s="49"/>
      <c r="M31" s="70"/>
      <c r="N31" s="72" t="s">
        <v>15</v>
      </c>
      <c r="O31" s="49"/>
      <c r="P31" s="49"/>
      <c r="Q31" s="49"/>
      <c r="R31" s="49"/>
      <c r="S31" s="53"/>
      <c r="T31" s="73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</row>
    <row r="32" ht="15.0" customHeight="1">
      <c r="A32" s="74">
        <f>Q27</f>
        <v>17.54675596</v>
      </c>
      <c r="B32" s="75"/>
      <c r="C32" s="75"/>
      <c r="D32" s="75"/>
      <c r="E32" s="75"/>
      <c r="F32" s="75"/>
      <c r="G32" s="75"/>
      <c r="H32" s="75"/>
      <c r="I32" s="75"/>
      <c r="J32" s="76"/>
      <c r="K32" s="77">
        <v>60.0</v>
      </c>
      <c r="L32" s="75"/>
      <c r="M32" s="76"/>
      <c r="N32" s="78">
        <f>A32*K32</f>
        <v>1052.805358</v>
      </c>
      <c r="O32" s="75"/>
      <c r="P32" s="75"/>
      <c r="Q32" s="75"/>
      <c r="R32" s="75"/>
      <c r="S32" s="79"/>
      <c r="T32" s="58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</row>
    <row r="33" ht="15.0" customHeight="1">
      <c r="A33" s="80" t="s">
        <v>16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81"/>
      <c r="T33" s="73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</row>
    <row r="34" ht="15.0" customHeight="1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4"/>
      <c r="T34" s="73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</row>
    <row r="35" ht="15.0" customHeight="1">
      <c r="A35" s="82" t="s">
        <v>17</v>
      </c>
      <c r="B35" s="83"/>
      <c r="C35" s="83"/>
      <c r="D35" s="83"/>
      <c r="E35" s="83"/>
      <c r="F35" s="83"/>
      <c r="G35" s="84"/>
      <c r="H35" s="85" t="s">
        <v>18</v>
      </c>
      <c r="I35" s="83"/>
      <c r="J35" s="84"/>
      <c r="K35" s="86" t="s">
        <v>19</v>
      </c>
      <c r="L35" s="83"/>
      <c r="M35" s="84"/>
      <c r="N35" s="86" t="s">
        <v>20</v>
      </c>
      <c r="O35" s="83"/>
      <c r="P35" s="83"/>
      <c r="Q35" s="83"/>
      <c r="R35" s="83"/>
      <c r="S35" s="87"/>
      <c r="T35" s="73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</row>
    <row r="36" ht="15.0" customHeight="1">
      <c r="A36" s="88">
        <f>N32</f>
        <v>1052.805358</v>
      </c>
      <c r="B36" s="75"/>
      <c r="C36" s="75"/>
      <c r="D36" s="75"/>
      <c r="E36" s="75"/>
      <c r="F36" s="75"/>
      <c r="G36" s="76"/>
      <c r="H36" s="89">
        <f>A36*100</f>
        <v>105280.5358</v>
      </c>
      <c r="I36" s="75"/>
      <c r="J36" s="76"/>
      <c r="K36" s="89">
        <f>H36/0.6</f>
        <v>175467.5596</v>
      </c>
      <c r="L36" s="75"/>
      <c r="M36" s="76"/>
      <c r="N36" s="90">
        <f>K36</f>
        <v>175467.5596</v>
      </c>
      <c r="O36" s="75"/>
      <c r="P36" s="75"/>
      <c r="Q36" s="75"/>
      <c r="R36" s="75"/>
      <c r="S36" s="91"/>
      <c r="T36" s="73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</row>
    <row r="37" ht="15.0" customHeight="1">
      <c r="A37" s="92" t="s">
        <v>21</v>
      </c>
      <c r="D37" s="93"/>
      <c r="E37" s="94" t="s">
        <v>22</v>
      </c>
      <c r="G37" s="93"/>
      <c r="H37" s="95" t="s">
        <v>23</v>
      </c>
      <c r="J37" s="93"/>
      <c r="K37" s="94" t="s">
        <v>24</v>
      </c>
      <c r="M37" s="93"/>
      <c r="N37" s="95" t="s">
        <v>25</v>
      </c>
      <c r="S37" s="96"/>
      <c r="T37" s="73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</row>
    <row r="38" ht="15.0" customHeight="1">
      <c r="A38" s="88">
        <f>N36</f>
        <v>175467.5596</v>
      </c>
      <c r="B38" s="75"/>
      <c r="C38" s="75"/>
      <c r="D38" s="76"/>
      <c r="E38" s="97">
        <v>5000.0</v>
      </c>
      <c r="F38" s="75"/>
      <c r="G38" s="76"/>
      <c r="H38" s="97">
        <v>0.0</v>
      </c>
      <c r="I38" s="75"/>
      <c r="J38" s="76"/>
      <c r="K38" s="97">
        <v>0.0</v>
      </c>
      <c r="L38" s="75"/>
      <c r="M38" s="76"/>
      <c r="N38" s="98">
        <f>A38-E38-H38-K38</f>
        <v>170467.5596</v>
      </c>
      <c r="O38" s="75"/>
      <c r="P38" s="75"/>
      <c r="Q38" s="75"/>
      <c r="R38" s="75"/>
      <c r="S38" s="91"/>
      <c r="T38" s="73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</row>
    <row r="39" ht="15.0" customHeight="1">
      <c r="A39" s="99" t="s">
        <v>26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73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</row>
    <row r="40" ht="15.0" customHeight="1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4"/>
      <c r="T40" s="73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</row>
    <row r="41" ht="15.0" customHeight="1">
      <c r="A41" s="100" t="s">
        <v>27</v>
      </c>
      <c r="B41" s="101"/>
      <c r="C41" s="101"/>
      <c r="D41" s="101"/>
      <c r="E41" s="101"/>
      <c r="F41" s="101"/>
      <c r="G41" s="101"/>
      <c r="H41" s="102"/>
      <c r="I41" s="103" t="s">
        <v>28</v>
      </c>
      <c r="J41" s="101"/>
      <c r="K41" s="101"/>
      <c r="L41" s="101"/>
      <c r="M41" s="102"/>
      <c r="N41" s="104" t="s">
        <v>29</v>
      </c>
      <c r="O41" s="101"/>
      <c r="P41" s="101"/>
      <c r="Q41" s="101"/>
      <c r="R41" s="101"/>
      <c r="S41" s="105"/>
      <c r="T41" s="73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</row>
    <row r="42" ht="15.0" customHeight="1">
      <c r="A42" s="106">
        <f>N38</f>
        <v>170467.5596</v>
      </c>
      <c r="B42" s="101"/>
      <c r="C42" s="101"/>
      <c r="D42" s="101"/>
      <c r="E42" s="101"/>
      <c r="F42" s="101"/>
      <c r="G42" s="101"/>
      <c r="H42" s="102"/>
      <c r="I42" s="107">
        <v>0.1</v>
      </c>
      <c r="J42" s="101"/>
      <c r="K42" s="101"/>
      <c r="L42" s="101"/>
      <c r="M42" s="102"/>
      <c r="N42" s="108">
        <f>A42*(1-I42)</f>
        <v>153420.8037</v>
      </c>
      <c r="O42" s="101"/>
      <c r="P42" s="101"/>
      <c r="Q42" s="101"/>
      <c r="R42" s="101"/>
      <c r="S42" s="105"/>
      <c r="T42" s="73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</row>
    <row r="43" ht="15.0" customHeight="1">
      <c r="A43" s="109" t="s">
        <v>30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7"/>
      <c r="T43" s="73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</row>
    <row r="44" ht="15.0" customHeight="1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4"/>
      <c r="T44" s="73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</row>
    <row r="45" ht="15.0" customHeight="1">
      <c r="A45" s="110" t="s">
        <v>31</v>
      </c>
      <c r="B45" s="101"/>
      <c r="C45" s="102"/>
      <c r="D45" s="111" t="s">
        <v>32</v>
      </c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3"/>
      <c r="T45" s="73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</row>
    <row r="46" ht="15.0" customHeight="1">
      <c r="A46" s="110" t="s">
        <v>33</v>
      </c>
      <c r="B46" s="101"/>
      <c r="C46" s="102"/>
      <c r="D46" s="11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73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</row>
    <row r="47" ht="15.0" customHeight="1">
      <c r="A47" s="110" t="s">
        <v>34</v>
      </c>
      <c r="B47" s="101"/>
      <c r="C47" s="102"/>
      <c r="D47" s="59"/>
      <c r="S47" s="96"/>
      <c r="T47" s="73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</row>
    <row r="48" ht="15.0" customHeight="1">
      <c r="A48" s="110" t="s">
        <v>35</v>
      </c>
      <c r="B48" s="101"/>
      <c r="C48" s="102"/>
      <c r="D48" s="59"/>
      <c r="S48" s="96"/>
      <c r="T48" s="73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</row>
    <row r="49" ht="15.0" customHeight="1">
      <c r="A49" s="115" t="s">
        <v>30</v>
      </c>
      <c r="B49" s="116"/>
      <c r="C49" s="117"/>
      <c r="D49" s="118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20"/>
      <c r="T49" s="12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</row>
    <row r="50" ht="15.0" customHeight="1">
      <c r="A50" s="122"/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4"/>
      <c r="U50" s="7"/>
      <c r="V50" s="7"/>
      <c r="W50" s="7"/>
      <c r="X50" s="7"/>
      <c r="Y50" s="7"/>
      <c r="Z50" s="7"/>
      <c r="AA50" s="7"/>
      <c r="AB50" s="7"/>
      <c r="AC50" s="7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</row>
    <row r="51" ht="14.25" customHeight="1">
      <c r="A51" s="122"/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4"/>
      <c r="U51" s="7"/>
      <c r="V51" s="7"/>
      <c r="W51" s="7"/>
      <c r="X51" s="7"/>
      <c r="Y51" s="7"/>
      <c r="Z51" s="7"/>
      <c r="AA51" s="7"/>
      <c r="AB51" s="7"/>
      <c r="AC51" s="7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</row>
    <row r="52" ht="14.25" customHeight="1">
      <c r="A52" s="122"/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4"/>
      <c r="U52" s="7"/>
      <c r="V52" s="7"/>
      <c r="W52" s="7"/>
      <c r="X52" s="7"/>
      <c r="Y52" s="7"/>
      <c r="Z52" s="7"/>
      <c r="AA52" s="7"/>
      <c r="AB52" s="7"/>
      <c r="AC52" s="7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</row>
    <row r="53" ht="14.25" customHeight="1">
      <c r="A53" s="125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7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</row>
    <row r="54" ht="14.25" customHeight="1">
      <c r="A54" s="125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7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</row>
    <row r="55" ht="14.25" customHeight="1">
      <c r="A55" s="125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7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</row>
    <row r="56" ht="14.25" customHeight="1">
      <c r="A56" s="125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7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</row>
    <row r="57" ht="14.25" customHeight="1">
      <c r="A57" s="125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7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</row>
    <row r="58" ht="14.25" customHeight="1">
      <c r="A58" s="125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7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</row>
    <row r="59" ht="14.25" customHeight="1">
      <c r="A59" s="125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7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</row>
    <row r="60" ht="14.25" customHeight="1">
      <c r="A60" s="125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7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</row>
    <row r="61" ht="14.25" customHeight="1">
      <c r="A61" s="125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7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</row>
    <row r="62" ht="14.25" customHeight="1">
      <c r="A62" s="125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7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</row>
    <row r="63" ht="14.25" customHeight="1">
      <c r="A63" s="125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7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</row>
    <row r="64" ht="14.25" customHeight="1">
      <c r="A64" s="125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7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</row>
    <row r="65" ht="14.25" customHeight="1">
      <c r="A65" s="125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7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</row>
    <row r="66" ht="14.25" customHeight="1">
      <c r="A66" s="125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7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</row>
    <row r="67" ht="14.25" customHeight="1">
      <c r="A67" s="125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7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</row>
    <row r="68" ht="14.25" customHeight="1">
      <c r="A68" s="125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7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</row>
    <row r="69" ht="14.25" customHeight="1">
      <c r="A69" s="125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7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</row>
    <row r="70" ht="14.25" customHeight="1">
      <c r="A70" s="125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7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</row>
    <row r="71" ht="14.25" customHeight="1">
      <c r="A71" s="125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7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</row>
    <row r="72" ht="14.25" customHeight="1">
      <c r="A72" s="125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7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</row>
    <row r="73" ht="14.25" customHeight="1">
      <c r="A73" s="125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7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</row>
    <row r="74" ht="14.25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7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</row>
    <row r="75" ht="14.25" customHeight="1">
      <c r="A75" s="125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7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</row>
    <row r="76" ht="14.25" customHeight="1">
      <c r="A76" s="125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7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</row>
    <row r="77" ht="14.25" customHeight="1">
      <c r="A77" s="125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7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</row>
    <row r="78" ht="14.25" customHeight="1">
      <c r="A78" s="125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7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</row>
    <row r="79" ht="14.25" customHeight="1">
      <c r="A79" s="125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7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</row>
    <row r="80" ht="14.25" customHeight="1">
      <c r="A80" s="125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7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</row>
    <row r="81" ht="14.25" customHeight="1">
      <c r="A81" s="125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7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</row>
    <row r="82" ht="14.25" customHeight="1">
      <c r="A82" s="125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7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</row>
    <row r="83" ht="14.25" customHeight="1">
      <c r="A83" s="125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7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</row>
    <row r="84" ht="14.25" customHeight="1">
      <c r="A84" s="125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7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</row>
    <row r="85" ht="14.25" customHeight="1">
      <c r="A85" s="125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7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</row>
    <row r="86" ht="14.25" customHeight="1">
      <c r="A86" s="125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7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</row>
    <row r="87" ht="14.25" customHeight="1">
      <c r="A87" s="125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7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</row>
    <row r="88" ht="14.25" customHeight="1">
      <c r="A88" s="128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30"/>
      <c r="U88" s="131"/>
      <c r="V88" s="131"/>
      <c r="W88" s="131"/>
      <c r="X88" s="131"/>
      <c r="Y88" s="131"/>
      <c r="Z88" s="131"/>
      <c r="AA88" s="131"/>
      <c r="AB88" s="131"/>
      <c r="AC88" s="131"/>
      <c r="AD88" s="132"/>
      <c r="AE88" s="132"/>
      <c r="AF88" s="132"/>
      <c r="AG88" s="132"/>
      <c r="AH88" s="132"/>
      <c r="AI88" s="132"/>
      <c r="AJ88" s="132"/>
      <c r="AK88" s="132"/>
      <c r="AL88" s="132"/>
      <c r="AM88" s="132"/>
      <c r="AN88" s="132"/>
      <c r="AO88" s="132"/>
      <c r="AP88" s="132"/>
      <c r="AQ88" s="132"/>
      <c r="AR88" s="132"/>
      <c r="AS88" s="132"/>
      <c r="AT88" s="132"/>
      <c r="AU88" s="132"/>
      <c r="AV88" s="13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</row>
  </sheetData>
  <mergeCells count="135">
    <mergeCell ref="A1:Z2"/>
    <mergeCell ref="A6:J6"/>
    <mergeCell ref="K6:M6"/>
    <mergeCell ref="N6:P6"/>
    <mergeCell ref="Q6:S6"/>
    <mergeCell ref="U6:Z6"/>
    <mergeCell ref="A4:S5"/>
    <mergeCell ref="N8:P8"/>
    <mergeCell ref="Q8:S8"/>
    <mergeCell ref="B7:J7"/>
    <mergeCell ref="K7:M7"/>
    <mergeCell ref="N7:P7"/>
    <mergeCell ref="Q7:S7"/>
    <mergeCell ref="U7:Z7"/>
    <mergeCell ref="K8:M8"/>
    <mergeCell ref="U8:Z8"/>
    <mergeCell ref="N10:P10"/>
    <mergeCell ref="Q10:S10"/>
    <mergeCell ref="U10:Z10"/>
    <mergeCell ref="B8:J8"/>
    <mergeCell ref="B9:J9"/>
    <mergeCell ref="K9:M9"/>
    <mergeCell ref="N9:P9"/>
    <mergeCell ref="Q9:S9"/>
    <mergeCell ref="B10:J10"/>
    <mergeCell ref="K10:M10"/>
    <mergeCell ref="N12:P12"/>
    <mergeCell ref="Q12:S12"/>
    <mergeCell ref="B11:J11"/>
    <mergeCell ref="K11:M11"/>
    <mergeCell ref="N11:P11"/>
    <mergeCell ref="Q11:S11"/>
    <mergeCell ref="U11:Z11"/>
    <mergeCell ref="K12:M12"/>
    <mergeCell ref="U12:Z12"/>
    <mergeCell ref="B19:J19"/>
    <mergeCell ref="K19:M19"/>
    <mergeCell ref="N19:P19"/>
    <mergeCell ref="Q19:S19"/>
    <mergeCell ref="K20:M20"/>
    <mergeCell ref="N20:P20"/>
    <mergeCell ref="Q20:S20"/>
    <mergeCell ref="B20:J20"/>
    <mergeCell ref="B21:J21"/>
    <mergeCell ref="K21:M21"/>
    <mergeCell ref="N21:P21"/>
    <mergeCell ref="Q21:S21"/>
    <mergeCell ref="B22:J22"/>
    <mergeCell ref="K22:M22"/>
    <mergeCell ref="N14:P14"/>
    <mergeCell ref="Q14:S14"/>
    <mergeCell ref="B12:J12"/>
    <mergeCell ref="B13:J13"/>
    <mergeCell ref="K13:M13"/>
    <mergeCell ref="N13:P13"/>
    <mergeCell ref="Q13:S13"/>
    <mergeCell ref="B14:J14"/>
    <mergeCell ref="K14:M14"/>
    <mergeCell ref="B15:J15"/>
    <mergeCell ref="K15:M15"/>
    <mergeCell ref="N15:P15"/>
    <mergeCell ref="Q15:S15"/>
    <mergeCell ref="K16:M16"/>
    <mergeCell ref="N16:P16"/>
    <mergeCell ref="Q16:S16"/>
    <mergeCell ref="N18:P18"/>
    <mergeCell ref="Q18:S18"/>
    <mergeCell ref="B16:J16"/>
    <mergeCell ref="B17:J17"/>
    <mergeCell ref="K17:M17"/>
    <mergeCell ref="N17:P17"/>
    <mergeCell ref="Q17:S17"/>
    <mergeCell ref="B18:J18"/>
    <mergeCell ref="K18:M18"/>
    <mergeCell ref="N22:P22"/>
    <mergeCell ref="Q22:S22"/>
    <mergeCell ref="N26:P26"/>
    <mergeCell ref="Q26:S26"/>
    <mergeCell ref="A37:D37"/>
    <mergeCell ref="E37:G37"/>
    <mergeCell ref="H37:J37"/>
    <mergeCell ref="K37:M37"/>
    <mergeCell ref="N37:S37"/>
    <mergeCell ref="A38:D38"/>
    <mergeCell ref="E38:G38"/>
    <mergeCell ref="N38:S38"/>
    <mergeCell ref="A39:S40"/>
    <mergeCell ref="A41:H41"/>
    <mergeCell ref="I41:M41"/>
    <mergeCell ref="N41:S41"/>
    <mergeCell ref="I42:M42"/>
    <mergeCell ref="N42:S42"/>
    <mergeCell ref="A48:C48"/>
    <mergeCell ref="A49:C49"/>
    <mergeCell ref="A42:H42"/>
    <mergeCell ref="A43:S44"/>
    <mergeCell ref="A45:C45"/>
    <mergeCell ref="D45:S45"/>
    <mergeCell ref="A46:C46"/>
    <mergeCell ref="D46:S49"/>
    <mergeCell ref="A47:C47"/>
    <mergeCell ref="B23:J23"/>
    <mergeCell ref="K23:M23"/>
    <mergeCell ref="N23:P23"/>
    <mergeCell ref="Q23:S23"/>
    <mergeCell ref="K24:M24"/>
    <mergeCell ref="N24:P24"/>
    <mergeCell ref="Q24:S24"/>
    <mergeCell ref="B24:J24"/>
    <mergeCell ref="B25:J25"/>
    <mergeCell ref="K25:M25"/>
    <mergeCell ref="N25:P25"/>
    <mergeCell ref="Q25:S25"/>
    <mergeCell ref="B26:J26"/>
    <mergeCell ref="K26:M26"/>
    <mergeCell ref="K32:M32"/>
    <mergeCell ref="N32:S32"/>
    <mergeCell ref="A27:P28"/>
    <mergeCell ref="Q27:S28"/>
    <mergeCell ref="A29:S30"/>
    <mergeCell ref="A31:J31"/>
    <mergeCell ref="K31:M31"/>
    <mergeCell ref="N31:S31"/>
    <mergeCell ref="A32:J32"/>
    <mergeCell ref="K36:M36"/>
    <mergeCell ref="N36:S36"/>
    <mergeCell ref="A33:S34"/>
    <mergeCell ref="A35:G35"/>
    <mergeCell ref="H35:J35"/>
    <mergeCell ref="K35:M35"/>
    <mergeCell ref="N35:S35"/>
    <mergeCell ref="A36:G36"/>
    <mergeCell ref="H36:J36"/>
    <mergeCell ref="H38:J38"/>
    <mergeCell ref="K38:M38"/>
  </mergeCells>
  <dataValidations>
    <dataValidation type="list" allowBlank="1" showErrorMessage="1" sqref="W4">
      <formula1>$AB$4:$AB$5</formula1>
    </dataValidation>
  </dataValidations>
  <hyperlinks>
    <hyperlink r:id="rId1" ref="U12"/>
  </hyperlinks>
  <printOptions/>
  <pageMargins bottom="0.748031" footer="0.0" header="0.0" left="0.708661" right="0.708661" top="0.748031"/>
  <pageSetup orientation="portrait"/>
  <headerFooter>
    <oddFooter>&amp;C000000&amp;P</oddFooter>
  </headerFooter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2022-07-20T23:37:11Z</dcterms:created>
  <dc:creator>A A</dc:creator>
</cp:coreProperties>
</file>