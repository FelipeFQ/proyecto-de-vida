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9cc990667f7650/Documents/Mine/Extra Businesses/Carlos Devis/"/>
    </mc:Choice>
  </mc:AlternateContent>
  <xr:revisionPtr revIDLastSave="177" documentId="8_{A94D65FD-31F8-490E-918D-9F1D5326CA16}" xr6:coauthVersionLast="47" xr6:coauthVersionMax="47" xr10:uidLastSave="{7AD7FD9A-09EA-4205-B446-D66507AFFD0E}"/>
  <bookViews>
    <workbookView xWindow="-120" yWindow="-120" windowWidth="29040" windowHeight="15720" xr2:uid="{35E40ADA-032C-4D04-B5EB-6F3A29B070AE}"/>
  </bookViews>
  <sheets>
    <sheet name="Calculadora de Prestamo" sheetId="1" r:id="rId1"/>
  </sheets>
  <externalReferences>
    <externalReference r:id="rId2"/>
    <externalReference r:id="rId3"/>
    <externalReference r:id="rId4"/>
  </externalReferences>
  <definedNames>
    <definedName name="Administracion">#REF!</definedName>
    <definedName name="Contabilidad_y_Juridico">#REF!</definedName>
    <definedName name="Costo_de_Asociación_Mensual">#REF!</definedName>
    <definedName name="Costo_de_Utilidades">#REF!</definedName>
    <definedName name="Enganche">#REF!</definedName>
    <definedName name="Expresion_Tasa">[1]Tablas!$A$5:$B$9</definedName>
    <definedName name="Gastos_de_Cierre">#REF!</definedName>
    <definedName name="Impuestos_Anuales">#REF!</definedName>
    <definedName name="Impuestos_Mensuales" localSheetId="0">'[2]Analisis Propiedades'!$B$20</definedName>
    <definedName name="Impuestos_Mensuales">'[3]Analisis Propiedades'!$B$20</definedName>
    <definedName name="Lista_1">[1]Tablas!$A$5:$A$9</definedName>
    <definedName name="Mantenimiendo">#REF!</definedName>
    <definedName name="Oferta" localSheetId="0">'[2]Analisis Propiedades'!$B$4</definedName>
    <definedName name="Oferta">'[3]Analisis Propiedades'!$B$4</definedName>
    <definedName name="Pago_Mensual">#REF!</definedName>
    <definedName name="Plazo_de_Prestamo" localSheetId="0">'[2]Analisis Propiedades'!$H$3</definedName>
    <definedName name="Plazo_de_Prestamo">'[3]Analisis Propiedades'!$H$3</definedName>
    <definedName name="PMI">#REF!</definedName>
    <definedName name="Precio_Propiedad">#REF!</definedName>
    <definedName name="Renta_Mensual">#REF!</definedName>
    <definedName name="Renta_Neta">#REF!</definedName>
    <definedName name="Reparaciones">#REF!</definedName>
    <definedName name="Retorno_Ideal">#REF!</definedName>
    <definedName name="Seguro_Inmueble" localSheetId="0">'[2]Analisis Propiedades'!$B$21</definedName>
    <definedName name="Seguro_Inmueble">'[3]Analisis Propiedades'!$B$21</definedName>
    <definedName name="Tasa_Annual">#REF!</definedName>
    <definedName name="Vacanci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1" l="1"/>
  <c r="P16" i="1"/>
  <c r="P14" i="1" s="1"/>
  <c r="A14" i="1"/>
  <c r="A34" i="1"/>
  <c r="A35" i="1"/>
  <c r="AC6" i="1"/>
  <c r="C34" i="1" s="1"/>
  <c r="P15" i="1" l="1"/>
  <c r="C14" i="1" s="1"/>
  <c r="A189" i="1" a="1"/>
  <c r="A189" i="1" s="1"/>
  <c r="D189" i="1" s="1" a="1"/>
  <c r="D189" i="1" s="1"/>
  <c r="E189" i="1" l="1" a="1"/>
  <c r="E189" i="1" s="1"/>
  <c r="B189" i="1" s="1" a="1"/>
  <c r="B189" i="1" s="1"/>
  <c r="AC4" i="1"/>
  <c r="C189" i="1" a="1"/>
  <c r="C189" i="1" s="1"/>
  <c r="AC7" i="1" s="1"/>
  <c r="C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<sst xmlns="http://schemas.openxmlformats.org/spreadsheetml/2006/main" count="30" uniqueCount="28">
  <si>
    <t>CALCULADORA DE PRESTAMO</t>
  </si>
  <si>
    <t>Pago Anual</t>
  </si>
  <si>
    <t>Cantidad de Prestamo</t>
  </si>
  <si>
    <t>n</t>
  </si>
  <si>
    <t>Rate Month</t>
  </si>
  <si>
    <t>Periods</t>
  </si>
  <si>
    <t>Nominal Rate</t>
  </si>
  <si>
    <t>Periodo</t>
  </si>
  <si>
    <t>Inicio</t>
  </si>
  <si>
    <t>Interes</t>
  </si>
  <si>
    <t>Capital</t>
  </si>
  <si>
    <t>Balance de Cierre</t>
  </si>
  <si>
    <t>Total de Intereses</t>
  </si>
  <si>
    <t>Mensual</t>
  </si>
  <si>
    <t>Trimestral</t>
  </si>
  <si>
    <t>Semanal</t>
  </si>
  <si>
    <t>Diario</t>
  </si>
  <si>
    <t>Anual</t>
  </si>
  <si>
    <t>Tasa de interes Anual</t>
  </si>
  <si>
    <t>Periodicidad</t>
  </si>
  <si>
    <t>Semestral</t>
  </si>
  <si>
    <t>Duracion Anual</t>
  </si>
  <si>
    <t>VARIABLES A CAMBIAR</t>
  </si>
  <si>
    <t>CELDAS CON FORMULAS NO SE CAMBIAN</t>
  </si>
  <si>
    <t>RESULTADOS IMPORTANTES NO SE CAMBIAN</t>
  </si>
  <si>
    <r>
      <rPr>
        <b/>
        <sz val="10"/>
        <color theme="0"/>
        <rFont val="Montserrat"/>
      </rPr>
      <t xml:space="preserve">MÁS INFORMACIÓN: </t>
    </r>
    <r>
      <rPr>
        <sz val="10"/>
        <color theme="0"/>
        <rFont val="Montserrat"/>
      </rPr>
      <t>www.carlosdevis.com</t>
    </r>
  </si>
  <si>
    <t>SI TIENES ALGÚN INCONVENIENTE CONTACTA A:</t>
  </si>
  <si>
    <t>soporte@carlosdevis.com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</si>
</sst>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b/>
      <sz val="14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0"/>
      <color theme="1"/>
      <name val="Montserrat"/>
    </font>
    <font>
      <sz val="10"/>
      <color theme="1"/>
      <name val="Calibri"/>
      <family val="2"/>
      <scheme val="minor"/>
    </font>
    <font>
      <b/>
      <sz val="10"/>
      <color theme="0"/>
      <name val="Montserrat"/>
    </font>
    <font>
      <sz val="10"/>
      <color theme="0"/>
      <name val="Calibri"/>
      <family val="2"/>
      <scheme val="minor"/>
    </font>
    <font>
      <sz val="10"/>
      <color theme="0"/>
      <name val="Montserrat"/>
    </font>
    <font>
      <sz val="10"/>
      <color theme="0"/>
      <name val="Arial"/>
      <family val="2"/>
    </font>
    <font>
      <b/>
      <sz val="12"/>
      <color theme="1"/>
      <name val="Montserrat"/>
    </font>
    <font>
      <sz val="12"/>
      <color theme="1"/>
      <name val="Montserrat"/>
    </font>
    <font>
      <sz val="12"/>
      <color theme="1"/>
      <name val="Calibri"/>
      <family val="2"/>
      <scheme val="minor"/>
    </font>
    <font>
      <b/>
      <sz val="12"/>
      <color theme="0"/>
      <name val="Montserrat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3FFFF"/>
        <bgColor indexed="64"/>
      </patternFill>
    </fill>
    <fill>
      <patternFill patternType="solid">
        <fgColor rgb="FF2A8CCB"/>
        <bgColor indexed="64"/>
      </patternFill>
    </fill>
    <fill>
      <patternFill patternType="solid">
        <fgColor rgb="FF1A9AA7"/>
        <bgColor indexed="64"/>
      </patternFill>
    </fill>
    <fill>
      <patternFill patternType="solid">
        <fgColor rgb="FF02A29A"/>
        <bgColor indexed="64"/>
      </patternFill>
    </fill>
    <fill>
      <patternFill patternType="solid">
        <fgColor rgb="FF0E4470"/>
        <bgColor indexed="64"/>
      </patternFill>
    </fill>
    <fill>
      <patternFill patternType="solid">
        <fgColor rgb="FFABE2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6" fillId="0" borderId="0" applyNumberFormat="0" applyFill="0" applyBorder="0" applyProtection="0"/>
    <xf numFmtId="44" fontId="6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4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0" fontId="2" fillId="0" borderId="1" xfId="3" applyFont="1" applyFill="1" applyBorder="1" applyAlignment="1">
      <alignment horizontal="center" vertical="center"/>
    </xf>
    <xf numFmtId="164" fontId="5" fillId="3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8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3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vertical="center"/>
    </xf>
    <xf numFmtId="44" fontId="2" fillId="2" borderId="3" xfId="1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10" fontId="0" fillId="4" borderId="2" xfId="2" applyNumberFormat="1" applyFont="1" applyFill="1" applyBorder="1" applyAlignment="1">
      <alignment vertical="center"/>
    </xf>
    <xf numFmtId="0" fontId="2" fillId="2" borderId="3" xfId="3" applyFont="1" applyBorder="1" applyAlignment="1">
      <alignment horizontal="center"/>
    </xf>
    <xf numFmtId="44" fontId="2" fillId="2" borderId="3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1" applyFont="1" applyBorder="1"/>
    <xf numFmtId="8" fontId="0" fillId="0" borderId="3" xfId="1" applyNumberFormat="1" applyFont="1" applyBorder="1"/>
    <xf numFmtId="164" fontId="5" fillId="5" borderId="3" xfId="0" applyNumberFormat="1" applyFont="1" applyFill="1" applyBorder="1"/>
    <xf numFmtId="164" fontId="5" fillId="6" borderId="3" xfId="0" applyNumberFormat="1" applyFont="1" applyFill="1" applyBorder="1"/>
    <xf numFmtId="0" fontId="5" fillId="5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8" fillId="0" borderId="0" xfId="0" applyFont="1"/>
    <xf numFmtId="0" fontId="7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12" fillId="11" borderId="0" xfId="4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3" fillId="0" borderId="1" xfId="3" applyFont="1" applyFill="1" applyBorder="1" applyAlignment="1">
      <alignment horizontal="center"/>
    </xf>
    <xf numFmtId="0" fontId="13" fillId="0" borderId="2" xfId="3" applyFont="1" applyFill="1" applyBorder="1" applyAlignment="1">
      <alignment horizontal="center"/>
    </xf>
    <xf numFmtId="44" fontId="14" fillId="12" borderId="3" xfId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/>
    </xf>
    <xf numFmtId="44" fontId="15" fillId="0" borderId="0" xfId="1" applyFont="1"/>
    <xf numFmtId="0" fontId="15" fillId="0" borderId="0" xfId="0" applyFont="1"/>
    <xf numFmtId="0" fontId="13" fillId="0" borderId="3" xfId="3" applyFont="1" applyFill="1" applyBorder="1" applyAlignment="1">
      <alignment horizontal="center" vertical="center"/>
    </xf>
    <xf numFmtId="10" fontId="14" fillId="12" borderId="3" xfId="2" applyNumberFormat="1" applyFont="1" applyFill="1" applyBorder="1" applyAlignment="1" applyProtection="1">
      <alignment horizontal="center" vertical="center"/>
      <protection locked="0"/>
    </xf>
    <xf numFmtId="0" fontId="13" fillId="0" borderId="1" xfId="3" applyFont="1" applyFill="1" applyBorder="1" applyAlignment="1">
      <alignment horizontal="center" vertical="center"/>
    </xf>
    <xf numFmtId="0" fontId="13" fillId="0" borderId="2" xfId="3" applyFont="1" applyFill="1" applyBorder="1" applyAlignment="1">
      <alignment horizontal="center" vertical="center"/>
    </xf>
    <xf numFmtId="0" fontId="14" fillId="12" borderId="3" xfId="0" applyFont="1" applyFill="1" applyBorder="1" applyAlignment="1" applyProtection="1">
      <alignment horizontal="center" vertical="center"/>
      <protection locked="0"/>
    </xf>
    <xf numFmtId="0" fontId="15" fillId="12" borderId="3" xfId="0" applyFont="1" applyFill="1" applyBorder="1" applyAlignment="1" applyProtection="1">
      <alignment horizontal="center" vertical="center"/>
      <protection locked="0"/>
    </xf>
    <xf numFmtId="44" fontId="16" fillId="9" borderId="3" xfId="0" applyNumberFormat="1" applyFont="1" applyFill="1" applyBorder="1" applyAlignment="1">
      <alignment horizontal="center" vertical="center"/>
    </xf>
    <xf numFmtId="0" fontId="17" fillId="11" borderId="0" xfId="4" applyFont="1" applyFill="1" applyAlignment="1">
      <alignment horizontal="center"/>
    </xf>
    <xf numFmtId="0" fontId="18" fillId="11" borderId="0" xfId="0" applyFont="1" applyFill="1" applyAlignment="1">
      <alignment horizontal="center"/>
    </xf>
  </cellXfs>
  <cellStyles count="7">
    <cellStyle name="20% - Accent1" xfId="3" builtinId="30"/>
    <cellStyle name="Currency" xfId="1" builtinId="4"/>
    <cellStyle name="Currency 2" xfId="6" xr:uid="{1CF054AE-B1F9-4995-90A8-DD84E5992482}"/>
    <cellStyle name="Hyperlink" xfId="4" builtinId="8"/>
    <cellStyle name="Normal" xfId="0" builtinId="0"/>
    <cellStyle name="Normal 2" xfId="5" xr:uid="{BCB37624-61B6-4F97-A069-DCBAE66BB5B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41-44B7-941A-1FF80797BDF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41-44B7-941A-1FF80797BDF1}"/>
              </c:ext>
            </c:extLst>
          </c:dPt>
          <c:dLbls>
            <c:dLbl>
              <c:idx val="0"/>
              <c:layout>
                <c:manualLayout>
                  <c:x val="0.20338991043599586"/>
                  <c:y val="0.32295231552431786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68451195040581"/>
                      <c:h val="0.205268846170073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A41-44B7-941A-1FF80797BDF1}"/>
                </c:ext>
              </c:extLst>
            </c:dLbl>
            <c:dLbl>
              <c:idx val="1"/>
              <c:layout>
                <c:manualLayout>
                  <c:x val="-0.15431592856406881"/>
                  <c:y val="-0.41523544683046215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786326188393119"/>
                      <c:h val="0.165517095597949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A41-44B7-941A-1FF80797BDF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'Calculadora de Prestamo'!$AB$6:$AB$7</c:f>
              <c:strCache>
                <c:ptCount val="2"/>
                <c:pt idx="0">
                  <c:v>Cantidad de Prestamo</c:v>
                </c:pt>
                <c:pt idx="1">
                  <c:v>Total de Intereses</c:v>
                </c:pt>
              </c:strCache>
            </c:strRef>
          </c:cat>
          <c:val>
            <c:numRef>
              <c:f>'Calculadora de Prestamo'!$AC$6:$AC$7</c:f>
              <c:numCache>
                <c:formatCode>_("$"* #,##0_);_("$"* \(#,##0\);_("$"* "-"??_);_(@_)</c:formatCode>
                <c:ptCount val="2"/>
                <c:pt idx="0">
                  <c:v>1000</c:v>
                </c:pt>
                <c:pt idx="1">
                  <c:v>83.77115343801178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41-44B7-941A-1FF80797BDF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104774</xdr:rowOff>
    </xdr:from>
    <xdr:to>
      <xdr:col>3</xdr:col>
      <xdr:colOff>19050</xdr:colOff>
      <xdr:row>30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6CC8B-27C9-49CF-A15B-A18F091F9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7326</xdr:colOff>
      <xdr:row>2</xdr:row>
      <xdr:rowOff>97640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EBEA56-7295-4416-99DA-8657AD04F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80288" cy="478640"/>
        </a:xfrm>
        <a:prstGeom prst="rect">
          <a:avLst/>
        </a:prstGeom>
      </xdr:spPr>
    </xdr:pic>
    <xdr:clientData/>
  </xdr:twoCellAnchor>
  <xdr:twoCellAnchor editAs="oneCell">
    <xdr:from>
      <xdr:col>0</xdr:col>
      <xdr:colOff>14654</xdr:colOff>
      <xdr:row>0</xdr:row>
      <xdr:rowOff>65942</xdr:rowOff>
    </xdr:from>
    <xdr:to>
      <xdr:col>1</xdr:col>
      <xdr:colOff>548982</xdr:colOff>
      <xdr:row>2</xdr:row>
      <xdr:rowOff>20164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5C5A189B-4FA0-4E85-9793-BF55AFE4F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4" y="65942"/>
          <a:ext cx="1420886" cy="3352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vier%20Castro%202\Downloads\A-%20%20APLICATIVOS%20DE%20LIQUIDACION%20ALEJANDRO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9b9cc990667f7650/Documents/Mine/Extra%20Businesses/Real%20Estate/Analisis%20de%20Propiedad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9b9cc990667f7650/Documents/Mine/Extra%20Businesses/Real%20Estate/CashFlow%20Invest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Valor Futuro"/>
      <sheetName val="Conversor Tasas"/>
      <sheetName val="Hoja3"/>
      <sheetName val="Tablas"/>
      <sheetName val="Interes Credito Comercial"/>
      <sheetName val="Interes Mora Tributario"/>
      <sheetName val="Dverificacion"/>
      <sheetName val="Modelo de Credito"/>
      <sheetName val="A-  APLICATIVOS DE LIQUIDACION 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ortizacion"/>
      <sheetName val="Analisis Propiedades"/>
      <sheetName val="Compra Propiedades"/>
      <sheetName val="Rentas"/>
      <sheetName val="Rentalizer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operties Cashflow"/>
      <sheetName val="Amortization Schedule"/>
      <sheetName val="SIMULADOR"/>
      <sheetName val="Amortizacion"/>
      <sheetName val="Calculadora de Prestamo"/>
      <sheetName val="RENTAL"/>
      <sheetName val="Properties Cashflow 1 (2)"/>
      <sheetName val="ROI"/>
      <sheetName val="Properties Cashflows"/>
      <sheetName val="Analisis Propiedades"/>
      <sheetName val="ROI MIAMI"/>
      <sheetName val="ROI STELLAR"/>
      <sheetName val="Rentalizer"/>
      <sheetName val="HELOC VAR"/>
      <sheetName val="HELOC FIJO"/>
      <sheetName val="HELOC RATES"/>
      <sheetName val="HOAs Accept AIRBNB"/>
      <sheetName val="Properties Cashflow Me"/>
      <sheetName val="Properties Cashflow (2)"/>
      <sheetName val="Properties Cashflow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H3">
            <v>30</v>
          </cell>
        </row>
        <row r="4">
          <cell r="B4">
            <v>120000</v>
          </cell>
        </row>
        <row r="20">
          <cell r="B20">
            <v>83.333333333333329</v>
          </cell>
        </row>
        <row r="21">
          <cell r="B21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porte@carlosdev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2484-D0AE-416E-9273-F431554F8941}">
  <sheetPr>
    <tabColor theme="7" tint="0.59999389629810485"/>
  </sheetPr>
  <dimension ref="A4:AC11138"/>
  <sheetViews>
    <sheetView showGridLines="0" tabSelected="1" zoomScale="130" zoomScaleNormal="130" workbookViewId="0">
      <pane ySplit="188" topLeftCell="A189" activePane="bottomLeft" state="frozen"/>
      <selection activeCell="B1" sqref="B1"/>
      <selection pane="bottomLeft" activeCell="C14" sqref="C14"/>
    </sheetView>
  </sheetViews>
  <sheetFormatPr defaultColWidth="8.85546875" defaultRowHeight="15" x14ac:dyDescent="0.25"/>
  <cols>
    <col min="1" max="1" width="13.28515625" style="7" customWidth="1"/>
    <col min="2" max="2" width="16" style="8" customWidth="1"/>
    <col min="3" max="3" width="22.7109375" bestFit="1" customWidth="1"/>
    <col min="4" max="4" width="15.5703125" customWidth="1"/>
    <col min="5" max="5" width="25.42578125" customWidth="1"/>
    <col min="6" max="6" width="19.7109375" bestFit="1" customWidth="1"/>
    <col min="7" max="7" width="14.140625" bestFit="1" customWidth="1"/>
    <col min="8" max="8" width="26.85546875" bestFit="1" customWidth="1"/>
    <col min="9" max="10" width="14.5703125" customWidth="1"/>
    <col min="11" max="11" width="12.28515625" bestFit="1" customWidth="1"/>
    <col min="12" max="13" width="8.85546875" customWidth="1"/>
    <col min="14" max="14" width="8.7109375" customWidth="1"/>
    <col min="15" max="15" width="14.5703125" hidden="1" customWidth="1"/>
    <col min="16" max="16" width="7.140625" hidden="1" customWidth="1"/>
    <col min="17" max="17" width="8.85546875" hidden="1" customWidth="1"/>
    <col min="18" max="18" width="0" hidden="1" customWidth="1"/>
    <col min="28" max="28" width="10.85546875" bestFit="1" customWidth="1"/>
    <col min="29" max="29" width="19" bestFit="1" customWidth="1"/>
    <col min="65" max="65" width="10.85546875" bestFit="1" customWidth="1"/>
    <col min="66" max="66" width="17.5703125" bestFit="1" customWidth="1"/>
  </cols>
  <sheetData>
    <row r="4" spans="1:29" ht="18.75" x14ac:dyDescent="0.3">
      <c r="A4" s="51" t="s">
        <v>0</v>
      </c>
      <c r="B4" s="52"/>
      <c r="C4" s="52"/>
      <c r="E4" s="29" t="s">
        <v>22</v>
      </c>
      <c r="F4" s="29"/>
      <c r="G4" s="29"/>
      <c r="H4" s="1"/>
      <c r="I4" s="2"/>
      <c r="J4" s="3"/>
      <c r="O4" s="4" t="s">
        <v>16</v>
      </c>
      <c r="P4" s="4">
        <v>365</v>
      </c>
      <c r="AB4" s="5" t="s">
        <v>1</v>
      </c>
      <c r="AC4" s="6">
        <f>IFERROR(C14*P16,"")</f>
        <v>541.88557671900594</v>
      </c>
    </row>
    <row r="5" spans="1:29" x14ac:dyDescent="0.25">
      <c r="E5" s="30"/>
      <c r="F5" s="30"/>
      <c r="G5" s="30"/>
      <c r="K5" s="9"/>
      <c r="O5" s="4" t="s">
        <v>15</v>
      </c>
      <c r="P5" s="4">
        <v>52</v>
      </c>
    </row>
    <row r="6" spans="1:29" ht="18.75" x14ac:dyDescent="0.35">
      <c r="A6" s="38" t="s">
        <v>2</v>
      </c>
      <c r="B6" s="39"/>
      <c r="C6" s="40">
        <v>1000</v>
      </c>
      <c r="E6" s="31" t="s">
        <v>23</v>
      </c>
      <c r="F6" s="31"/>
      <c r="G6" s="31"/>
      <c r="K6" s="9"/>
      <c r="O6" s="4" t="s">
        <v>13</v>
      </c>
      <c r="P6" s="4">
        <v>12</v>
      </c>
      <c r="AB6" s="10" t="s">
        <v>2</v>
      </c>
      <c r="AC6" s="11">
        <f>C6</f>
        <v>1000</v>
      </c>
    </row>
    <row r="7" spans="1:29" ht="9" customHeight="1" x14ac:dyDescent="0.25">
      <c r="A7" s="41"/>
      <c r="B7" s="42"/>
      <c r="C7" s="43"/>
      <c r="E7" s="30"/>
      <c r="F7" s="30"/>
      <c r="G7" s="30"/>
      <c r="K7" s="9"/>
      <c r="O7" s="4" t="s">
        <v>14</v>
      </c>
      <c r="P7" s="4">
        <v>4</v>
      </c>
      <c r="AB7" s="12" t="s">
        <v>12</v>
      </c>
      <c r="AC7" s="6">
        <f>IFERROR(SUM(C189:C1048576),"")</f>
        <v>83.77115343801178</v>
      </c>
    </row>
    <row r="8" spans="1:29" ht="18.75" x14ac:dyDescent="0.3">
      <c r="A8" s="44" t="s">
        <v>18</v>
      </c>
      <c r="B8" s="44"/>
      <c r="C8" s="45">
        <v>0.08</v>
      </c>
      <c r="E8" s="32" t="s">
        <v>24</v>
      </c>
      <c r="F8" s="32"/>
      <c r="G8" s="32"/>
      <c r="K8" s="9"/>
      <c r="O8" s="4" t="s">
        <v>20</v>
      </c>
      <c r="P8" s="4">
        <v>2</v>
      </c>
    </row>
    <row r="9" spans="1:29" ht="5.25" customHeight="1" x14ac:dyDescent="0.25">
      <c r="A9" s="41"/>
      <c r="B9" s="42"/>
      <c r="C9" s="43"/>
      <c r="E9" s="30"/>
      <c r="F9" s="30"/>
      <c r="G9" s="30"/>
      <c r="K9" s="9"/>
      <c r="O9" s="4" t="s">
        <v>17</v>
      </c>
      <c r="P9" s="4">
        <v>1</v>
      </c>
    </row>
    <row r="10" spans="1:29" ht="18.75" x14ac:dyDescent="0.3">
      <c r="A10" s="46" t="s">
        <v>21</v>
      </c>
      <c r="B10" s="47"/>
      <c r="C10" s="48">
        <v>2</v>
      </c>
      <c r="E10" s="33" t="s">
        <v>25</v>
      </c>
      <c r="F10" s="33"/>
      <c r="G10" s="33"/>
      <c r="K10" s="9"/>
    </row>
    <row r="11" spans="1:29" ht="4.5" customHeight="1" x14ac:dyDescent="0.3">
      <c r="A11" s="41"/>
      <c r="B11" s="42"/>
      <c r="C11" s="43"/>
      <c r="E11" s="34" t="s">
        <v>26</v>
      </c>
      <c r="F11" s="35"/>
      <c r="G11" s="35"/>
      <c r="K11" s="9"/>
    </row>
    <row r="12" spans="1:29" ht="18.75" x14ac:dyDescent="0.25">
      <c r="A12" s="44" t="s">
        <v>19</v>
      </c>
      <c r="B12" s="44"/>
      <c r="C12" s="49" t="s">
        <v>13</v>
      </c>
      <c r="E12" s="36" t="s">
        <v>27</v>
      </c>
      <c r="F12" s="37"/>
      <c r="G12" s="37"/>
      <c r="K12" s="9"/>
    </row>
    <row r="13" spans="1:29" ht="10.5" customHeight="1" x14ac:dyDescent="0.25">
      <c r="A13" s="41"/>
      <c r="B13" s="42"/>
      <c r="C13" s="43"/>
      <c r="K13" s="9"/>
    </row>
    <row r="14" spans="1:29" ht="30" customHeight="1" x14ac:dyDescent="0.25">
      <c r="A14" s="46" t="str">
        <f>_xlfn.CONCAT("Pago ", C12)</f>
        <v>Pago Mensual</v>
      </c>
      <c r="B14" s="47"/>
      <c r="C14" s="50">
        <f>IFERROR(PMT(P15,P14,-AC6,0),"")</f>
        <v>45.157131393250495</v>
      </c>
      <c r="K14" s="9"/>
      <c r="O14" s="17" t="s">
        <v>3</v>
      </c>
      <c r="P14" s="18">
        <f>C10*P16</f>
        <v>24</v>
      </c>
    </row>
    <row r="15" spans="1:29" x14ac:dyDescent="0.25">
      <c r="A15"/>
      <c r="B15"/>
      <c r="H15" s="9"/>
      <c r="O15" s="17" t="s">
        <v>4</v>
      </c>
      <c r="P15" s="19">
        <f>P19/P16</f>
        <v>6.5384140902210825E-3</v>
      </c>
    </row>
    <row r="16" spans="1:29" x14ac:dyDescent="0.25">
      <c r="A16"/>
      <c r="B16"/>
      <c r="O16" s="17" t="s">
        <v>5</v>
      </c>
      <c r="P16" s="18">
        <f>VLOOKUP(C12,$O$4:$P$9,2,FALSE)</f>
        <v>12</v>
      </c>
    </row>
    <row r="17" spans="1:16" x14ac:dyDescent="0.25">
      <c r="A17"/>
      <c r="B17"/>
      <c r="H17" s="13"/>
      <c r="K17" s="9"/>
    </row>
    <row r="18" spans="1:16" ht="4.5" customHeight="1" x14ac:dyDescent="0.25">
      <c r="A18"/>
      <c r="B18"/>
      <c r="E18" s="14"/>
    </row>
    <row r="19" spans="1:16" x14ac:dyDescent="0.25">
      <c r="A19"/>
      <c r="B19"/>
      <c r="H19" s="13"/>
      <c r="P19" s="19">
        <f>NOMINAL(C8,C10)</f>
        <v>7.8460969082652987E-2</v>
      </c>
    </row>
    <row r="20" spans="1:16" ht="5.25" customHeight="1" x14ac:dyDescent="0.25">
      <c r="A20"/>
      <c r="B20"/>
    </row>
    <row r="21" spans="1:16" x14ac:dyDescent="0.25">
      <c r="A21"/>
      <c r="B21"/>
    </row>
    <row r="22" spans="1:16" x14ac:dyDescent="0.25">
      <c r="A22"/>
      <c r="B22"/>
    </row>
    <row r="23" spans="1:16" x14ac:dyDescent="0.25">
      <c r="A23"/>
      <c r="B23"/>
    </row>
    <row r="24" spans="1:16" x14ac:dyDescent="0.25">
      <c r="A24"/>
      <c r="B24"/>
    </row>
    <row r="25" spans="1:16" x14ac:dyDescent="0.25">
      <c r="A25"/>
      <c r="B25"/>
    </row>
    <row r="26" spans="1:16" x14ac:dyDescent="0.25">
      <c r="A26"/>
      <c r="B26"/>
    </row>
    <row r="27" spans="1:16" x14ac:dyDescent="0.25">
      <c r="A27"/>
      <c r="B27"/>
    </row>
    <row r="28" spans="1:16" x14ac:dyDescent="0.25">
      <c r="A28"/>
      <c r="B28"/>
    </row>
    <row r="29" spans="1:16" x14ac:dyDescent="0.25">
      <c r="A29"/>
      <c r="B29"/>
    </row>
    <row r="30" spans="1:16" x14ac:dyDescent="0.25">
      <c r="A30"/>
      <c r="B30"/>
    </row>
    <row r="31" spans="1:16" x14ac:dyDescent="0.25">
      <c r="A31"/>
      <c r="B31"/>
    </row>
    <row r="34" spans="1:3" ht="18.75" x14ac:dyDescent="0.3">
      <c r="A34" s="28" t="str">
        <f>AB6</f>
        <v>Cantidad de Prestamo</v>
      </c>
      <c r="B34" s="28"/>
      <c r="C34" s="26">
        <f>AC6</f>
        <v>1000</v>
      </c>
    </row>
    <row r="35" spans="1:3" ht="18.75" x14ac:dyDescent="0.3">
      <c r="A35" s="27" t="str">
        <f>AB7</f>
        <v>Total de Intereses</v>
      </c>
      <c r="B35" s="27"/>
      <c r="C35" s="25">
        <f>AC7</f>
        <v>83.77115343801178</v>
      </c>
    </row>
    <row r="37" spans="1:3" x14ac:dyDescent="0.25">
      <c r="A37"/>
      <c r="B37"/>
    </row>
    <row r="38" spans="1:3" x14ac:dyDescent="0.25">
      <c r="A38"/>
      <c r="B38"/>
    </row>
    <row r="39" spans="1:3" x14ac:dyDescent="0.25">
      <c r="A39"/>
      <c r="B39"/>
    </row>
    <row r="40" spans="1:3" x14ac:dyDescent="0.25">
      <c r="A40"/>
      <c r="B40"/>
    </row>
    <row r="41" spans="1:3" x14ac:dyDescent="0.25">
      <c r="A41"/>
      <c r="B41"/>
    </row>
    <row r="42" spans="1:3" x14ac:dyDescent="0.25">
      <c r="A42"/>
      <c r="B42"/>
    </row>
    <row r="43" spans="1:3" x14ac:dyDescent="0.25">
      <c r="A43"/>
      <c r="B43"/>
    </row>
    <row r="44" spans="1:3" x14ac:dyDescent="0.25">
      <c r="A44"/>
      <c r="B44"/>
    </row>
    <row r="45" spans="1:3" x14ac:dyDescent="0.25">
      <c r="A45"/>
      <c r="B45"/>
    </row>
    <row r="46" spans="1:3" x14ac:dyDescent="0.25">
      <c r="A46"/>
      <c r="B46"/>
    </row>
    <row r="47" spans="1:3" x14ac:dyDescent="0.25">
      <c r="A47"/>
      <c r="B47"/>
    </row>
    <row r="48" spans="1:3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15" x14ac:dyDescent="0.25">
      <c r="A177"/>
      <c r="B177"/>
    </row>
    <row r="178" spans="1:15" x14ac:dyDescent="0.25">
      <c r="A178"/>
      <c r="B178"/>
    </row>
    <row r="179" spans="1:15" x14ac:dyDescent="0.25">
      <c r="A179"/>
      <c r="B179"/>
    </row>
    <row r="180" spans="1:15" x14ac:dyDescent="0.25">
      <c r="A180"/>
      <c r="B180"/>
    </row>
    <row r="181" spans="1:15" x14ac:dyDescent="0.25">
      <c r="A181"/>
      <c r="B181"/>
    </row>
    <row r="182" spans="1:15" x14ac:dyDescent="0.25">
      <c r="A182"/>
      <c r="B182"/>
    </row>
    <row r="183" spans="1:15" x14ac:dyDescent="0.25">
      <c r="A183"/>
      <c r="B183"/>
    </row>
    <row r="184" spans="1:15" ht="6.75" customHeight="1" x14ac:dyDescent="0.25">
      <c r="A184"/>
      <c r="B184"/>
      <c r="C184" s="7"/>
      <c r="E184" s="15"/>
      <c r="F184" s="16"/>
    </row>
    <row r="186" spans="1:15" x14ac:dyDescent="0.25">
      <c r="B186"/>
    </row>
    <row r="187" spans="1:15" hidden="1" x14ac:dyDescent="0.25">
      <c r="O187" s="17" t="s">
        <v>6</v>
      </c>
    </row>
    <row r="188" spans="1:15" hidden="1" x14ac:dyDescent="0.25">
      <c r="A188" s="20" t="s">
        <v>7</v>
      </c>
      <c r="B188" s="21" t="s">
        <v>8</v>
      </c>
      <c r="C188" s="21" t="s">
        <v>9</v>
      </c>
      <c r="D188" s="21" t="s">
        <v>10</v>
      </c>
      <c r="E188" s="21" t="s">
        <v>11</v>
      </c>
    </row>
    <row r="189" spans="1:15" hidden="1" x14ac:dyDescent="0.25">
      <c r="A189" s="22" cm="1">
        <f t="array" ref="A189:A212">IFERROR(_xlfn.SEQUENCE(P14),"")</f>
        <v>1</v>
      </c>
      <c r="B189" s="23" cm="1">
        <f t="array" ref="B189:B212">IFERROR(_xlfn.ANCHORARRAY(D189)+_xlfn.ANCHORARRAY(E189),"")</f>
        <v>1000</v>
      </c>
      <c r="C189" s="24" cm="1">
        <f t="array" ref="C189:C212">IFERROR(-IPMT($P$15,_xlfn.ANCHORARRAY(A189),$P$14,$AC$6),"")</f>
        <v>6.5384140902210834</v>
      </c>
      <c r="D189" s="23" cm="1">
        <f t="array" ref="D189:D212">IFERROR(-PPMT($P$15,_xlfn.ANCHORARRAY(A189),$P$14,$AC$6),"")</f>
        <v>38.618717303029406</v>
      </c>
      <c r="E189" s="23" cm="1">
        <f t="array" ref="E189:E212">IFERROR($AC$6+CUMPRINC($P$15,$P$14,$AC$6,1,_xlfn.SEQUENCE(P14),0),"")</f>
        <v>961.38128269697063</v>
      </c>
    </row>
    <row r="190" spans="1:15" hidden="1" x14ac:dyDescent="0.25">
      <c r="A190" s="22">
        <v>2</v>
      </c>
      <c r="B190" s="23">
        <v>961.38128269697052</v>
      </c>
      <c r="C190" s="23">
        <v>6.2859089248606903</v>
      </c>
      <c r="D190" s="23">
        <v>38.871222468389803</v>
      </c>
      <c r="E190" s="23">
        <v>922.51006022858076</v>
      </c>
      <c r="G190" s="9"/>
    </row>
    <row r="191" spans="1:15" hidden="1" x14ac:dyDescent="0.25">
      <c r="A191" s="22">
        <v>3</v>
      </c>
      <c r="B191" s="23">
        <v>922.51006022858076</v>
      </c>
      <c r="C191" s="23">
        <v>6.0317527761692533</v>
      </c>
      <c r="D191" s="23">
        <v>39.125378617081246</v>
      </c>
      <c r="E191" s="23">
        <v>883.38468161149956</v>
      </c>
      <c r="G191" s="9"/>
    </row>
    <row r="192" spans="1:15" hidden="1" x14ac:dyDescent="0.25">
      <c r="A192" s="22">
        <v>4</v>
      </c>
      <c r="B192" s="23">
        <v>883.38468161149956</v>
      </c>
      <c r="C192" s="23">
        <v>5.7759348493340941</v>
      </c>
      <c r="D192" s="23">
        <v>39.381196543916403</v>
      </c>
      <c r="E192" s="23">
        <v>844.00348506758314</v>
      </c>
    </row>
    <row r="193" spans="1:5" hidden="1" x14ac:dyDescent="0.25">
      <c r="A193" s="22">
        <v>5</v>
      </c>
      <c r="B193" s="23">
        <v>844.00348506758314</v>
      </c>
      <c r="C193" s="23">
        <v>5.5184442789615851</v>
      </c>
      <c r="D193" s="23">
        <v>39.638687114288899</v>
      </c>
      <c r="E193" s="23">
        <v>804.36479795329421</v>
      </c>
    </row>
    <row r="194" spans="1:5" hidden="1" x14ac:dyDescent="0.25">
      <c r="A194" s="22">
        <v>6</v>
      </c>
      <c r="B194" s="23">
        <v>804.3647979532941</v>
      </c>
      <c r="C194" s="23">
        <v>5.259270128615654</v>
      </c>
      <c r="D194" s="23">
        <v>39.897861264634841</v>
      </c>
      <c r="E194" s="23">
        <v>764.4669366886593</v>
      </c>
    </row>
    <row r="195" spans="1:5" hidden="1" x14ac:dyDescent="0.25">
      <c r="A195" s="22">
        <v>7</v>
      </c>
      <c r="B195" s="23">
        <v>764.4669366886593</v>
      </c>
      <c r="C195" s="23">
        <v>4.9984013903532789</v>
      </c>
      <c r="D195" s="23">
        <v>40.158730002897208</v>
      </c>
      <c r="E195" s="23">
        <v>724.30820668576212</v>
      </c>
    </row>
    <row r="196" spans="1:5" hidden="1" x14ac:dyDescent="0.25">
      <c r="A196" s="22">
        <v>8</v>
      </c>
      <c r="B196" s="23">
        <v>724.30820668576223</v>
      </c>
      <c r="C196" s="23">
        <v>4.7358269842569527</v>
      </c>
      <c r="D196" s="23">
        <v>40.421304408993542</v>
      </c>
      <c r="E196" s="23">
        <v>683.88690227676864</v>
      </c>
    </row>
    <row r="197" spans="1:5" hidden="1" x14ac:dyDescent="0.25">
      <c r="A197" s="22">
        <v>9</v>
      </c>
      <c r="B197" s="23">
        <v>683.88690227676852</v>
      </c>
      <c r="C197" s="23">
        <v>4.4715357579640731</v>
      </c>
      <c r="D197" s="23">
        <v>40.685595635286418</v>
      </c>
      <c r="E197" s="23">
        <v>643.20130664148212</v>
      </c>
    </row>
    <row r="198" spans="1:5" hidden="1" x14ac:dyDescent="0.25">
      <c r="A198" s="22">
        <v>10</v>
      </c>
      <c r="B198" s="23">
        <v>643.20130664148212</v>
      </c>
      <c r="C198" s="23">
        <v>4.2055164861932797</v>
      </c>
      <c r="D198" s="23">
        <v>40.951614907057213</v>
      </c>
      <c r="E198" s="23">
        <v>602.24969173442491</v>
      </c>
    </row>
    <row r="199" spans="1:5" hidden="1" x14ac:dyDescent="0.25">
      <c r="A199" s="22">
        <v>11</v>
      </c>
      <c r="B199" s="23">
        <v>602.24969173442503</v>
      </c>
      <c r="C199" s="23">
        <v>3.9377578702676681</v>
      </c>
      <c r="D199" s="23">
        <v>41.219373522982821</v>
      </c>
      <c r="E199" s="23">
        <v>561.03031821144225</v>
      </c>
    </row>
    <row r="200" spans="1:5" hidden="1" x14ac:dyDescent="0.25">
      <c r="A200" s="22">
        <v>12</v>
      </c>
      <c r="B200" s="23">
        <v>561.03031821144214</v>
      </c>
      <c r="C200" s="23">
        <v>3.6682485376349123</v>
      </c>
      <c r="D200" s="23">
        <v>41.488882855615579</v>
      </c>
      <c r="E200" s="23">
        <v>519.54143535582659</v>
      </c>
    </row>
    <row r="201" spans="1:5" hidden="1" x14ac:dyDescent="0.25">
      <c r="A201" s="22">
        <v>13</v>
      </c>
      <c r="B201" s="23">
        <v>519.54143535582648</v>
      </c>
      <c r="C201" s="23">
        <v>3.3969770413842229</v>
      </c>
      <c r="D201" s="23">
        <v>41.760154351866262</v>
      </c>
      <c r="E201" s="23">
        <v>477.7812810039602</v>
      </c>
    </row>
    <row r="202" spans="1:5" hidden="1" x14ac:dyDescent="0.25">
      <c r="A202" s="22">
        <v>14</v>
      </c>
      <c r="B202" s="23">
        <v>477.7812810039602</v>
      </c>
      <c r="C202" s="23">
        <v>3.1239318597601731</v>
      </c>
      <c r="D202" s="23">
        <v>42.033199533490318</v>
      </c>
      <c r="E202" s="23">
        <v>435.74808147046986</v>
      </c>
    </row>
    <row r="203" spans="1:5" hidden="1" x14ac:dyDescent="0.25">
      <c r="A203" s="22">
        <v>15</v>
      </c>
      <c r="B203" s="23">
        <v>435.74808147047003</v>
      </c>
      <c r="C203" s="23">
        <v>2.8491013956733262</v>
      </c>
      <c r="D203" s="23">
        <v>42.308029997577172</v>
      </c>
      <c r="E203" s="23">
        <v>393.44005147289283</v>
      </c>
    </row>
    <row r="204" spans="1:5" hidden="1" x14ac:dyDescent="0.25">
      <c r="A204" s="22">
        <v>16</v>
      </c>
      <c r="B204" s="23">
        <v>393.44005147289266</v>
      </c>
      <c r="C204" s="23">
        <v>2.5724739762076716</v>
      </c>
      <c r="D204" s="23">
        <v>42.584657417042827</v>
      </c>
      <c r="E204" s="23">
        <v>350.85539405584984</v>
      </c>
    </row>
    <row r="205" spans="1:5" hidden="1" x14ac:dyDescent="0.25">
      <c r="A205" s="22">
        <v>17</v>
      </c>
      <c r="B205" s="23">
        <v>350.85539405584984</v>
      </c>
      <c r="C205" s="23">
        <v>2.2940378521248408</v>
      </c>
      <c r="D205" s="23">
        <v>42.86309354112565</v>
      </c>
      <c r="E205" s="23">
        <v>307.99230051472421</v>
      </c>
    </row>
    <row r="206" spans="1:5" hidden="1" x14ac:dyDescent="0.25">
      <c r="A206" s="22">
        <v>18</v>
      </c>
      <c r="B206" s="23">
        <v>307.99230051472432</v>
      </c>
      <c r="C206" s="23">
        <v>2.0137811973650801</v>
      </c>
      <c r="D206" s="23">
        <v>43.143350195885411</v>
      </c>
      <c r="E206" s="23">
        <v>264.84895031883889</v>
      </c>
    </row>
    <row r="207" spans="1:5" hidden="1" x14ac:dyDescent="0.25">
      <c r="A207" s="22">
        <v>19</v>
      </c>
      <c r="B207" s="23">
        <v>264.84895031883906</v>
      </c>
      <c r="C207" s="23">
        <v>1.7316921085449608</v>
      </c>
      <c r="D207" s="23">
        <v>43.425439284705526</v>
      </c>
      <c r="E207" s="23">
        <v>221.42351103413353</v>
      </c>
    </row>
    <row r="208" spans="1:5" hidden="1" x14ac:dyDescent="0.25">
      <c r="A208" s="22">
        <v>20</v>
      </c>
      <c r="B208" s="23">
        <v>221.42351103413336</v>
      </c>
      <c r="C208" s="23">
        <v>1.4477586044518018</v>
      </c>
      <c r="D208" s="23">
        <v>43.709372788798689</v>
      </c>
      <c r="E208" s="23">
        <v>177.71413824533465</v>
      </c>
    </row>
    <row r="209" spans="1:5" hidden="1" x14ac:dyDescent="0.25">
      <c r="A209" s="22">
        <v>21</v>
      </c>
      <c r="B209" s="23">
        <v>177.71413824533457</v>
      </c>
      <c r="C209" s="23">
        <v>1.1619686255347945</v>
      </c>
      <c r="D209" s="23">
        <v>43.995162767715698</v>
      </c>
      <c r="E209" s="23">
        <v>133.71897547761887</v>
      </c>
    </row>
    <row r="210" spans="1:5" hidden="1" x14ac:dyDescent="0.25">
      <c r="A210" s="22">
        <v>22</v>
      </c>
      <c r="B210" s="23">
        <v>133.71897547761895</v>
      </c>
      <c r="C210" s="23">
        <v>0.87431003339279234</v>
      </c>
      <c r="D210" s="23">
        <v>44.282821359857699</v>
      </c>
      <c r="E210" s="23">
        <v>89.436154117761248</v>
      </c>
    </row>
    <row r="211" spans="1:5" hidden="1" x14ac:dyDescent="0.25">
      <c r="A211" s="22">
        <v>23</v>
      </c>
      <c r="B211" s="23">
        <v>89.436154117761262</v>
      </c>
      <c r="C211" s="23">
        <v>0.58477061025875543</v>
      </c>
      <c r="D211" s="23">
        <v>44.572360782991737</v>
      </c>
      <c r="E211" s="23">
        <v>44.863793334769525</v>
      </c>
    </row>
    <row r="212" spans="1:5" hidden="1" x14ac:dyDescent="0.25">
      <c r="A212" s="22">
        <v>24</v>
      </c>
      <c r="B212" s="23">
        <v>44.863793334769554</v>
      </c>
      <c r="C212" s="23">
        <v>0.29333805848082467</v>
      </c>
      <c r="D212" s="23">
        <v>44.863793334769667</v>
      </c>
      <c r="E212" s="23">
        <v>-1.1368683772161603E-13</v>
      </c>
    </row>
    <row r="213" spans="1:5" hidden="1" x14ac:dyDescent="0.25">
      <c r="A213" s="22"/>
      <c r="B213" s="23"/>
      <c r="C213" s="23"/>
      <c r="D213" s="23"/>
      <c r="E213" s="23"/>
    </row>
    <row r="214" spans="1:5" hidden="1" x14ac:dyDescent="0.25">
      <c r="A214" s="22"/>
      <c r="B214" s="23"/>
      <c r="C214" s="23"/>
      <c r="D214" s="23"/>
      <c r="E214" s="23"/>
    </row>
    <row r="215" spans="1:5" hidden="1" x14ac:dyDescent="0.25">
      <c r="A215" s="22"/>
      <c r="B215" s="23"/>
      <c r="C215" s="23"/>
      <c r="D215" s="23"/>
      <c r="E215" s="23"/>
    </row>
    <row r="216" spans="1:5" hidden="1" x14ac:dyDescent="0.25">
      <c r="A216" s="22"/>
      <c r="B216" s="23"/>
      <c r="C216" s="23"/>
      <c r="D216" s="23"/>
      <c r="E216" s="23"/>
    </row>
    <row r="217" spans="1:5" hidden="1" x14ac:dyDescent="0.25">
      <c r="A217" s="22"/>
      <c r="B217" s="23"/>
      <c r="C217" s="23"/>
      <c r="D217" s="23"/>
      <c r="E217" s="23"/>
    </row>
    <row r="218" spans="1:5" hidden="1" x14ac:dyDescent="0.25">
      <c r="A218" s="22"/>
      <c r="B218" s="23"/>
      <c r="C218" s="23"/>
      <c r="D218" s="23"/>
      <c r="E218" s="23"/>
    </row>
    <row r="219" spans="1:5" hidden="1" x14ac:dyDescent="0.25">
      <c r="A219" s="22"/>
      <c r="B219" s="23"/>
      <c r="C219" s="23"/>
      <c r="D219" s="23"/>
      <c r="E219" s="23"/>
    </row>
    <row r="220" spans="1:5" hidden="1" x14ac:dyDescent="0.25">
      <c r="A220" s="22"/>
      <c r="B220" s="23"/>
      <c r="C220" s="23"/>
      <c r="D220" s="23"/>
      <c r="E220" s="23"/>
    </row>
    <row r="221" spans="1:5" hidden="1" x14ac:dyDescent="0.25">
      <c r="A221" s="22"/>
      <c r="B221" s="23"/>
      <c r="C221" s="23"/>
      <c r="D221" s="23"/>
      <c r="E221" s="23"/>
    </row>
    <row r="222" spans="1:5" hidden="1" x14ac:dyDescent="0.25">
      <c r="A222" s="22"/>
      <c r="B222" s="23"/>
      <c r="C222" s="23"/>
      <c r="D222" s="23"/>
      <c r="E222" s="23"/>
    </row>
    <row r="223" spans="1:5" hidden="1" x14ac:dyDescent="0.25">
      <c r="A223" s="22"/>
      <c r="B223" s="23"/>
      <c r="C223" s="23"/>
      <c r="D223" s="23"/>
      <c r="E223" s="23"/>
    </row>
    <row r="224" spans="1:5" hidden="1" x14ac:dyDescent="0.25">
      <c r="A224" s="22"/>
      <c r="B224" s="23"/>
      <c r="C224" s="23"/>
      <c r="D224" s="23"/>
      <c r="E224" s="23"/>
    </row>
    <row r="225" spans="1:5" hidden="1" x14ac:dyDescent="0.25">
      <c r="A225" s="22"/>
      <c r="B225" s="23"/>
      <c r="C225" s="23"/>
      <c r="D225" s="23"/>
      <c r="E225" s="23"/>
    </row>
    <row r="226" spans="1:5" hidden="1" x14ac:dyDescent="0.25">
      <c r="A226" s="22"/>
      <c r="B226" s="23"/>
      <c r="C226" s="23"/>
      <c r="D226" s="23"/>
      <c r="E226" s="23"/>
    </row>
    <row r="227" spans="1:5" hidden="1" x14ac:dyDescent="0.25">
      <c r="A227" s="22"/>
      <c r="B227" s="23"/>
      <c r="C227" s="23"/>
      <c r="D227" s="23"/>
      <c r="E227" s="23"/>
    </row>
    <row r="228" spans="1:5" hidden="1" x14ac:dyDescent="0.25">
      <c r="A228" s="22"/>
      <c r="B228" s="23"/>
      <c r="C228" s="23"/>
      <c r="D228" s="23"/>
      <c r="E228" s="23"/>
    </row>
    <row r="229" spans="1:5" hidden="1" x14ac:dyDescent="0.25">
      <c r="A229" s="22"/>
      <c r="B229" s="23"/>
      <c r="C229" s="23"/>
      <c r="D229" s="23"/>
      <c r="E229" s="23"/>
    </row>
    <row r="230" spans="1:5" hidden="1" x14ac:dyDescent="0.25">
      <c r="A230" s="22"/>
      <c r="B230" s="23"/>
      <c r="C230" s="23"/>
      <c r="D230" s="23"/>
      <c r="E230" s="23"/>
    </row>
    <row r="231" spans="1:5" hidden="1" x14ac:dyDescent="0.25">
      <c r="A231" s="22"/>
      <c r="B231" s="23"/>
      <c r="C231" s="23"/>
      <c r="D231" s="23"/>
      <c r="E231" s="23"/>
    </row>
    <row r="232" spans="1:5" hidden="1" x14ac:dyDescent="0.25">
      <c r="A232" s="22"/>
      <c r="B232" s="23"/>
      <c r="C232" s="23"/>
      <c r="D232" s="23"/>
      <c r="E232" s="23"/>
    </row>
    <row r="233" spans="1:5" hidden="1" x14ac:dyDescent="0.25">
      <c r="A233" s="22"/>
      <c r="B233" s="23"/>
      <c r="C233" s="23"/>
      <c r="D233" s="23"/>
      <c r="E233" s="23"/>
    </row>
    <row r="234" spans="1:5" hidden="1" x14ac:dyDescent="0.25">
      <c r="A234" s="22"/>
      <c r="B234" s="23"/>
      <c r="C234" s="23"/>
      <c r="D234" s="23"/>
      <c r="E234" s="23"/>
    </row>
    <row r="235" spans="1:5" hidden="1" x14ac:dyDescent="0.25">
      <c r="A235" s="22"/>
      <c r="B235" s="23"/>
      <c r="C235" s="23"/>
      <c r="D235" s="23"/>
      <c r="E235" s="23"/>
    </row>
    <row r="236" spans="1:5" hidden="1" x14ac:dyDescent="0.25">
      <c r="A236" s="22"/>
      <c r="B236" s="23"/>
      <c r="C236" s="23"/>
      <c r="D236" s="23"/>
      <c r="E236" s="23"/>
    </row>
    <row r="237" spans="1:5" hidden="1" x14ac:dyDescent="0.25">
      <c r="A237" s="22"/>
      <c r="B237" s="23"/>
      <c r="C237" s="23"/>
      <c r="D237" s="23"/>
      <c r="E237" s="23"/>
    </row>
    <row r="238" spans="1:5" hidden="1" x14ac:dyDescent="0.25">
      <c r="A238" s="22"/>
      <c r="B238" s="23"/>
      <c r="C238" s="23"/>
      <c r="D238" s="23"/>
      <c r="E238" s="23"/>
    </row>
    <row r="239" spans="1:5" hidden="1" x14ac:dyDescent="0.25">
      <c r="A239" s="22"/>
      <c r="B239" s="23"/>
      <c r="C239" s="23"/>
      <c r="D239" s="23"/>
      <c r="E239" s="23"/>
    </row>
    <row r="240" spans="1:5" hidden="1" x14ac:dyDescent="0.25">
      <c r="A240" s="22"/>
      <c r="B240" s="23"/>
      <c r="C240" s="23"/>
      <c r="D240" s="23"/>
      <c r="E240" s="23"/>
    </row>
    <row r="241" spans="1:6" hidden="1" x14ac:dyDescent="0.25">
      <c r="A241" s="22"/>
      <c r="B241" s="23"/>
      <c r="C241" s="23"/>
      <c r="D241" s="23"/>
      <c r="E241" s="23"/>
    </row>
    <row r="242" spans="1:6" hidden="1" x14ac:dyDescent="0.25">
      <c r="A242" s="22"/>
      <c r="B242" s="23"/>
      <c r="C242" s="23"/>
      <c r="D242" s="23"/>
      <c r="E242" s="23"/>
    </row>
    <row r="243" spans="1:6" hidden="1" x14ac:dyDescent="0.25">
      <c r="A243" s="22"/>
      <c r="B243" s="23"/>
      <c r="C243" s="23"/>
      <c r="D243" s="23"/>
      <c r="E243" s="23"/>
    </row>
    <row r="244" spans="1:6" hidden="1" x14ac:dyDescent="0.25">
      <c r="A244" s="22"/>
      <c r="B244" s="23"/>
      <c r="C244" s="23"/>
      <c r="D244" s="23"/>
      <c r="E244" s="23"/>
    </row>
    <row r="245" spans="1:6" hidden="1" x14ac:dyDescent="0.25">
      <c r="A245" s="22"/>
      <c r="B245" s="23"/>
      <c r="C245" s="23"/>
      <c r="D245" s="23"/>
      <c r="E245" s="23"/>
    </row>
    <row r="246" spans="1:6" hidden="1" x14ac:dyDescent="0.25">
      <c r="A246" s="22"/>
      <c r="B246" s="23"/>
      <c r="C246" s="23"/>
      <c r="D246" s="23"/>
      <c r="E246" s="23"/>
    </row>
    <row r="247" spans="1:6" hidden="1" x14ac:dyDescent="0.25">
      <c r="A247" s="22"/>
      <c r="B247" s="23"/>
      <c r="C247" s="23"/>
      <c r="D247" s="23"/>
      <c r="E247" s="23"/>
    </row>
    <row r="248" spans="1:6" hidden="1" x14ac:dyDescent="0.25">
      <c r="A248" s="22"/>
      <c r="B248" s="23"/>
      <c r="C248" s="23"/>
      <c r="D248" s="23"/>
      <c r="E248" s="23"/>
    </row>
    <row r="249" spans="1:6" hidden="1" x14ac:dyDescent="0.25">
      <c r="A249" s="22"/>
      <c r="B249" s="23"/>
      <c r="C249" s="23"/>
      <c r="D249" s="23"/>
      <c r="E249" s="23"/>
      <c r="F249" s="8"/>
    </row>
    <row r="250" spans="1:6" hidden="1" x14ac:dyDescent="0.25">
      <c r="A250" s="22"/>
      <c r="B250" s="23"/>
      <c r="C250" s="23"/>
      <c r="D250" s="23"/>
      <c r="E250" s="23"/>
      <c r="F250" s="8"/>
    </row>
    <row r="251" spans="1:6" hidden="1" x14ac:dyDescent="0.25">
      <c r="A251" s="22"/>
      <c r="B251" s="23"/>
      <c r="C251" s="23"/>
      <c r="D251" s="23"/>
      <c r="E251" s="23"/>
      <c r="F251" s="8"/>
    </row>
    <row r="252" spans="1:6" hidden="1" x14ac:dyDescent="0.25">
      <c r="A252" s="22"/>
      <c r="B252" s="23"/>
      <c r="C252" s="23"/>
      <c r="D252" s="23"/>
      <c r="E252" s="23"/>
      <c r="F252" s="8"/>
    </row>
    <row r="253" spans="1:6" hidden="1" x14ac:dyDescent="0.25">
      <c r="A253" s="22"/>
      <c r="B253" s="23"/>
      <c r="C253" s="23"/>
      <c r="D253" s="23"/>
      <c r="E253" s="23"/>
      <c r="F253" s="8"/>
    </row>
    <row r="254" spans="1:6" hidden="1" x14ac:dyDescent="0.25">
      <c r="A254" s="22"/>
      <c r="B254" s="23"/>
      <c r="C254" s="23"/>
      <c r="D254" s="23"/>
      <c r="E254" s="23"/>
      <c r="F254" s="8"/>
    </row>
    <row r="255" spans="1:6" hidden="1" x14ac:dyDescent="0.25">
      <c r="A255" s="22"/>
      <c r="B255" s="23"/>
      <c r="C255" s="23"/>
      <c r="D255" s="23"/>
      <c r="E255" s="23"/>
      <c r="F255" s="8"/>
    </row>
    <row r="256" spans="1:6" hidden="1" x14ac:dyDescent="0.25">
      <c r="A256" s="22"/>
      <c r="B256" s="23"/>
      <c r="C256" s="23"/>
      <c r="D256" s="23"/>
      <c r="E256" s="23"/>
      <c r="F256" s="8"/>
    </row>
    <row r="257" spans="1:6" hidden="1" x14ac:dyDescent="0.25">
      <c r="A257" s="22"/>
      <c r="B257" s="23"/>
      <c r="C257" s="23"/>
      <c r="D257" s="23"/>
      <c r="E257" s="23"/>
      <c r="F257" s="8"/>
    </row>
    <row r="258" spans="1:6" hidden="1" x14ac:dyDescent="0.25">
      <c r="A258" s="22"/>
      <c r="B258" s="23"/>
      <c r="C258" s="23"/>
      <c r="D258" s="23"/>
      <c r="E258" s="23"/>
      <c r="F258" s="8"/>
    </row>
    <row r="259" spans="1:6" hidden="1" x14ac:dyDescent="0.25">
      <c r="A259" s="22"/>
      <c r="B259" s="23"/>
      <c r="C259" s="23"/>
      <c r="D259" s="23"/>
      <c r="E259" s="23"/>
      <c r="F259" s="8"/>
    </row>
    <row r="260" spans="1:6" hidden="1" x14ac:dyDescent="0.25">
      <c r="A260" s="22"/>
      <c r="B260" s="23"/>
      <c r="C260" s="23"/>
      <c r="D260" s="23"/>
      <c r="E260" s="23"/>
      <c r="F260" s="8"/>
    </row>
    <row r="261" spans="1:6" hidden="1" x14ac:dyDescent="0.25">
      <c r="A261" s="22"/>
      <c r="B261" s="23"/>
      <c r="C261" s="23"/>
      <c r="D261" s="23"/>
      <c r="E261" s="23"/>
      <c r="F261" s="8"/>
    </row>
    <row r="262" spans="1:6" hidden="1" x14ac:dyDescent="0.25">
      <c r="A262" s="22"/>
      <c r="B262" s="23"/>
      <c r="C262" s="23"/>
      <c r="D262" s="23"/>
      <c r="E262" s="23"/>
      <c r="F262" s="8"/>
    </row>
    <row r="263" spans="1:6" hidden="1" x14ac:dyDescent="0.25">
      <c r="A263" s="22"/>
      <c r="B263" s="23"/>
      <c r="C263" s="23"/>
      <c r="D263" s="23"/>
      <c r="E263" s="23"/>
      <c r="F263" s="8"/>
    </row>
    <row r="264" spans="1:6" hidden="1" x14ac:dyDescent="0.25">
      <c r="A264" s="22"/>
      <c r="B264" s="23"/>
      <c r="C264" s="23"/>
      <c r="D264" s="23"/>
      <c r="E264" s="23"/>
      <c r="F264" s="8"/>
    </row>
    <row r="265" spans="1:6" hidden="1" x14ac:dyDescent="0.25">
      <c r="A265" s="22"/>
      <c r="B265" s="23"/>
      <c r="C265" s="23"/>
      <c r="D265" s="23"/>
      <c r="E265" s="23"/>
      <c r="F265" s="8"/>
    </row>
    <row r="266" spans="1:6" hidden="1" x14ac:dyDescent="0.25">
      <c r="A266" s="22"/>
      <c r="B266" s="23"/>
      <c r="C266" s="23"/>
      <c r="D266" s="23"/>
      <c r="E266" s="23"/>
      <c r="F266" s="8"/>
    </row>
    <row r="267" spans="1:6" hidden="1" x14ac:dyDescent="0.25">
      <c r="A267" s="22"/>
      <c r="B267" s="23"/>
      <c r="C267" s="23"/>
      <c r="D267" s="23"/>
      <c r="E267" s="23"/>
      <c r="F267" s="8"/>
    </row>
    <row r="268" spans="1:6" hidden="1" x14ac:dyDescent="0.25">
      <c r="A268" s="22"/>
      <c r="B268" s="23"/>
      <c r="C268" s="23"/>
      <c r="D268" s="23"/>
      <c r="E268" s="23"/>
      <c r="F268" s="8"/>
    </row>
    <row r="269" spans="1:6" hidden="1" x14ac:dyDescent="0.25">
      <c r="A269" s="22"/>
      <c r="B269" s="23"/>
      <c r="C269" s="23"/>
      <c r="D269" s="23"/>
      <c r="E269" s="23"/>
      <c r="F269" s="8"/>
    </row>
    <row r="270" spans="1:6" hidden="1" x14ac:dyDescent="0.25">
      <c r="A270" s="22"/>
      <c r="B270" s="23"/>
      <c r="C270" s="23"/>
      <c r="D270" s="23"/>
      <c r="E270" s="23"/>
      <c r="F270" s="8"/>
    </row>
    <row r="271" spans="1:6" hidden="1" x14ac:dyDescent="0.25">
      <c r="A271" s="22"/>
      <c r="B271" s="23"/>
      <c r="C271" s="23"/>
      <c r="D271" s="23"/>
      <c r="E271" s="23"/>
      <c r="F271" s="8"/>
    </row>
    <row r="272" spans="1:6" hidden="1" x14ac:dyDescent="0.25">
      <c r="A272" s="22"/>
      <c r="B272" s="23"/>
      <c r="C272" s="23"/>
      <c r="D272" s="23"/>
      <c r="E272" s="23"/>
      <c r="F272" s="8"/>
    </row>
    <row r="273" spans="1:6" hidden="1" x14ac:dyDescent="0.25">
      <c r="A273" s="22"/>
      <c r="B273" s="23"/>
      <c r="C273" s="23"/>
      <c r="D273" s="23"/>
      <c r="E273" s="23"/>
      <c r="F273" s="8"/>
    </row>
    <row r="274" spans="1:6" hidden="1" x14ac:dyDescent="0.25">
      <c r="A274" s="22"/>
      <c r="B274" s="23"/>
      <c r="C274" s="23"/>
      <c r="D274" s="23"/>
      <c r="E274" s="23"/>
      <c r="F274" s="8"/>
    </row>
    <row r="275" spans="1:6" hidden="1" x14ac:dyDescent="0.25">
      <c r="A275" s="22"/>
      <c r="B275" s="23"/>
      <c r="C275" s="23"/>
      <c r="D275" s="23"/>
      <c r="E275" s="23"/>
      <c r="F275" s="8"/>
    </row>
    <row r="276" spans="1:6" hidden="1" x14ac:dyDescent="0.25">
      <c r="A276" s="22"/>
      <c r="B276" s="23"/>
      <c r="C276" s="23"/>
      <c r="D276" s="23"/>
      <c r="E276" s="23"/>
      <c r="F276" s="8"/>
    </row>
    <row r="277" spans="1:6" hidden="1" x14ac:dyDescent="0.25">
      <c r="A277" s="22"/>
      <c r="B277" s="23"/>
      <c r="C277" s="23"/>
      <c r="D277" s="23"/>
      <c r="E277" s="23"/>
      <c r="F277" s="8"/>
    </row>
    <row r="278" spans="1:6" hidden="1" x14ac:dyDescent="0.25">
      <c r="A278" s="22"/>
      <c r="B278" s="23"/>
      <c r="C278" s="23"/>
      <c r="D278" s="23"/>
      <c r="E278" s="23"/>
      <c r="F278" s="8"/>
    </row>
    <row r="279" spans="1:6" hidden="1" x14ac:dyDescent="0.25">
      <c r="A279" s="22"/>
      <c r="B279" s="23"/>
      <c r="C279" s="23"/>
      <c r="D279" s="23"/>
      <c r="E279" s="23"/>
      <c r="F279" s="8"/>
    </row>
    <row r="280" spans="1:6" hidden="1" x14ac:dyDescent="0.25">
      <c r="A280" s="22"/>
      <c r="B280" s="23"/>
      <c r="C280" s="23"/>
      <c r="D280" s="23"/>
      <c r="E280" s="23"/>
      <c r="F280" s="8"/>
    </row>
    <row r="281" spans="1:6" hidden="1" x14ac:dyDescent="0.25">
      <c r="A281" s="22"/>
      <c r="B281" s="23"/>
      <c r="C281" s="23"/>
      <c r="D281" s="23"/>
      <c r="E281" s="23"/>
      <c r="F281" s="8"/>
    </row>
    <row r="282" spans="1:6" hidden="1" x14ac:dyDescent="0.25">
      <c r="A282" s="22"/>
      <c r="B282" s="23"/>
      <c r="C282" s="23"/>
      <c r="D282" s="23"/>
      <c r="E282" s="23"/>
      <c r="F282" s="8"/>
    </row>
    <row r="283" spans="1:6" hidden="1" x14ac:dyDescent="0.25">
      <c r="A283" s="22"/>
      <c r="B283" s="23"/>
      <c r="C283" s="23"/>
      <c r="D283" s="23"/>
      <c r="E283" s="23"/>
      <c r="F283" s="8"/>
    </row>
    <row r="284" spans="1:6" hidden="1" x14ac:dyDescent="0.25">
      <c r="A284" s="22"/>
      <c r="B284" s="23"/>
      <c r="C284" s="23"/>
      <c r="D284" s="23"/>
      <c r="E284" s="23"/>
      <c r="F284" s="8"/>
    </row>
    <row r="285" spans="1:6" hidden="1" x14ac:dyDescent="0.25">
      <c r="A285" s="22"/>
      <c r="B285" s="23"/>
      <c r="C285" s="23"/>
      <c r="D285" s="23"/>
      <c r="E285" s="23"/>
      <c r="F285" s="8"/>
    </row>
    <row r="286" spans="1:6" hidden="1" x14ac:dyDescent="0.25">
      <c r="A286" s="22"/>
      <c r="B286" s="23"/>
      <c r="C286" s="23"/>
      <c r="D286" s="23"/>
      <c r="E286" s="23"/>
      <c r="F286" s="8"/>
    </row>
    <row r="287" spans="1:6" hidden="1" x14ac:dyDescent="0.25">
      <c r="A287" s="22"/>
      <c r="B287" s="23"/>
      <c r="C287" s="23"/>
      <c r="D287" s="23"/>
      <c r="E287" s="23"/>
      <c r="F287" s="8"/>
    </row>
    <row r="288" spans="1:6" hidden="1" x14ac:dyDescent="0.25">
      <c r="A288" s="22"/>
      <c r="B288" s="23"/>
      <c r="C288" s="23"/>
      <c r="D288" s="23"/>
      <c r="E288" s="23"/>
      <c r="F288" s="8"/>
    </row>
    <row r="289" spans="1:6" hidden="1" x14ac:dyDescent="0.25">
      <c r="A289" s="22"/>
      <c r="B289" s="23"/>
      <c r="C289" s="23"/>
      <c r="D289" s="23"/>
      <c r="E289" s="23"/>
      <c r="F289" s="8"/>
    </row>
    <row r="290" spans="1:6" hidden="1" x14ac:dyDescent="0.25">
      <c r="A290" s="22"/>
      <c r="B290" s="23"/>
      <c r="C290" s="23"/>
      <c r="D290" s="23"/>
      <c r="E290" s="23"/>
      <c r="F290" s="8"/>
    </row>
    <row r="291" spans="1:6" hidden="1" x14ac:dyDescent="0.25">
      <c r="A291" s="22"/>
      <c r="B291" s="23"/>
      <c r="C291" s="23"/>
      <c r="D291" s="23"/>
      <c r="E291" s="23"/>
      <c r="F291" s="8"/>
    </row>
    <row r="292" spans="1:6" hidden="1" x14ac:dyDescent="0.25">
      <c r="A292" s="22"/>
      <c r="B292" s="23"/>
      <c r="C292" s="23"/>
      <c r="D292" s="23"/>
      <c r="E292" s="23"/>
      <c r="F292" s="8"/>
    </row>
    <row r="293" spans="1:6" hidden="1" x14ac:dyDescent="0.25">
      <c r="A293" s="22"/>
      <c r="B293" s="23"/>
      <c r="C293" s="23"/>
      <c r="D293" s="23"/>
      <c r="E293" s="23"/>
      <c r="F293" s="8"/>
    </row>
    <row r="294" spans="1:6" hidden="1" x14ac:dyDescent="0.25">
      <c r="A294" s="22"/>
      <c r="B294" s="23"/>
      <c r="C294" s="23"/>
      <c r="D294" s="23"/>
      <c r="E294" s="23"/>
      <c r="F294" s="8"/>
    </row>
    <row r="295" spans="1:6" hidden="1" x14ac:dyDescent="0.25">
      <c r="A295" s="22"/>
      <c r="B295" s="23"/>
      <c r="C295" s="23"/>
      <c r="D295" s="23"/>
      <c r="E295" s="23"/>
      <c r="F295" s="8"/>
    </row>
    <row r="296" spans="1:6" hidden="1" x14ac:dyDescent="0.25">
      <c r="A296" s="22"/>
      <c r="B296" s="23"/>
      <c r="C296" s="23"/>
      <c r="D296" s="23"/>
      <c r="E296" s="23"/>
      <c r="F296" s="8"/>
    </row>
    <row r="297" spans="1:6" hidden="1" x14ac:dyDescent="0.25">
      <c r="A297" s="22"/>
      <c r="B297" s="23"/>
      <c r="C297" s="23"/>
      <c r="D297" s="23"/>
      <c r="E297" s="23"/>
      <c r="F297" s="8"/>
    </row>
    <row r="298" spans="1:6" hidden="1" x14ac:dyDescent="0.25">
      <c r="A298" s="22"/>
      <c r="B298" s="23"/>
      <c r="C298" s="23"/>
      <c r="D298" s="23"/>
      <c r="E298" s="23"/>
      <c r="F298" s="8"/>
    </row>
    <row r="299" spans="1:6" hidden="1" x14ac:dyDescent="0.25">
      <c r="A299" s="22"/>
      <c r="B299" s="23"/>
      <c r="C299" s="23"/>
      <c r="D299" s="23"/>
      <c r="E299" s="23"/>
      <c r="F299" s="8"/>
    </row>
    <row r="300" spans="1:6" hidden="1" x14ac:dyDescent="0.25">
      <c r="A300" s="22"/>
      <c r="B300" s="23"/>
      <c r="C300" s="23"/>
      <c r="D300" s="23"/>
      <c r="E300" s="23"/>
      <c r="F300" s="8"/>
    </row>
    <row r="301" spans="1:6" hidden="1" x14ac:dyDescent="0.25">
      <c r="A301" s="22"/>
      <c r="B301" s="23"/>
      <c r="C301" s="23"/>
      <c r="D301" s="23"/>
      <c r="E301" s="23"/>
      <c r="F301" s="8"/>
    </row>
    <row r="302" spans="1:6" hidden="1" x14ac:dyDescent="0.25">
      <c r="A302" s="22"/>
      <c r="B302" s="23"/>
      <c r="C302" s="23"/>
      <c r="D302" s="23"/>
      <c r="E302" s="23"/>
      <c r="F302" s="8"/>
    </row>
    <row r="303" spans="1:6" hidden="1" x14ac:dyDescent="0.25">
      <c r="A303" s="22"/>
      <c r="B303" s="23"/>
      <c r="C303" s="23"/>
      <c r="D303" s="23"/>
      <c r="E303" s="23"/>
      <c r="F303" s="8"/>
    </row>
    <row r="304" spans="1:6" hidden="1" x14ac:dyDescent="0.25">
      <c r="A304" s="22"/>
      <c r="B304" s="23"/>
      <c r="C304" s="23"/>
      <c r="D304" s="23"/>
      <c r="E304" s="23"/>
      <c r="F304" s="8"/>
    </row>
    <row r="305" spans="1:6" hidden="1" x14ac:dyDescent="0.25">
      <c r="A305" s="22"/>
      <c r="B305" s="23"/>
      <c r="C305" s="23"/>
      <c r="D305" s="23"/>
      <c r="E305" s="23"/>
      <c r="F305" s="8"/>
    </row>
    <row r="306" spans="1:6" hidden="1" x14ac:dyDescent="0.25">
      <c r="A306" s="22"/>
      <c r="B306" s="23"/>
      <c r="C306" s="23"/>
      <c r="D306" s="23"/>
      <c r="E306" s="23"/>
      <c r="F306" s="8"/>
    </row>
    <row r="307" spans="1:6" hidden="1" x14ac:dyDescent="0.25">
      <c r="A307" s="22"/>
      <c r="B307" s="23"/>
      <c r="C307" s="23"/>
      <c r="D307" s="23"/>
      <c r="E307" s="23"/>
      <c r="F307" s="8"/>
    </row>
    <row r="308" spans="1:6" hidden="1" x14ac:dyDescent="0.25">
      <c r="A308" s="22"/>
      <c r="B308" s="23"/>
      <c r="C308" s="23"/>
      <c r="D308" s="23"/>
      <c r="E308" s="23"/>
      <c r="F308" s="8"/>
    </row>
    <row r="309" spans="1:6" hidden="1" x14ac:dyDescent="0.25">
      <c r="A309" s="22"/>
      <c r="B309" s="23"/>
      <c r="C309" s="23"/>
      <c r="D309" s="23"/>
      <c r="E309" s="23"/>
      <c r="F309" s="8"/>
    </row>
    <row r="310" spans="1:6" hidden="1" x14ac:dyDescent="0.25">
      <c r="A310" s="22"/>
      <c r="B310" s="23"/>
      <c r="C310" s="23"/>
      <c r="D310" s="23"/>
      <c r="E310" s="23"/>
      <c r="F310" s="8"/>
    </row>
    <row r="311" spans="1:6" hidden="1" x14ac:dyDescent="0.25">
      <c r="A311" s="22"/>
      <c r="B311" s="23"/>
      <c r="C311" s="23"/>
      <c r="D311" s="23"/>
      <c r="E311" s="23"/>
      <c r="F311" s="8"/>
    </row>
    <row r="312" spans="1:6" hidden="1" x14ac:dyDescent="0.25">
      <c r="A312" s="22"/>
      <c r="B312" s="23"/>
      <c r="C312" s="23"/>
      <c r="D312" s="23"/>
      <c r="E312" s="23"/>
      <c r="F312" s="8"/>
    </row>
    <row r="313" spans="1:6" hidden="1" x14ac:dyDescent="0.25">
      <c r="A313" s="22"/>
      <c r="B313" s="23"/>
      <c r="C313" s="23"/>
      <c r="D313" s="23"/>
      <c r="E313" s="23"/>
      <c r="F313" s="8"/>
    </row>
    <row r="314" spans="1:6" hidden="1" x14ac:dyDescent="0.25">
      <c r="A314" s="22"/>
      <c r="B314" s="23"/>
      <c r="C314" s="23"/>
      <c r="D314" s="23"/>
      <c r="E314" s="23"/>
      <c r="F314" s="8"/>
    </row>
    <row r="315" spans="1:6" hidden="1" x14ac:dyDescent="0.25">
      <c r="A315" s="22"/>
      <c r="B315" s="23"/>
      <c r="C315" s="23"/>
      <c r="D315" s="23"/>
      <c r="E315" s="23"/>
      <c r="F315" s="8"/>
    </row>
    <row r="316" spans="1:6" hidden="1" x14ac:dyDescent="0.25">
      <c r="A316" s="22"/>
      <c r="B316" s="23"/>
      <c r="C316" s="23"/>
      <c r="D316" s="23"/>
      <c r="E316" s="23"/>
      <c r="F316" s="8"/>
    </row>
    <row r="317" spans="1:6" hidden="1" x14ac:dyDescent="0.25">
      <c r="A317" s="22"/>
      <c r="B317" s="23"/>
      <c r="C317" s="23"/>
      <c r="D317" s="23"/>
      <c r="E317" s="23"/>
      <c r="F317" s="8"/>
    </row>
    <row r="318" spans="1:6" hidden="1" x14ac:dyDescent="0.25">
      <c r="A318" s="22"/>
      <c r="B318" s="23"/>
      <c r="C318" s="23"/>
      <c r="D318" s="23"/>
      <c r="E318" s="23"/>
      <c r="F318" s="8"/>
    </row>
    <row r="319" spans="1:6" hidden="1" x14ac:dyDescent="0.25">
      <c r="A319" s="22"/>
      <c r="B319" s="23"/>
      <c r="C319" s="23"/>
      <c r="D319" s="23"/>
      <c r="E319" s="23"/>
      <c r="F319" s="8"/>
    </row>
    <row r="320" spans="1:6" hidden="1" x14ac:dyDescent="0.25">
      <c r="A320" s="22"/>
      <c r="B320" s="23"/>
      <c r="C320" s="23"/>
      <c r="D320" s="23"/>
      <c r="E320" s="23"/>
      <c r="F320" s="8"/>
    </row>
    <row r="321" spans="1:6" hidden="1" x14ac:dyDescent="0.25">
      <c r="A321" s="22"/>
      <c r="B321" s="23"/>
      <c r="C321" s="23"/>
      <c r="D321" s="23"/>
      <c r="E321" s="23"/>
      <c r="F321" s="8"/>
    </row>
    <row r="322" spans="1:6" hidden="1" x14ac:dyDescent="0.25">
      <c r="A322" s="22"/>
      <c r="B322" s="23"/>
      <c r="C322" s="23"/>
      <c r="D322" s="23"/>
      <c r="E322" s="23"/>
      <c r="F322" s="8"/>
    </row>
    <row r="323" spans="1:6" hidden="1" x14ac:dyDescent="0.25">
      <c r="A323" s="22"/>
      <c r="B323" s="23"/>
      <c r="C323" s="23"/>
      <c r="D323" s="23"/>
      <c r="E323" s="23"/>
      <c r="F323" s="8"/>
    </row>
    <row r="324" spans="1:6" hidden="1" x14ac:dyDescent="0.25">
      <c r="A324" s="22"/>
      <c r="B324" s="23"/>
      <c r="C324" s="23"/>
      <c r="D324" s="23"/>
      <c r="E324" s="23"/>
      <c r="F324" s="8"/>
    </row>
    <row r="325" spans="1:6" hidden="1" x14ac:dyDescent="0.25">
      <c r="A325" s="22"/>
      <c r="B325" s="23"/>
      <c r="C325" s="23"/>
      <c r="D325" s="23"/>
      <c r="E325" s="23"/>
      <c r="F325" s="8"/>
    </row>
    <row r="326" spans="1:6" hidden="1" x14ac:dyDescent="0.25">
      <c r="A326" s="22"/>
      <c r="B326" s="23"/>
      <c r="C326" s="23"/>
      <c r="D326" s="23"/>
      <c r="E326" s="23"/>
      <c r="F326" s="8"/>
    </row>
    <row r="327" spans="1:6" hidden="1" x14ac:dyDescent="0.25">
      <c r="A327" s="22"/>
      <c r="B327" s="23"/>
      <c r="C327" s="23"/>
      <c r="D327" s="23"/>
      <c r="E327" s="23"/>
      <c r="F327" s="8"/>
    </row>
    <row r="328" spans="1:6" hidden="1" x14ac:dyDescent="0.25">
      <c r="A328" s="22"/>
      <c r="B328" s="23"/>
      <c r="C328" s="23"/>
      <c r="D328" s="23"/>
      <c r="E328" s="23"/>
      <c r="F328" s="8"/>
    </row>
    <row r="329" spans="1:6" hidden="1" x14ac:dyDescent="0.25">
      <c r="A329" s="22"/>
      <c r="B329" s="23"/>
      <c r="C329" s="23"/>
      <c r="D329" s="23"/>
      <c r="E329" s="23"/>
      <c r="F329" s="8"/>
    </row>
    <row r="330" spans="1:6" hidden="1" x14ac:dyDescent="0.25">
      <c r="A330" s="22"/>
      <c r="B330" s="23"/>
      <c r="C330" s="23"/>
      <c r="D330" s="23"/>
      <c r="E330" s="23"/>
      <c r="F330" s="8"/>
    </row>
    <row r="331" spans="1:6" hidden="1" x14ac:dyDescent="0.25">
      <c r="A331" s="22"/>
      <c r="B331" s="23"/>
      <c r="C331" s="23"/>
      <c r="D331" s="23"/>
      <c r="E331" s="23"/>
      <c r="F331" s="8"/>
    </row>
    <row r="332" spans="1:6" hidden="1" x14ac:dyDescent="0.25">
      <c r="A332" s="22"/>
      <c r="B332" s="23"/>
      <c r="C332" s="23"/>
      <c r="D332" s="23"/>
      <c r="E332" s="23"/>
      <c r="F332" s="8"/>
    </row>
    <row r="333" spans="1:6" x14ac:dyDescent="0.25">
      <c r="A333"/>
      <c r="B333"/>
      <c r="F333" s="8"/>
    </row>
    <row r="334" spans="1:6" x14ac:dyDescent="0.25">
      <c r="A334"/>
      <c r="B334"/>
      <c r="F334" s="8"/>
    </row>
    <row r="335" spans="1:6" x14ac:dyDescent="0.25">
      <c r="A335"/>
      <c r="B335"/>
      <c r="F335" s="8"/>
    </row>
    <row r="336" spans="1:6" x14ac:dyDescent="0.25">
      <c r="A336"/>
      <c r="B336"/>
      <c r="F336" s="8"/>
    </row>
    <row r="337" spans="1:6" x14ac:dyDescent="0.25">
      <c r="A337"/>
      <c r="B337"/>
      <c r="F337" s="8"/>
    </row>
    <row r="338" spans="1:6" x14ac:dyDescent="0.25">
      <c r="A338"/>
      <c r="B338"/>
      <c r="F338" s="8"/>
    </row>
    <row r="339" spans="1:6" x14ac:dyDescent="0.25">
      <c r="A339"/>
      <c r="B339"/>
      <c r="F339" s="8"/>
    </row>
    <row r="340" spans="1:6" x14ac:dyDescent="0.25">
      <c r="A340"/>
      <c r="B340"/>
      <c r="F340" s="8"/>
    </row>
    <row r="341" spans="1:6" x14ac:dyDescent="0.25">
      <c r="A341"/>
      <c r="B341"/>
      <c r="F341" s="8"/>
    </row>
    <row r="342" spans="1:6" x14ac:dyDescent="0.25">
      <c r="A342"/>
      <c r="B342"/>
      <c r="F342" s="8"/>
    </row>
    <row r="343" spans="1:6" x14ac:dyDescent="0.25">
      <c r="A343"/>
      <c r="B343"/>
      <c r="F343" s="8"/>
    </row>
    <row r="344" spans="1:6" x14ac:dyDescent="0.25">
      <c r="A344"/>
      <c r="B344"/>
      <c r="F344" s="8"/>
    </row>
    <row r="345" spans="1:6" x14ac:dyDescent="0.25">
      <c r="A345"/>
      <c r="B345"/>
      <c r="F345" s="8"/>
    </row>
    <row r="346" spans="1:6" x14ac:dyDescent="0.25">
      <c r="A346"/>
      <c r="B346"/>
      <c r="F346" s="8"/>
    </row>
    <row r="347" spans="1:6" x14ac:dyDescent="0.25">
      <c r="A347"/>
      <c r="B347"/>
      <c r="F347" s="8"/>
    </row>
    <row r="348" spans="1:6" x14ac:dyDescent="0.25">
      <c r="A348"/>
      <c r="B348"/>
      <c r="F348" s="8"/>
    </row>
    <row r="349" spans="1:6" x14ac:dyDescent="0.25">
      <c r="A349"/>
      <c r="B349"/>
      <c r="F349" s="8"/>
    </row>
    <row r="350" spans="1:6" x14ac:dyDescent="0.25">
      <c r="A350"/>
      <c r="B350"/>
      <c r="F350" s="8"/>
    </row>
    <row r="351" spans="1:6" x14ac:dyDescent="0.25">
      <c r="A351"/>
      <c r="B351"/>
      <c r="F351" s="8"/>
    </row>
    <row r="352" spans="1:6" x14ac:dyDescent="0.25">
      <c r="A352"/>
      <c r="B352"/>
      <c r="F352" s="8"/>
    </row>
    <row r="353" spans="1:6" x14ac:dyDescent="0.25">
      <c r="A353"/>
      <c r="B353"/>
      <c r="F353" s="8"/>
    </row>
    <row r="354" spans="1:6" x14ac:dyDescent="0.25">
      <c r="A354"/>
      <c r="B354"/>
      <c r="F354" s="8"/>
    </row>
    <row r="355" spans="1:6" x14ac:dyDescent="0.25">
      <c r="A355"/>
      <c r="B355"/>
      <c r="F355" s="8"/>
    </row>
    <row r="356" spans="1:6" x14ac:dyDescent="0.25">
      <c r="A356"/>
      <c r="B356"/>
      <c r="F356" s="8"/>
    </row>
    <row r="357" spans="1:6" x14ac:dyDescent="0.25">
      <c r="A357"/>
      <c r="B357"/>
      <c r="F357" s="8"/>
    </row>
    <row r="358" spans="1:6" x14ac:dyDescent="0.25">
      <c r="A358"/>
      <c r="B358"/>
      <c r="F358" s="8"/>
    </row>
    <row r="359" spans="1:6" x14ac:dyDescent="0.25">
      <c r="A359"/>
      <c r="B359"/>
      <c r="F359" s="8"/>
    </row>
    <row r="360" spans="1:6" x14ac:dyDescent="0.25">
      <c r="A360"/>
      <c r="B360"/>
      <c r="F360" s="8"/>
    </row>
    <row r="361" spans="1:6" x14ac:dyDescent="0.25">
      <c r="A361"/>
      <c r="B361"/>
      <c r="F361" s="8"/>
    </row>
    <row r="362" spans="1:6" x14ac:dyDescent="0.25">
      <c r="A362"/>
      <c r="B362"/>
      <c r="F362" s="8"/>
    </row>
    <row r="363" spans="1:6" x14ac:dyDescent="0.25">
      <c r="A363"/>
      <c r="B363"/>
      <c r="F363" s="8"/>
    </row>
    <row r="364" spans="1:6" x14ac:dyDescent="0.25">
      <c r="A364"/>
      <c r="B364"/>
      <c r="F364" s="8"/>
    </row>
    <row r="365" spans="1:6" x14ac:dyDescent="0.25">
      <c r="A365"/>
      <c r="B365"/>
      <c r="F365" s="8"/>
    </row>
    <row r="366" spans="1:6" x14ac:dyDescent="0.25">
      <c r="A366"/>
      <c r="B366"/>
      <c r="F366" s="8"/>
    </row>
    <row r="367" spans="1:6" x14ac:dyDescent="0.25">
      <c r="A367"/>
      <c r="B367"/>
      <c r="F367" s="8"/>
    </row>
    <row r="368" spans="1:6" x14ac:dyDescent="0.25">
      <c r="A368"/>
      <c r="B368"/>
      <c r="F368" s="8"/>
    </row>
    <row r="369" spans="1:6" x14ac:dyDescent="0.25">
      <c r="A369"/>
      <c r="B369"/>
      <c r="F369" s="8"/>
    </row>
    <row r="370" spans="1:6" x14ac:dyDescent="0.25">
      <c r="A370"/>
      <c r="B370"/>
      <c r="F370" s="8"/>
    </row>
    <row r="371" spans="1:6" x14ac:dyDescent="0.25">
      <c r="A371"/>
      <c r="B371"/>
      <c r="F371" s="8"/>
    </row>
    <row r="372" spans="1:6" x14ac:dyDescent="0.25">
      <c r="A372"/>
      <c r="B372"/>
      <c r="F372" s="8"/>
    </row>
    <row r="373" spans="1:6" x14ac:dyDescent="0.25">
      <c r="A373"/>
      <c r="B373"/>
      <c r="F373" s="8"/>
    </row>
    <row r="374" spans="1:6" x14ac:dyDescent="0.25">
      <c r="A374"/>
      <c r="B374"/>
      <c r="F374" s="8"/>
    </row>
    <row r="375" spans="1:6" x14ac:dyDescent="0.25">
      <c r="A375"/>
      <c r="B375"/>
      <c r="F375" s="8"/>
    </row>
    <row r="376" spans="1:6" x14ac:dyDescent="0.25">
      <c r="A376"/>
      <c r="B376"/>
      <c r="F376" s="8"/>
    </row>
    <row r="377" spans="1:6" x14ac:dyDescent="0.25">
      <c r="A377"/>
      <c r="B377"/>
      <c r="F377" s="8"/>
    </row>
    <row r="378" spans="1:6" x14ac:dyDescent="0.25">
      <c r="A378"/>
      <c r="B378"/>
      <c r="F378" s="8"/>
    </row>
    <row r="379" spans="1:6" x14ac:dyDescent="0.25">
      <c r="A379"/>
      <c r="B379"/>
      <c r="F379" s="8"/>
    </row>
    <row r="380" spans="1:6" x14ac:dyDescent="0.25">
      <c r="A380"/>
      <c r="B380"/>
      <c r="F380" s="8"/>
    </row>
    <row r="381" spans="1:6" x14ac:dyDescent="0.25">
      <c r="A381"/>
      <c r="B381"/>
      <c r="F381" s="8"/>
    </row>
    <row r="382" spans="1:6" x14ac:dyDescent="0.25">
      <c r="A382"/>
      <c r="B382"/>
      <c r="F382" s="8"/>
    </row>
    <row r="383" spans="1:6" x14ac:dyDescent="0.25">
      <c r="A383"/>
      <c r="B383"/>
      <c r="F383" s="8"/>
    </row>
    <row r="384" spans="1:6" x14ac:dyDescent="0.25">
      <c r="A384"/>
      <c r="B384"/>
      <c r="F384" s="8"/>
    </row>
    <row r="385" spans="1:6" x14ac:dyDescent="0.25">
      <c r="A385"/>
      <c r="B385"/>
      <c r="F385" s="8"/>
    </row>
    <row r="386" spans="1:6" x14ac:dyDescent="0.25">
      <c r="A386"/>
      <c r="B386"/>
      <c r="F386" s="8"/>
    </row>
    <row r="387" spans="1:6" x14ac:dyDescent="0.25">
      <c r="A387"/>
      <c r="B387"/>
      <c r="F387" s="8"/>
    </row>
    <row r="388" spans="1:6" x14ac:dyDescent="0.25">
      <c r="A388"/>
      <c r="B388"/>
      <c r="F388" s="8"/>
    </row>
    <row r="389" spans="1:6" x14ac:dyDescent="0.25">
      <c r="A389"/>
      <c r="B389"/>
      <c r="F389" s="8"/>
    </row>
    <row r="390" spans="1:6" x14ac:dyDescent="0.25">
      <c r="A390"/>
      <c r="B390"/>
      <c r="F390" s="8"/>
    </row>
    <row r="391" spans="1:6" x14ac:dyDescent="0.25">
      <c r="A391"/>
      <c r="B391"/>
      <c r="F391" s="8"/>
    </row>
    <row r="392" spans="1:6" x14ac:dyDescent="0.25">
      <c r="A392"/>
      <c r="B392"/>
      <c r="F392" s="8"/>
    </row>
    <row r="393" spans="1:6" x14ac:dyDescent="0.25">
      <c r="A393"/>
      <c r="B393"/>
      <c r="F393" s="8"/>
    </row>
    <row r="394" spans="1:6" x14ac:dyDescent="0.25">
      <c r="A394"/>
      <c r="B394"/>
      <c r="F394" s="8"/>
    </row>
    <row r="395" spans="1:6" x14ac:dyDescent="0.25">
      <c r="A395"/>
      <c r="B395"/>
      <c r="F395" s="8"/>
    </row>
    <row r="396" spans="1:6" x14ac:dyDescent="0.25">
      <c r="A396"/>
      <c r="B396"/>
      <c r="F396" s="8"/>
    </row>
    <row r="397" spans="1:6" x14ac:dyDescent="0.25">
      <c r="A397"/>
      <c r="B397"/>
      <c r="F397" s="8"/>
    </row>
    <row r="398" spans="1:6" x14ac:dyDescent="0.25">
      <c r="A398"/>
      <c r="B398"/>
      <c r="F398" s="8"/>
    </row>
    <row r="399" spans="1:6" x14ac:dyDescent="0.25">
      <c r="A399"/>
      <c r="B399"/>
      <c r="F399" s="8"/>
    </row>
    <row r="400" spans="1:6" x14ac:dyDescent="0.25">
      <c r="A400"/>
      <c r="B400"/>
      <c r="F400" s="8"/>
    </row>
    <row r="401" spans="1:6" x14ac:dyDescent="0.25">
      <c r="A401"/>
      <c r="B401"/>
      <c r="F401" s="8"/>
    </row>
    <row r="402" spans="1:6" x14ac:dyDescent="0.25">
      <c r="A402"/>
      <c r="B402"/>
      <c r="F402" s="8"/>
    </row>
    <row r="403" spans="1:6" x14ac:dyDescent="0.25">
      <c r="A403"/>
      <c r="B403"/>
      <c r="F403" s="8"/>
    </row>
    <row r="404" spans="1:6" x14ac:dyDescent="0.25">
      <c r="A404"/>
      <c r="B404"/>
      <c r="F404" s="8"/>
    </row>
    <row r="405" spans="1:6" x14ac:dyDescent="0.25">
      <c r="A405"/>
      <c r="B405"/>
      <c r="F405" s="8"/>
    </row>
    <row r="406" spans="1:6" x14ac:dyDescent="0.25">
      <c r="A406"/>
      <c r="B406"/>
      <c r="F406" s="8"/>
    </row>
    <row r="407" spans="1:6" x14ac:dyDescent="0.25">
      <c r="A407"/>
      <c r="B407"/>
      <c r="F407" s="8"/>
    </row>
    <row r="408" spans="1:6" x14ac:dyDescent="0.25">
      <c r="A408"/>
      <c r="B408"/>
      <c r="F408" s="8"/>
    </row>
    <row r="409" spans="1:6" x14ac:dyDescent="0.25">
      <c r="A409"/>
      <c r="B409"/>
      <c r="F409" s="8"/>
    </row>
    <row r="410" spans="1:6" x14ac:dyDescent="0.25">
      <c r="A410"/>
      <c r="B410"/>
      <c r="F410" s="8"/>
    </row>
    <row r="411" spans="1:6" x14ac:dyDescent="0.25">
      <c r="A411"/>
      <c r="B411"/>
      <c r="F411" s="8"/>
    </row>
    <row r="412" spans="1:6" x14ac:dyDescent="0.25">
      <c r="A412"/>
      <c r="B412"/>
      <c r="F412" s="8"/>
    </row>
    <row r="413" spans="1:6" x14ac:dyDescent="0.25">
      <c r="A413"/>
      <c r="B413"/>
      <c r="F413" s="8"/>
    </row>
    <row r="414" spans="1:6" x14ac:dyDescent="0.25">
      <c r="A414"/>
      <c r="B414"/>
      <c r="F414" s="8"/>
    </row>
    <row r="415" spans="1:6" x14ac:dyDescent="0.25">
      <c r="A415"/>
      <c r="B415"/>
      <c r="F415" s="8"/>
    </row>
    <row r="416" spans="1:6" x14ac:dyDescent="0.25">
      <c r="A416"/>
      <c r="B416"/>
      <c r="F416" s="8"/>
    </row>
    <row r="417" spans="1:6" x14ac:dyDescent="0.25">
      <c r="A417"/>
      <c r="B417"/>
      <c r="F417" s="8"/>
    </row>
    <row r="418" spans="1:6" x14ac:dyDescent="0.25">
      <c r="A418"/>
      <c r="B418"/>
      <c r="F418" s="8"/>
    </row>
    <row r="419" spans="1:6" x14ac:dyDescent="0.25">
      <c r="A419"/>
      <c r="B419"/>
      <c r="F419" s="8"/>
    </row>
    <row r="420" spans="1:6" x14ac:dyDescent="0.25">
      <c r="A420"/>
      <c r="B420"/>
      <c r="F420" s="8"/>
    </row>
    <row r="421" spans="1:6" x14ac:dyDescent="0.25">
      <c r="A421"/>
      <c r="B421"/>
      <c r="F421" s="8"/>
    </row>
    <row r="422" spans="1:6" x14ac:dyDescent="0.25">
      <c r="A422"/>
      <c r="B422"/>
      <c r="F422" s="8"/>
    </row>
    <row r="423" spans="1:6" x14ac:dyDescent="0.25">
      <c r="A423"/>
      <c r="B423"/>
      <c r="F423" s="8"/>
    </row>
    <row r="424" spans="1:6" x14ac:dyDescent="0.25">
      <c r="A424"/>
      <c r="B424"/>
      <c r="F424" s="8"/>
    </row>
    <row r="425" spans="1:6" x14ac:dyDescent="0.25">
      <c r="A425"/>
      <c r="B425"/>
      <c r="F425" s="8"/>
    </row>
    <row r="426" spans="1:6" x14ac:dyDescent="0.25">
      <c r="A426"/>
      <c r="B426"/>
      <c r="F426" s="8"/>
    </row>
    <row r="427" spans="1:6" x14ac:dyDescent="0.25">
      <c r="A427"/>
      <c r="B427"/>
      <c r="F427" s="8"/>
    </row>
    <row r="428" spans="1:6" x14ac:dyDescent="0.25">
      <c r="A428"/>
      <c r="B428"/>
      <c r="F428" s="8"/>
    </row>
    <row r="429" spans="1:6" x14ac:dyDescent="0.25">
      <c r="A429"/>
      <c r="B429"/>
      <c r="F429" s="8"/>
    </row>
    <row r="430" spans="1:6" x14ac:dyDescent="0.25">
      <c r="A430"/>
      <c r="B430"/>
      <c r="F430" s="8"/>
    </row>
    <row r="431" spans="1:6" x14ac:dyDescent="0.25">
      <c r="A431"/>
      <c r="B431"/>
      <c r="F431" s="8"/>
    </row>
    <row r="432" spans="1:6" x14ac:dyDescent="0.25">
      <c r="A432"/>
      <c r="B432"/>
      <c r="F432" s="8"/>
    </row>
    <row r="433" spans="1:6" x14ac:dyDescent="0.25">
      <c r="A433"/>
      <c r="B433"/>
      <c r="F433" s="8"/>
    </row>
    <row r="434" spans="1:6" x14ac:dyDescent="0.25">
      <c r="A434"/>
      <c r="B434"/>
      <c r="F434" s="8"/>
    </row>
    <row r="435" spans="1:6" x14ac:dyDescent="0.25">
      <c r="A435"/>
      <c r="B435"/>
      <c r="F435" s="8"/>
    </row>
    <row r="436" spans="1:6" x14ac:dyDescent="0.25">
      <c r="A436"/>
      <c r="B436"/>
      <c r="F436" s="8"/>
    </row>
    <row r="437" spans="1:6" x14ac:dyDescent="0.25">
      <c r="A437"/>
      <c r="B437"/>
      <c r="F437" s="8"/>
    </row>
    <row r="438" spans="1:6" x14ac:dyDescent="0.25">
      <c r="A438"/>
      <c r="B438"/>
      <c r="F438" s="8"/>
    </row>
    <row r="439" spans="1:6" x14ac:dyDescent="0.25">
      <c r="A439"/>
      <c r="B439"/>
      <c r="F439" s="8"/>
    </row>
    <row r="440" spans="1:6" x14ac:dyDescent="0.25">
      <c r="A440"/>
      <c r="B440"/>
      <c r="F440" s="8"/>
    </row>
    <row r="441" spans="1:6" x14ac:dyDescent="0.25">
      <c r="A441"/>
      <c r="B441"/>
      <c r="F441" s="8"/>
    </row>
    <row r="442" spans="1:6" x14ac:dyDescent="0.25">
      <c r="A442"/>
      <c r="B442"/>
      <c r="F442" s="8"/>
    </row>
    <row r="443" spans="1:6" x14ac:dyDescent="0.25">
      <c r="A443"/>
      <c r="B443"/>
      <c r="F443" s="8"/>
    </row>
    <row r="444" spans="1:6" x14ac:dyDescent="0.25">
      <c r="A444"/>
      <c r="B444"/>
      <c r="F444" s="8"/>
    </row>
    <row r="445" spans="1:6" x14ac:dyDescent="0.25">
      <c r="A445"/>
      <c r="B445"/>
      <c r="F445" s="8"/>
    </row>
    <row r="446" spans="1:6" x14ac:dyDescent="0.25">
      <c r="A446"/>
      <c r="B446"/>
      <c r="F446" s="8"/>
    </row>
    <row r="447" spans="1:6" x14ac:dyDescent="0.25">
      <c r="A447"/>
      <c r="B447"/>
      <c r="F447" s="8"/>
    </row>
    <row r="448" spans="1:6" x14ac:dyDescent="0.25">
      <c r="A448"/>
      <c r="B448"/>
      <c r="F448" s="8"/>
    </row>
    <row r="449" spans="1:6" x14ac:dyDescent="0.25">
      <c r="A449"/>
      <c r="B449"/>
      <c r="F449" s="8"/>
    </row>
    <row r="450" spans="1:6" x14ac:dyDescent="0.25">
      <c r="A450"/>
      <c r="B450"/>
      <c r="F450" s="8"/>
    </row>
    <row r="451" spans="1:6" x14ac:dyDescent="0.25">
      <c r="A451"/>
      <c r="B451"/>
      <c r="F451" s="8"/>
    </row>
    <row r="452" spans="1:6" x14ac:dyDescent="0.25">
      <c r="A452"/>
      <c r="B452"/>
      <c r="F452" s="8"/>
    </row>
    <row r="453" spans="1:6" x14ac:dyDescent="0.25">
      <c r="A453"/>
      <c r="B453"/>
      <c r="F453" s="8"/>
    </row>
    <row r="454" spans="1:6" x14ac:dyDescent="0.25">
      <c r="A454"/>
      <c r="B454"/>
      <c r="F454" s="8"/>
    </row>
    <row r="455" spans="1:6" x14ac:dyDescent="0.25">
      <c r="A455"/>
      <c r="B455"/>
      <c r="F455" s="8"/>
    </row>
    <row r="456" spans="1:6" x14ac:dyDescent="0.25">
      <c r="A456"/>
      <c r="B456"/>
      <c r="F456" s="8"/>
    </row>
    <row r="457" spans="1:6" x14ac:dyDescent="0.25">
      <c r="A457"/>
      <c r="B457"/>
      <c r="F457" s="8"/>
    </row>
    <row r="458" spans="1:6" x14ac:dyDescent="0.25">
      <c r="A458"/>
      <c r="B458"/>
      <c r="F458" s="8"/>
    </row>
    <row r="459" spans="1:6" x14ac:dyDescent="0.25">
      <c r="A459"/>
      <c r="B459"/>
      <c r="F459" s="8"/>
    </row>
    <row r="460" spans="1:6" x14ac:dyDescent="0.25">
      <c r="A460"/>
      <c r="B460"/>
      <c r="F460" s="8"/>
    </row>
    <row r="461" spans="1:6" x14ac:dyDescent="0.25">
      <c r="A461"/>
      <c r="B461"/>
      <c r="F461" s="8"/>
    </row>
    <row r="462" spans="1:6" x14ac:dyDescent="0.25">
      <c r="A462"/>
      <c r="B462"/>
      <c r="F462" s="8"/>
    </row>
    <row r="463" spans="1:6" x14ac:dyDescent="0.25">
      <c r="A463"/>
      <c r="B463"/>
      <c r="F463" s="8"/>
    </row>
    <row r="464" spans="1:6" x14ac:dyDescent="0.25">
      <c r="A464"/>
      <c r="B464"/>
      <c r="F464" s="8"/>
    </row>
    <row r="465" spans="1:6" x14ac:dyDescent="0.25">
      <c r="A465"/>
      <c r="B465"/>
      <c r="F465" s="8"/>
    </row>
    <row r="466" spans="1:6" x14ac:dyDescent="0.25">
      <c r="A466"/>
      <c r="B466"/>
      <c r="F466" s="8"/>
    </row>
    <row r="467" spans="1:6" x14ac:dyDescent="0.25">
      <c r="A467"/>
      <c r="B467"/>
      <c r="F467" s="8"/>
    </row>
    <row r="468" spans="1:6" x14ac:dyDescent="0.25">
      <c r="A468"/>
      <c r="B468"/>
      <c r="F468" s="8"/>
    </row>
    <row r="469" spans="1:6" x14ac:dyDescent="0.25">
      <c r="A469"/>
      <c r="B469"/>
      <c r="F469" s="8"/>
    </row>
    <row r="470" spans="1:6" x14ac:dyDescent="0.25">
      <c r="A470"/>
      <c r="B470"/>
      <c r="F470" s="8"/>
    </row>
    <row r="471" spans="1:6" x14ac:dyDescent="0.25">
      <c r="A471"/>
      <c r="B471"/>
      <c r="F471" s="8"/>
    </row>
    <row r="472" spans="1:6" x14ac:dyDescent="0.25">
      <c r="A472"/>
      <c r="B472"/>
      <c r="F472" s="8"/>
    </row>
    <row r="473" spans="1:6" x14ac:dyDescent="0.25">
      <c r="A473"/>
      <c r="B473"/>
      <c r="F473" s="8"/>
    </row>
    <row r="474" spans="1:6" x14ac:dyDescent="0.25">
      <c r="A474"/>
      <c r="B474"/>
      <c r="F474" s="8"/>
    </row>
    <row r="475" spans="1:6" x14ac:dyDescent="0.25">
      <c r="A475"/>
      <c r="B475"/>
      <c r="F475" s="8"/>
    </row>
    <row r="476" spans="1:6" x14ac:dyDescent="0.25">
      <c r="A476"/>
      <c r="B476"/>
      <c r="F476" s="8"/>
    </row>
    <row r="477" spans="1:6" x14ac:dyDescent="0.25">
      <c r="A477"/>
      <c r="B477"/>
      <c r="F477" s="8"/>
    </row>
    <row r="478" spans="1:6" x14ac:dyDescent="0.25">
      <c r="A478"/>
      <c r="B478"/>
      <c r="F478" s="8"/>
    </row>
    <row r="479" spans="1:6" x14ac:dyDescent="0.25">
      <c r="A479"/>
      <c r="B479"/>
      <c r="F479" s="8"/>
    </row>
    <row r="480" spans="1:6" x14ac:dyDescent="0.25">
      <c r="A480"/>
      <c r="B480"/>
      <c r="F480" s="8"/>
    </row>
    <row r="481" spans="1:6" x14ac:dyDescent="0.25">
      <c r="A481"/>
      <c r="B481"/>
      <c r="F481" s="8"/>
    </row>
    <row r="482" spans="1:6" x14ac:dyDescent="0.25">
      <c r="A482"/>
      <c r="B482"/>
      <c r="F482" s="8"/>
    </row>
    <row r="483" spans="1:6" x14ac:dyDescent="0.25">
      <c r="A483"/>
      <c r="B483"/>
      <c r="F483" s="8"/>
    </row>
    <row r="484" spans="1:6" x14ac:dyDescent="0.25">
      <c r="A484"/>
      <c r="B484"/>
      <c r="F484" s="8"/>
    </row>
    <row r="485" spans="1:6" x14ac:dyDescent="0.25">
      <c r="A485"/>
      <c r="B485"/>
      <c r="F485" s="8"/>
    </row>
    <row r="486" spans="1:6" x14ac:dyDescent="0.25">
      <c r="A486"/>
      <c r="B486"/>
      <c r="F486" s="8"/>
    </row>
    <row r="487" spans="1:6" x14ac:dyDescent="0.25">
      <c r="A487"/>
      <c r="B487"/>
      <c r="F487" s="8"/>
    </row>
    <row r="488" spans="1:6" x14ac:dyDescent="0.25">
      <c r="A488"/>
      <c r="B488"/>
      <c r="F488" s="8"/>
    </row>
    <row r="489" spans="1:6" x14ac:dyDescent="0.25">
      <c r="A489"/>
      <c r="B489"/>
      <c r="F489" s="8"/>
    </row>
    <row r="490" spans="1:6" x14ac:dyDescent="0.25">
      <c r="A490"/>
      <c r="B490"/>
      <c r="F490" s="8"/>
    </row>
    <row r="491" spans="1:6" x14ac:dyDescent="0.25">
      <c r="A491"/>
      <c r="B491"/>
      <c r="F491" s="8"/>
    </row>
    <row r="492" spans="1:6" x14ac:dyDescent="0.25">
      <c r="A492"/>
      <c r="B492"/>
      <c r="F492" s="8"/>
    </row>
    <row r="493" spans="1:6" x14ac:dyDescent="0.25">
      <c r="A493"/>
      <c r="B493"/>
      <c r="F493" s="8"/>
    </row>
    <row r="494" spans="1:6" x14ac:dyDescent="0.25">
      <c r="A494"/>
      <c r="B494"/>
      <c r="F494" s="8"/>
    </row>
    <row r="495" spans="1:6" x14ac:dyDescent="0.25">
      <c r="A495"/>
      <c r="B495"/>
      <c r="F495" s="8"/>
    </row>
    <row r="496" spans="1:6" x14ac:dyDescent="0.25">
      <c r="A496"/>
      <c r="B496"/>
      <c r="F496" s="8"/>
    </row>
    <row r="497" spans="1:6" x14ac:dyDescent="0.25">
      <c r="A497"/>
      <c r="B497"/>
      <c r="F497" s="8"/>
    </row>
    <row r="498" spans="1:6" x14ac:dyDescent="0.25">
      <c r="A498"/>
      <c r="B498"/>
      <c r="F498" s="8"/>
    </row>
    <row r="499" spans="1:6" x14ac:dyDescent="0.25">
      <c r="A499"/>
      <c r="B499"/>
      <c r="F499" s="8"/>
    </row>
    <row r="500" spans="1:6" x14ac:dyDescent="0.25">
      <c r="A500"/>
      <c r="B500"/>
      <c r="F500" s="8"/>
    </row>
    <row r="501" spans="1:6" x14ac:dyDescent="0.25">
      <c r="A501"/>
      <c r="B501"/>
      <c r="F501" s="8"/>
    </row>
    <row r="502" spans="1:6" x14ac:dyDescent="0.25">
      <c r="A502"/>
      <c r="B502"/>
      <c r="F502" s="8"/>
    </row>
    <row r="503" spans="1:6" x14ac:dyDescent="0.25">
      <c r="A503"/>
      <c r="B503"/>
      <c r="F503" s="8"/>
    </row>
    <row r="504" spans="1:6" x14ac:dyDescent="0.25">
      <c r="A504"/>
      <c r="B504"/>
      <c r="F504" s="8"/>
    </row>
    <row r="505" spans="1:6" x14ac:dyDescent="0.25">
      <c r="A505"/>
      <c r="B505"/>
      <c r="F505" s="8"/>
    </row>
    <row r="506" spans="1:6" x14ac:dyDescent="0.25">
      <c r="A506"/>
      <c r="B506"/>
      <c r="F506" s="8"/>
    </row>
    <row r="507" spans="1:6" x14ac:dyDescent="0.25">
      <c r="A507"/>
      <c r="B507"/>
      <c r="F507" s="8"/>
    </row>
    <row r="508" spans="1:6" x14ac:dyDescent="0.25">
      <c r="A508"/>
      <c r="B508"/>
      <c r="F508" s="8"/>
    </row>
    <row r="509" spans="1:6" x14ac:dyDescent="0.25">
      <c r="A509"/>
      <c r="B509"/>
      <c r="F509" s="8"/>
    </row>
    <row r="510" spans="1:6" x14ac:dyDescent="0.25">
      <c r="A510"/>
      <c r="B510"/>
      <c r="F510" s="8"/>
    </row>
    <row r="511" spans="1:6" x14ac:dyDescent="0.25">
      <c r="A511"/>
      <c r="B511"/>
      <c r="F511" s="8"/>
    </row>
    <row r="512" spans="1:6" x14ac:dyDescent="0.25">
      <c r="A512"/>
      <c r="B512"/>
      <c r="F512" s="8"/>
    </row>
    <row r="513" spans="1:6" x14ac:dyDescent="0.25">
      <c r="A513"/>
      <c r="B513"/>
      <c r="F513" s="8"/>
    </row>
    <row r="514" spans="1:6" x14ac:dyDescent="0.25">
      <c r="A514"/>
      <c r="B514"/>
      <c r="F514" s="8"/>
    </row>
    <row r="515" spans="1:6" x14ac:dyDescent="0.25">
      <c r="A515"/>
      <c r="B515"/>
      <c r="F515" s="8"/>
    </row>
    <row r="516" spans="1:6" x14ac:dyDescent="0.25">
      <c r="A516"/>
      <c r="B516"/>
      <c r="F516" s="8"/>
    </row>
    <row r="517" spans="1:6" x14ac:dyDescent="0.25">
      <c r="A517"/>
      <c r="B517"/>
      <c r="F517" s="8"/>
    </row>
    <row r="518" spans="1:6" x14ac:dyDescent="0.25">
      <c r="A518"/>
      <c r="B518"/>
      <c r="F518" s="8"/>
    </row>
    <row r="519" spans="1:6" x14ac:dyDescent="0.25">
      <c r="A519"/>
      <c r="B519"/>
      <c r="F519" s="8"/>
    </row>
    <row r="520" spans="1:6" x14ac:dyDescent="0.25">
      <c r="A520"/>
      <c r="B520"/>
      <c r="F520" s="8"/>
    </row>
    <row r="521" spans="1:6" x14ac:dyDescent="0.25">
      <c r="A521"/>
      <c r="B521"/>
      <c r="F521" s="8"/>
    </row>
    <row r="522" spans="1:6" x14ac:dyDescent="0.25">
      <c r="A522"/>
      <c r="B522"/>
      <c r="F522" s="8"/>
    </row>
    <row r="523" spans="1:6" x14ac:dyDescent="0.25">
      <c r="A523"/>
      <c r="B523"/>
      <c r="F523" s="8"/>
    </row>
    <row r="524" spans="1:6" x14ac:dyDescent="0.25">
      <c r="A524"/>
      <c r="B524"/>
      <c r="F524" s="8"/>
    </row>
    <row r="525" spans="1:6" x14ac:dyDescent="0.25">
      <c r="A525"/>
      <c r="B525"/>
      <c r="F525" s="8"/>
    </row>
    <row r="526" spans="1:6" x14ac:dyDescent="0.25">
      <c r="A526"/>
      <c r="B526"/>
      <c r="F526" s="8"/>
    </row>
    <row r="527" spans="1:6" x14ac:dyDescent="0.25">
      <c r="A527"/>
      <c r="B527"/>
      <c r="F527" s="8"/>
    </row>
    <row r="528" spans="1:6" x14ac:dyDescent="0.25">
      <c r="A528"/>
      <c r="B528"/>
      <c r="F528" s="8"/>
    </row>
    <row r="529" spans="1:6" x14ac:dyDescent="0.25">
      <c r="A529"/>
      <c r="B529"/>
      <c r="F529" s="8"/>
    </row>
    <row r="530" spans="1:6" x14ac:dyDescent="0.25">
      <c r="A530"/>
      <c r="B530"/>
      <c r="F530" s="8"/>
    </row>
    <row r="531" spans="1:6" x14ac:dyDescent="0.25">
      <c r="A531"/>
      <c r="B531"/>
      <c r="F531" s="8"/>
    </row>
    <row r="532" spans="1:6" x14ac:dyDescent="0.25">
      <c r="A532"/>
      <c r="B532"/>
      <c r="F532" s="8"/>
    </row>
    <row r="533" spans="1:6" x14ac:dyDescent="0.25">
      <c r="A533"/>
      <c r="B533"/>
      <c r="F533" s="8"/>
    </row>
    <row r="534" spans="1:6" x14ac:dyDescent="0.25">
      <c r="A534"/>
      <c r="B534"/>
      <c r="F534" s="8"/>
    </row>
    <row r="535" spans="1:6" x14ac:dyDescent="0.25">
      <c r="A535"/>
      <c r="B535"/>
      <c r="F535" s="8"/>
    </row>
    <row r="536" spans="1:6" x14ac:dyDescent="0.25">
      <c r="A536"/>
      <c r="B536"/>
      <c r="F536" s="8"/>
    </row>
    <row r="537" spans="1:6" x14ac:dyDescent="0.25">
      <c r="A537"/>
      <c r="B537"/>
      <c r="F537" s="8"/>
    </row>
    <row r="538" spans="1:6" x14ac:dyDescent="0.25">
      <c r="A538"/>
      <c r="B538"/>
      <c r="F538" s="8"/>
    </row>
    <row r="539" spans="1:6" x14ac:dyDescent="0.25">
      <c r="A539"/>
      <c r="B539"/>
      <c r="F539" s="8"/>
    </row>
    <row r="540" spans="1:6" x14ac:dyDescent="0.25">
      <c r="A540"/>
      <c r="B540"/>
      <c r="F540" s="8"/>
    </row>
    <row r="541" spans="1:6" x14ac:dyDescent="0.25">
      <c r="A541"/>
      <c r="B541"/>
      <c r="F541" s="8"/>
    </row>
    <row r="542" spans="1:6" x14ac:dyDescent="0.25">
      <c r="A542"/>
      <c r="B542"/>
      <c r="F542" s="8"/>
    </row>
    <row r="543" spans="1:6" x14ac:dyDescent="0.25">
      <c r="A543"/>
      <c r="B543"/>
      <c r="F543" s="8"/>
    </row>
    <row r="544" spans="1:6" x14ac:dyDescent="0.25">
      <c r="A544"/>
      <c r="B544"/>
      <c r="F544" s="8"/>
    </row>
    <row r="545" spans="1:6" x14ac:dyDescent="0.25">
      <c r="A545"/>
      <c r="B545"/>
      <c r="F545" s="8"/>
    </row>
    <row r="546" spans="1:6" x14ac:dyDescent="0.25">
      <c r="A546"/>
      <c r="B546"/>
      <c r="F546" s="8"/>
    </row>
    <row r="547" spans="1:6" x14ac:dyDescent="0.25">
      <c r="A547"/>
      <c r="B547"/>
      <c r="F547" s="8"/>
    </row>
    <row r="548" spans="1:6" x14ac:dyDescent="0.25">
      <c r="A548"/>
      <c r="B548"/>
      <c r="F548" s="8"/>
    </row>
    <row r="549" spans="1:6" x14ac:dyDescent="0.25">
      <c r="A549"/>
      <c r="B549"/>
      <c r="F549" s="8"/>
    </row>
    <row r="550" spans="1:6" x14ac:dyDescent="0.25">
      <c r="A550"/>
      <c r="B550"/>
    </row>
    <row r="551" spans="1:6" x14ac:dyDescent="0.25">
      <c r="A551"/>
      <c r="B551"/>
    </row>
    <row r="552" spans="1:6" x14ac:dyDescent="0.25">
      <c r="A552"/>
      <c r="B552"/>
    </row>
    <row r="553" spans="1:6" x14ac:dyDescent="0.25">
      <c r="A553"/>
      <c r="B553"/>
    </row>
    <row r="554" spans="1:6" x14ac:dyDescent="0.25">
      <c r="A554"/>
      <c r="B554"/>
    </row>
    <row r="555" spans="1:6" x14ac:dyDescent="0.25">
      <c r="A555"/>
      <c r="B555"/>
    </row>
    <row r="556" spans="1:6" x14ac:dyDescent="0.25">
      <c r="A556"/>
      <c r="B556"/>
    </row>
    <row r="557" spans="1:6" x14ac:dyDescent="0.25">
      <c r="A557"/>
      <c r="B557"/>
    </row>
    <row r="558" spans="1:6" x14ac:dyDescent="0.25">
      <c r="A558"/>
      <c r="B558"/>
    </row>
    <row r="559" spans="1:6" x14ac:dyDescent="0.25">
      <c r="A559"/>
      <c r="B559"/>
    </row>
    <row r="560" spans="1:6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  <row r="1223" spans="1:2" x14ac:dyDescent="0.25">
      <c r="A1223"/>
      <c r="B1223"/>
    </row>
    <row r="1224" spans="1:2" x14ac:dyDescent="0.25">
      <c r="A1224"/>
      <c r="B1224"/>
    </row>
    <row r="1225" spans="1:2" x14ac:dyDescent="0.25">
      <c r="A1225"/>
      <c r="B1225"/>
    </row>
    <row r="1226" spans="1:2" x14ac:dyDescent="0.25">
      <c r="A1226"/>
      <c r="B1226"/>
    </row>
    <row r="1227" spans="1:2" x14ac:dyDescent="0.25">
      <c r="A1227"/>
      <c r="B1227"/>
    </row>
    <row r="1228" spans="1:2" x14ac:dyDescent="0.25">
      <c r="A1228"/>
      <c r="B1228"/>
    </row>
    <row r="1229" spans="1:2" x14ac:dyDescent="0.25">
      <c r="A1229"/>
      <c r="B1229"/>
    </row>
    <row r="1230" spans="1:2" x14ac:dyDescent="0.25">
      <c r="A1230"/>
      <c r="B1230"/>
    </row>
    <row r="1231" spans="1:2" x14ac:dyDescent="0.25">
      <c r="A1231"/>
      <c r="B1231"/>
    </row>
    <row r="1232" spans="1:2" x14ac:dyDescent="0.25">
      <c r="A1232"/>
      <c r="B1232"/>
    </row>
    <row r="1233" spans="1:2" x14ac:dyDescent="0.25">
      <c r="A1233"/>
      <c r="B1233"/>
    </row>
    <row r="1234" spans="1:2" x14ac:dyDescent="0.25">
      <c r="A1234"/>
      <c r="B1234"/>
    </row>
    <row r="1235" spans="1:2" x14ac:dyDescent="0.25">
      <c r="A1235"/>
      <c r="B1235"/>
    </row>
    <row r="1236" spans="1:2" x14ac:dyDescent="0.25">
      <c r="A1236"/>
      <c r="B1236"/>
    </row>
    <row r="1237" spans="1:2" x14ac:dyDescent="0.25">
      <c r="A1237"/>
      <c r="B1237"/>
    </row>
    <row r="1238" spans="1:2" x14ac:dyDescent="0.25">
      <c r="A1238"/>
      <c r="B1238"/>
    </row>
    <row r="1239" spans="1:2" x14ac:dyDescent="0.25">
      <c r="A1239"/>
      <c r="B1239"/>
    </row>
    <row r="1240" spans="1:2" x14ac:dyDescent="0.25">
      <c r="A1240"/>
      <c r="B1240"/>
    </row>
    <row r="1241" spans="1:2" x14ac:dyDescent="0.25">
      <c r="A1241"/>
      <c r="B1241"/>
    </row>
    <row r="1242" spans="1:2" x14ac:dyDescent="0.25">
      <c r="A1242"/>
      <c r="B1242"/>
    </row>
    <row r="1243" spans="1:2" x14ac:dyDescent="0.25">
      <c r="A1243"/>
      <c r="B1243"/>
    </row>
    <row r="1244" spans="1:2" x14ac:dyDescent="0.25">
      <c r="A1244"/>
      <c r="B1244"/>
    </row>
    <row r="1245" spans="1:2" x14ac:dyDescent="0.25">
      <c r="A1245"/>
      <c r="B1245"/>
    </row>
    <row r="1246" spans="1:2" x14ac:dyDescent="0.25">
      <c r="A1246"/>
      <c r="B1246"/>
    </row>
    <row r="1247" spans="1:2" x14ac:dyDescent="0.25">
      <c r="A1247"/>
      <c r="B1247"/>
    </row>
    <row r="1248" spans="1:2" x14ac:dyDescent="0.25">
      <c r="A1248"/>
      <c r="B1248"/>
    </row>
    <row r="1249" spans="1:2" x14ac:dyDescent="0.25">
      <c r="A1249"/>
      <c r="B1249"/>
    </row>
    <row r="1250" spans="1:2" x14ac:dyDescent="0.25">
      <c r="A1250"/>
      <c r="B1250"/>
    </row>
    <row r="1251" spans="1:2" x14ac:dyDescent="0.25">
      <c r="A1251"/>
      <c r="B1251"/>
    </row>
    <row r="1252" spans="1:2" x14ac:dyDescent="0.25">
      <c r="A1252"/>
      <c r="B1252"/>
    </row>
    <row r="1253" spans="1:2" x14ac:dyDescent="0.25">
      <c r="A1253"/>
      <c r="B1253"/>
    </row>
    <row r="1254" spans="1:2" x14ac:dyDescent="0.25">
      <c r="A1254"/>
      <c r="B1254"/>
    </row>
    <row r="1255" spans="1:2" x14ac:dyDescent="0.25">
      <c r="A1255"/>
      <c r="B1255"/>
    </row>
    <row r="1256" spans="1:2" x14ac:dyDescent="0.25">
      <c r="A1256"/>
      <c r="B1256"/>
    </row>
    <row r="1257" spans="1:2" x14ac:dyDescent="0.25">
      <c r="A1257"/>
      <c r="B1257"/>
    </row>
    <row r="1258" spans="1:2" x14ac:dyDescent="0.25">
      <c r="A1258"/>
      <c r="B1258"/>
    </row>
    <row r="1259" spans="1:2" x14ac:dyDescent="0.25">
      <c r="A1259"/>
      <c r="B1259"/>
    </row>
    <row r="1260" spans="1:2" x14ac:dyDescent="0.25">
      <c r="A1260"/>
      <c r="B1260"/>
    </row>
    <row r="1261" spans="1:2" x14ac:dyDescent="0.25">
      <c r="A1261"/>
      <c r="B1261"/>
    </row>
    <row r="1262" spans="1:2" x14ac:dyDescent="0.25">
      <c r="A1262"/>
      <c r="B1262"/>
    </row>
    <row r="1263" spans="1:2" x14ac:dyDescent="0.25">
      <c r="A1263"/>
      <c r="B1263"/>
    </row>
    <row r="1264" spans="1:2" x14ac:dyDescent="0.25">
      <c r="A1264"/>
      <c r="B1264"/>
    </row>
    <row r="1265" spans="1:2" x14ac:dyDescent="0.25">
      <c r="A1265"/>
      <c r="B1265"/>
    </row>
    <row r="1266" spans="1:2" x14ac:dyDescent="0.25">
      <c r="A1266"/>
      <c r="B1266"/>
    </row>
    <row r="1267" spans="1:2" x14ac:dyDescent="0.25">
      <c r="A1267"/>
      <c r="B1267"/>
    </row>
    <row r="1268" spans="1:2" x14ac:dyDescent="0.25">
      <c r="A1268"/>
      <c r="B1268"/>
    </row>
    <row r="1269" spans="1:2" x14ac:dyDescent="0.25">
      <c r="A1269"/>
      <c r="B1269"/>
    </row>
    <row r="1270" spans="1:2" x14ac:dyDescent="0.25">
      <c r="A1270"/>
      <c r="B1270"/>
    </row>
    <row r="1271" spans="1:2" x14ac:dyDescent="0.25">
      <c r="A1271"/>
      <c r="B1271"/>
    </row>
    <row r="1272" spans="1:2" x14ac:dyDescent="0.25">
      <c r="A1272"/>
      <c r="B1272"/>
    </row>
    <row r="1273" spans="1:2" x14ac:dyDescent="0.25">
      <c r="A1273"/>
      <c r="B1273"/>
    </row>
    <row r="1274" spans="1:2" x14ac:dyDescent="0.25">
      <c r="A1274"/>
      <c r="B1274"/>
    </row>
    <row r="1275" spans="1:2" x14ac:dyDescent="0.25">
      <c r="A1275"/>
      <c r="B1275"/>
    </row>
    <row r="1276" spans="1:2" x14ac:dyDescent="0.25">
      <c r="A1276"/>
      <c r="B1276"/>
    </row>
    <row r="1277" spans="1:2" x14ac:dyDescent="0.25">
      <c r="A1277"/>
      <c r="B1277"/>
    </row>
    <row r="1278" spans="1:2" x14ac:dyDescent="0.25">
      <c r="A1278"/>
      <c r="B1278"/>
    </row>
    <row r="1279" spans="1:2" x14ac:dyDescent="0.25">
      <c r="A1279"/>
      <c r="B1279"/>
    </row>
    <row r="1280" spans="1:2" x14ac:dyDescent="0.25">
      <c r="A1280"/>
      <c r="B1280"/>
    </row>
    <row r="1281" spans="1:2" x14ac:dyDescent="0.25">
      <c r="A1281"/>
      <c r="B1281"/>
    </row>
    <row r="1282" spans="1:2" x14ac:dyDescent="0.25">
      <c r="A1282"/>
      <c r="B1282"/>
    </row>
    <row r="1283" spans="1:2" x14ac:dyDescent="0.25">
      <c r="A1283"/>
      <c r="B1283"/>
    </row>
    <row r="1284" spans="1:2" x14ac:dyDescent="0.25">
      <c r="A1284"/>
      <c r="B1284"/>
    </row>
    <row r="1285" spans="1:2" x14ac:dyDescent="0.25">
      <c r="A1285"/>
      <c r="B1285"/>
    </row>
    <row r="1286" spans="1:2" x14ac:dyDescent="0.25">
      <c r="A1286"/>
      <c r="B1286"/>
    </row>
    <row r="1287" spans="1:2" x14ac:dyDescent="0.25">
      <c r="A1287"/>
      <c r="B1287"/>
    </row>
    <row r="1288" spans="1:2" x14ac:dyDescent="0.25">
      <c r="A1288"/>
      <c r="B1288"/>
    </row>
    <row r="1289" spans="1:2" x14ac:dyDescent="0.25">
      <c r="A1289"/>
      <c r="B1289"/>
    </row>
    <row r="1290" spans="1:2" x14ac:dyDescent="0.25">
      <c r="A1290"/>
      <c r="B1290"/>
    </row>
    <row r="1291" spans="1:2" x14ac:dyDescent="0.25">
      <c r="A1291"/>
      <c r="B1291"/>
    </row>
    <row r="1292" spans="1:2" x14ac:dyDescent="0.25">
      <c r="A1292"/>
      <c r="B1292"/>
    </row>
    <row r="1293" spans="1:2" x14ac:dyDescent="0.25">
      <c r="A1293"/>
      <c r="B1293"/>
    </row>
    <row r="1294" spans="1:2" x14ac:dyDescent="0.25">
      <c r="A1294"/>
      <c r="B1294"/>
    </row>
    <row r="1295" spans="1:2" x14ac:dyDescent="0.25">
      <c r="A1295"/>
      <c r="B1295"/>
    </row>
    <row r="1296" spans="1:2" x14ac:dyDescent="0.25">
      <c r="A1296"/>
      <c r="B1296"/>
    </row>
    <row r="1297" spans="1:2" x14ac:dyDescent="0.25">
      <c r="A1297"/>
      <c r="B1297"/>
    </row>
    <row r="1298" spans="1:2" x14ac:dyDescent="0.25">
      <c r="A1298"/>
      <c r="B1298"/>
    </row>
    <row r="1299" spans="1:2" x14ac:dyDescent="0.25">
      <c r="A1299"/>
      <c r="B1299"/>
    </row>
    <row r="1300" spans="1:2" x14ac:dyDescent="0.25">
      <c r="A1300"/>
      <c r="B1300"/>
    </row>
    <row r="1301" spans="1:2" x14ac:dyDescent="0.25">
      <c r="A1301"/>
      <c r="B1301"/>
    </row>
    <row r="1302" spans="1:2" x14ac:dyDescent="0.25">
      <c r="A1302"/>
      <c r="B1302"/>
    </row>
    <row r="1303" spans="1:2" x14ac:dyDescent="0.25">
      <c r="A1303"/>
      <c r="B1303"/>
    </row>
    <row r="1304" spans="1:2" x14ac:dyDescent="0.25">
      <c r="A1304"/>
      <c r="B1304"/>
    </row>
    <row r="1305" spans="1:2" x14ac:dyDescent="0.25">
      <c r="A1305"/>
      <c r="B1305"/>
    </row>
    <row r="1306" spans="1:2" x14ac:dyDescent="0.25">
      <c r="A1306"/>
      <c r="B1306"/>
    </row>
    <row r="1307" spans="1:2" x14ac:dyDescent="0.25">
      <c r="A1307"/>
      <c r="B1307"/>
    </row>
    <row r="1308" spans="1:2" x14ac:dyDescent="0.25">
      <c r="A1308"/>
      <c r="B1308"/>
    </row>
    <row r="1309" spans="1:2" x14ac:dyDescent="0.25">
      <c r="A1309"/>
      <c r="B1309"/>
    </row>
    <row r="1310" spans="1:2" x14ac:dyDescent="0.25">
      <c r="A1310"/>
      <c r="B1310"/>
    </row>
    <row r="1311" spans="1:2" x14ac:dyDescent="0.25">
      <c r="A1311"/>
      <c r="B1311"/>
    </row>
    <row r="1312" spans="1:2" x14ac:dyDescent="0.25">
      <c r="A1312"/>
      <c r="B1312"/>
    </row>
    <row r="1313" spans="1:2" x14ac:dyDescent="0.25">
      <c r="A1313"/>
      <c r="B1313"/>
    </row>
    <row r="1314" spans="1:2" x14ac:dyDescent="0.25">
      <c r="A1314"/>
      <c r="B1314"/>
    </row>
    <row r="1315" spans="1:2" x14ac:dyDescent="0.25">
      <c r="A1315"/>
      <c r="B1315"/>
    </row>
    <row r="1316" spans="1:2" x14ac:dyDescent="0.25">
      <c r="A1316"/>
      <c r="B1316"/>
    </row>
    <row r="1317" spans="1:2" x14ac:dyDescent="0.25">
      <c r="A1317"/>
      <c r="B1317"/>
    </row>
    <row r="1318" spans="1:2" x14ac:dyDescent="0.25">
      <c r="A1318"/>
      <c r="B1318"/>
    </row>
    <row r="1319" spans="1:2" x14ac:dyDescent="0.25">
      <c r="A1319"/>
      <c r="B1319"/>
    </row>
    <row r="1320" spans="1:2" x14ac:dyDescent="0.25">
      <c r="A1320"/>
      <c r="B1320"/>
    </row>
    <row r="1321" spans="1:2" x14ac:dyDescent="0.25">
      <c r="A1321"/>
      <c r="B1321"/>
    </row>
    <row r="1322" spans="1:2" x14ac:dyDescent="0.25">
      <c r="A1322"/>
      <c r="B1322"/>
    </row>
    <row r="1323" spans="1:2" x14ac:dyDescent="0.25">
      <c r="A1323"/>
      <c r="B1323"/>
    </row>
    <row r="1324" spans="1:2" x14ac:dyDescent="0.25">
      <c r="A1324"/>
      <c r="B1324"/>
    </row>
    <row r="1325" spans="1:2" x14ac:dyDescent="0.25">
      <c r="A1325"/>
      <c r="B1325"/>
    </row>
    <row r="1326" spans="1:2" x14ac:dyDescent="0.25">
      <c r="A1326"/>
      <c r="B1326"/>
    </row>
    <row r="1327" spans="1:2" x14ac:dyDescent="0.25">
      <c r="A1327"/>
      <c r="B1327"/>
    </row>
    <row r="1328" spans="1:2" x14ac:dyDescent="0.25">
      <c r="A1328"/>
      <c r="B1328"/>
    </row>
    <row r="1329" spans="1:2" x14ac:dyDescent="0.25">
      <c r="A1329"/>
      <c r="B1329"/>
    </row>
    <row r="1330" spans="1:2" x14ac:dyDescent="0.25">
      <c r="A1330"/>
      <c r="B1330"/>
    </row>
    <row r="1331" spans="1:2" x14ac:dyDescent="0.25">
      <c r="A1331"/>
      <c r="B1331"/>
    </row>
    <row r="1332" spans="1:2" x14ac:dyDescent="0.25">
      <c r="A1332"/>
      <c r="B1332"/>
    </row>
    <row r="1333" spans="1:2" x14ac:dyDescent="0.25">
      <c r="A1333"/>
      <c r="B1333"/>
    </row>
    <row r="1334" spans="1:2" x14ac:dyDescent="0.25">
      <c r="A1334"/>
      <c r="B1334"/>
    </row>
    <row r="1335" spans="1:2" x14ac:dyDescent="0.25">
      <c r="A1335"/>
      <c r="B1335"/>
    </row>
    <row r="1336" spans="1:2" x14ac:dyDescent="0.25">
      <c r="A1336"/>
      <c r="B1336"/>
    </row>
    <row r="1337" spans="1:2" x14ac:dyDescent="0.25">
      <c r="A1337"/>
      <c r="B1337"/>
    </row>
    <row r="1338" spans="1:2" x14ac:dyDescent="0.25">
      <c r="A1338"/>
      <c r="B1338"/>
    </row>
    <row r="1339" spans="1:2" x14ac:dyDescent="0.25">
      <c r="A1339"/>
      <c r="B1339"/>
    </row>
    <row r="1340" spans="1:2" x14ac:dyDescent="0.25">
      <c r="A1340"/>
      <c r="B1340"/>
    </row>
    <row r="1341" spans="1:2" x14ac:dyDescent="0.25">
      <c r="A1341"/>
      <c r="B1341"/>
    </row>
    <row r="1342" spans="1:2" x14ac:dyDescent="0.25">
      <c r="A1342"/>
      <c r="B1342"/>
    </row>
    <row r="1343" spans="1:2" x14ac:dyDescent="0.25">
      <c r="A1343"/>
      <c r="B1343"/>
    </row>
    <row r="1344" spans="1:2" x14ac:dyDescent="0.25">
      <c r="A1344"/>
      <c r="B1344"/>
    </row>
    <row r="1345" spans="1:2" x14ac:dyDescent="0.25">
      <c r="A1345"/>
      <c r="B1345"/>
    </row>
    <row r="1346" spans="1:2" x14ac:dyDescent="0.25">
      <c r="A1346"/>
      <c r="B1346"/>
    </row>
    <row r="1347" spans="1:2" x14ac:dyDescent="0.25">
      <c r="A1347"/>
      <c r="B1347"/>
    </row>
    <row r="1348" spans="1:2" x14ac:dyDescent="0.25">
      <c r="A1348"/>
      <c r="B1348"/>
    </row>
    <row r="1349" spans="1:2" x14ac:dyDescent="0.25">
      <c r="A1349"/>
      <c r="B1349"/>
    </row>
    <row r="1350" spans="1:2" x14ac:dyDescent="0.25">
      <c r="A1350"/>
      <c r="B1350"/>
    </row>
    <row r="1351" spans="1:2" x14ac:dyDescent="0.25">
      <c r="A1351"/>
      <c r="B1351"/>
    </row>
    <row r="1352" spans="1:2" x14ac:dyDescent="0.25">
      <c r="A1352"/>
      <c r="B1352"/>
    </row>
    <row r="1353" spans="1:2" x14ac:dyDescent="0.25">
      <c r="A1353"/>
      <c r="B1353"/>
    </row>
    <row r="1354" spans="1:2" x14ac:dyDescent="0.25">
      <c r="A1354"/>
      <c r="B1354"/>
    </row>
    <row r="1355" spans="1:2" x14ac:dyDescent="0.25">
      <c r="A1355"/>
      <c r="B1355"/>
    </row>
    <row r="1356" spans="1:2" x14ac:dyDescent="0.25">
      <c r="A1356"/>
      <c r="B1356"/>
    </row>
    <row r="1357" spans="1:2" x14ac:dyDescent="0.25">
      <c r="A1357"/>
      <c r="B1357"/>
    </row>
    <row r="1358" spans="1:2" x14ac:dyDescent="0.25">
      <c r="A1358"/>
      <c r="B1358"/>
    </row>
    <row r="1359" spans="1:2" x14ac:dyDescent="0.25">
      <c r="A1359"/>
      <c r="B1359"/>
    </row>
    <row r="1360" spans="1:2" x14ac:dyDescent="0.25">
      <c r="A1360"/>
      <c r="B1360"/>
    </row>
    <row r="1361" spans="1:2" x14ac:dyDescent="0.25">
      <c r="A1361"/>
      <c r="B1361"/>
    </row>
    <row r="1362" spans="1:2" x14ac:dyDescent="0.25">
      <c r="A1362"/>
      <c r="B1362"/>
    </row>
    <row r="1363" spans="1:2" x14ac:dyDescent="0.25">
      <c r="A1363"/>
      <c r="B1363"/>
    </row>
    <row r="1364" spans="1:2" x14ac:dyDescent="0.25">
      <c r="A1364"/>
      <c r="B1364"/>
    </row>
    <row r="1365" spans="1:2" x14ac:dyDescent="0.25">
      <c r="A1365"/>
      <c r="B1365"/>
    </row>
    <row r="1366" spans="1:2" x14ac:dyDescent="0.25">
      <c r="A1366"/>
      <c r="B1366"/>
    </row>
    <row r="1367" spans="1:2" x14ac:dyDescent="0.25">
      <c r="A1367"/>
      <c r="B1367"/>
    </row>
    <row r="1368" spans="1:2" x14ac:dyDescent="0.25">
      <c r="A1368"/>
      <c r="B1368"/>
    </row>
    <row r="1369" spans="1:2" x14ac:dyDescent="0.25">
      <c r="A1369"/>
      <c r="B1369"/>
    </row>
    <row r="1370" spans="1:2" x14ac:dyDescent="0.25">
      <c r="A1370"/>
      <c r="B1370"/>
    </row>
    <row r="1371" spans="1:2" x14ac:dyDescent="0.25">
      <c r="A1371"/>
      <c r="B1371"/>
    </row>
    <row r="1372" spans="1:2" x14ac:dyDescent="0.25">
      <c r="A1372"/>
      <c r="B1372"/>
    </row>
    <row r="1373" spans="1:2" x14ac:dyDescent="0.25">
      <c r="A1373"/>
      <c r="B1373"/>
    </row>
    <row r="1374" spans="1:2" x14ac:dyDescent="0.25">
      <c r="A1374"/>
      <c r="B1374"/>
    </row>
    <row r="1375" spans="1:2" x14ac:dyDescent="0.25">
      <c r="A1375"/>
      <c r="B1375"/>
    </row>
    <row r="1376" spans="1:2" x14ac:dyDescent="0.25">
      <c r="A1376"/>
      <c r="B1376"/>
    </row>
    <row r="1377" spans="1:2" x14ac:dyDescent="0.25">
      <c r="A1377"/>
      <c r="B1377"/>
    </row>
    <row r="1378" spans="1:2" x14ac:dyDescent="0.25">
      <c r="A1378"/>
      <c r="B1378"/>
    </row>
    <row r="1379" spans="1:2" x14ac:dyDescent="0.25">
      <c r="A1379"/>
      <c r="B1379"/>
    </row>
    <row r="1380" spans="1:2" x14ac:dyDescent="0.25">
      <c r="A1380"/>
      <c r="B1380"/>
    </row>
    <row r="1381" spans="1:2" x14ac:dyDescent="0.25">
      <c r="A1381"/>
      <c r="B1381"/>
    </row>
    <row r="1382" spans="1:2" x14ac:dyDescent="0.25">
      <c r="A1382"/>
      <c r="B1382"/>
    </row>
    <row r="1383" spans="1:2" x14ac:dyDescent="0.25">
      <c r="A1383"/>
      <c r="B1383"/>
    </row>
    <row r="1384" spans="1:2" x14ac:dyDescent="0.25">
      <c r="A1384"/>
      <c r="B1384"/>
    </row>
    <row r="1385" spans="1:2" x14ac:dyDescent="0.25">
      <c r="A1385"/>
      <c r="B1385"/>
    </row>
    <row r="1386" spans="1:2" x14ac:dyDescent="0.25">
      <c r="A1386"/>
      <c r="B1386"/>
    </row>
    <row r="1387" spans="1:2" x14ac:dyDescent="0.25">
      <c r="A1387"/>
      <c r="B1387"/>
    </row>
    <row r="1388" spans="1:2" x14ac:dyDescent="0.25">
      <c r="A1388"/>
      <c r="B1388"/>
    </row>
    <row r="1389" spans="1:2" x14ac:dyDescent="0.25">
      <c r="A1389"/>
      <c r="B1389"/>
    </row>
    <row r="1390" spans="1:2" x14ac:dyDescent="0.25">
      <c r="A1390"/>
      <c r="B1390"/>
    </row>
    <row r="1391" spans="1:2" x14ac:dyDescent="0.25">
      <c r="A1391"/>
      <c r="B1391"/>
    </row>
    <row r="1392" spans="1:2" x14ac:dyDescent="0.25">
      <c r="A1392"/>
      <c r="B1392"/>
    </row>
    <row r="1393" spans="1:2" x14ac:dyDescent="0.25">
      <c r="A1393"/>
      <c r="B1393"/>
    </row>
    <row r="1394" spans="1:2" x14ac:dyDescent="0.25">
      <c r="A1394"/>
      <c r="B1394"/>
    </row>
    <row r="1395" spans="1:2" x14ac:dyDescent="0.25">
      <c r="A1395"/>
      <c r="B1395"/>
    </row>
    <row r="1396" spans="1:2" x14ac:dyDescent="0.25">
      <c r="A1396"/>
      <c r="B1396"/>
    </row>
    <row r="1397" spans="1:2" x14ac:dyDescent="0.25">
      <c r="A1397"/>
      <c r="B1397"/>
    </row>
    <row r="1398" spans="1:2" x14ac:dyDescent="0.25">
      <c r="A1398"/>
      <c r="B1398"/>
    </row>
    <row r="1399" spans="1:2" x14ac:dyDescent="0.25">
      <c r="A1399"/>
      <c r="B1399"/>
    </row>
    <row r="1400" spans="1:2" x14ac:dyDescent="0.25">
      <c r="A1400"/>
      <c r="B1400"/>
    </row>
    <row r="1401" spans="1:2" x14ac:dyDescent="0.25">
      <c r="A1401"/>
      <c r="B1401"/>
    </row>
    <row r="1402" spans="1:2" x14ac:dyDescent="0.25">
      <c r="A1402"/>
      <c r="B1402"/>
    </row>
    <row r="1403" spans="1:2" x14ac:dyDescent="0.25">
      <c r="A1403"/>
      <c r="B1403"/>
    </row>
    <row r="1404" spans="1:2" x14ac:dyDescent="0.25">
      <c r="A1404"/>
      <c r="B1404"/>
    </row>
    <row r="1405" spans="1:2" x14ac:dyDescent="0.25">
      <c r="A1405"/>
      <c r="B1405"/>
    </row>
    <row r="1406" spans="1:2" x14ac:dyDescent="0.25">
      <c r="A1406"/>
      <c r="B1406"/>
    </row>
    <row r="1407" spans="1:2" x14ac:dyDescent="0.25">
      <c r="A1407"/>
      <c r="B1407"/>
    </row>
    <row r="1408" spans="1:2" x14ac:dyDescent="0.25">
      <c r="A1408"/>
      <c r="B1408"/>
    </row>
    <row r="1409" spans="1:2" x14ac:dyDescent="0.25">
      <c r="A1409"/>
      <c r="B1409"/>
    </row>
    <row r="1410" spans="1:2" x14ac:dyDescent="0.25">
      <c r="A1410"/>
      <c r="B1410"/>
    </row>
    <row r="1411" spans="1:2" x14ac:dyDescent="0.25">
      <c r="A1411"/>
      <c r="B1411"/>
    </row>
    <row r="1412" spans="1:2" x14ac:dyDescent="0.25">
      <c r="A1412"/>
      <c r="B1412"/>
    </row>
    <row r="1413" spans="1:2" x14ac:dyDescent="0.25">
      <c r="A1413"/>
      <c r="B1413"/>
    </row>
    <row r="1414" spans="1:2" x14ac:dyDescent="0.25">
      <c r="A1414"/>
      <c r="B1414"/>
    </row>
    <row r="1415" spans="1:2" x14ac:dyDescent="0.25">
      <c r="A1415"/>
      <c r="B1415"/>
    </row>
    <row r="1416" spans="1:2" x14ac:dyDescent="0.25">
      <c r="A1416"/>
      <c r="B1416"/>
    </row>
    <row r="1417" spans="1:2" x14ac:dyDescent="0.25">
      <c r="A1417"/>
      <c r="B1417"/>
    </row>
    <row r="1418" spans="1:2" x14ac:dyDescent="0.25">
      <c r="A1418"/>
      <c r="B1418"/>
    </row>
    <row r="1419" spans="1:2" x14ac:dyDescent="0.25">
      <c r="A1419"/>
      <c r="B1419"/>
    </row>
    <row r="1420" spans="1:2" x14ac:dyDescent="0.25">
      <c r="A1420"/>
      <c r="B1420"/>
    </row>
    <row r="1421" spans="1:2" x14ac:dyDescent="0.25">
      <c r="A1421"/>
      <c r="B1421"/>
    </row>
    <row r="1422" spans="1:2" x14ac:dyDescent="0.25">
      <c r="A1422"/>
      <c r="B1422"/>
    </row>
    <row r="1423" spans="1:2" x14ac:dyDescent="0.25">
      <c r="A1423"/>
      <c r="B1423"/>
    </row>
    <row r="1424" spans="1:2" x14ac:dyDescent="0.25">
      <c r="A1424"/>
      <c r="B1424"/>
    </row>
    <row r="1425" spans="1:2" x14ac:dyDescent="0.25">
      <c r="A1425"/>
      <c r="B1425"/>
    </row>
    <row r="1426" spans="1:2" x14ac:dyDescent="0.25">
      <c r="A1426"/>
      <c r="B1426"/>
    </row>
    <row r="1427" spans="1:2" x14ac:dyDescent="0.25">
      <c r="A1427"/>
      <c r="B1427"/>
    </row>
    <row r="1428" spans="1:2" x14ac:dyDescent="0.25">
      <c r="A1428"/>
      <c r="B1428"/>
    </row>
    <row r="1429" spans="1:2" x14ac:dyDescent="0.25">
      <c r="A1429"/>
      <c r="B1429"/>
    </row>
    <row r="1430" spans="1:2" x14ac:dyDescent="0.25">
      <c r="A1430"/>
      <c r="B1430"/>
    </row>
    <row r="1431" spans="1:2" x14ac:dyDescent="0.25">
      <c r="A1431"/>
      <c r="B1431"/>
    </row>
    <row r="1432" spans="1:2" x14ac:dyDescent="0.25">
      <c r="A1432"/>
      <c r="B1432"/>
    </row>
    <row r="1433" spans="1:2" x14ac:dyDescent="0.25">
      <c r="A1433"/>
      <c r="B1433"/>
    </row>
    <row r="1434" spans="1:2" x14ac:dyDescent="0.25">
      <c r="A1434"/>
      <c r="B1434"/>
    </row>
    <row r="1435" spans="1:2" x14ac:dyDescent="0.25">
      <c r="A1435"/>
      <c r="B1435"/>
    </row>
    <row r="1436" spans="1:2" x14ac:dyDescent="0.25">
      <c r="A1436"/>
      <c r="B1436"/>
    </row>
    <row r="1437" spans="1:2" x14ac:dyDescent="0.25">
      <c r="A1437"/>
      <c r="B1437"/>
    </row>
    <row r="1438" spans="1:2" x14ac:dyDescent="0.25">
      <c r="A1438"/>
      <c r="B1438"/>
    </row>
    <row r="1439" spans="1:2" x14ac:dyDescent="0.25">
      <c r="A1439"/>
      <c r="B1439"/>
    </row>
    <row r="1440" spans="1:2" x14ac:dyDescent="0.25">
      <c r="A1440"/>
      <c r="B1440"/>
    </row>
    <row r="1441" spans="1:2" x14ac:dyDescent="0.25">
      <c r="A1441"/>
      <c r="B1441"/>
    </row>
    <row r="1442" spans="1:2" x14ac:dyDescent="0.25">
      <c r="A1442"/>
      <c r="B1442"/>
    </row>
    <row r="1443" spans="1:2" x14ac:dyDescent="0.25">
      <c r="A1443"/>
      <c r="B1443"/>
    </row>
    <row r="1444" spans="1:2" x14ac:dyDescent="0.25">
      <c r="A1444"/>
      <c r="B1444"/>
    </row>
    <row r="1445" spans="1:2" x14ac:dyDescent="0.25">
      <c r="A1445"/>
      <c r="B1445"/>
    </row>
    <row r="1446" spans="1:2" x14ac:dyDescent="0.25">
      <c r="A1446"/>
      <c r="B1446"/>
    </row>
    <row r="1447" spans="1:2" x14ac:dyDescent="0.25">
      <c r="A1447"/>
      <c r="B1447"/>
    </row>
    <row r="1448" spans="1:2" x14ac:dyDescent="0.25">
      <c r="A1448"/>
      <c r="B1448"/>
    </row>
    <row r="1449" spans="1:2" x14ac:dyDescent="0.25">
      <c r="A1449"/>
      <c r="B1449"/>
    </row>
    <row r="1450" spans="1:2" x14ac:dyDescent="0.25">
      <c r="A1450"/>
      <c r="B1450"/>
    </row>
    <row r="1451" spans="1:2" x14ac:dyDescent="0.25">
      <c r="A1451"/>
      <c r="B1451"/>
    </row>
    <row r="1452" spans="1:2" x14ac:dyDescent="0.25">
      <c r="A1452"/>
      <c r="B1452"/>
    </row>
    <row r="1453" spans="1:2" x14ac:dyDescent="0.25">
      <c r="A1453"/>
      <c r="B1453"/>
    </row>
    <row r="1454" spans="1:2" x14ac:dyDescent="0.25">
      <c r="A1454"/>
      <c r="B1454"/>
    </row>
    <row r="1455" spans="1:2" x14ac:dyDescent="0.25">
      <c r="A1455"/>
      <c r="B1455"/>
    </row>
    <row r="1456" spans="1:2" x14ac:dyDescent="0.25">
      <c r="A1456"/>
      <c r="B1456"/>
    </row>
    <row r="1457" spans="1:2" x14ac:dyDescent="0.25">
      <c r="A1457"/>
      <c r="B1457"/>
    </row>
    <row r="1458" spans="1:2" x14ac:dyDescent="0.25">
      <c r="A1458"/>
      <c r="B1458"/>
    </row>
    <row r="1459" spans="1:2" x14ac:dyDescent="0.25">
      <c r="A1459"/>
      <c r="B1459"/>
    </row>
    <row r="1460" spans="1:2" x14ac:dyDescent="0.25">
      <c r="A1460"/>
      <c r="B1460"/>
    </row>
    <row r="1461" spans="1:2" x14ac:dyDescent="0.25">
      <c r="A1461"/>
      <c r="B1461"/>
    </row>
    <row r="1462" spans="1:2" x14ac:dyDescent="0.25">
      <c r="A1462"/>
      <c r="B1462"/>
    </row>
    <row r="1463" spans="1:2" x14ac:dyDescent="0.25">
      <c r="A1463"/>
      <c r="B1463"/>
    </row>
    <row r="1464" spans="1:2" x14ac:dyDescent="0.25">
      <c r="A1464"/>
      <c r="B1464"/>
    </row>
    <row r="1465" spans="1:2" x14ac:dyDescent="0.25">
      <c r="A1465"/>
      <c r="B1465"/>
    </row>
    <row r="1466" spans="1:2" x14ac:dyDescent="0.25">
      <c r="A1466"/>
      <c r="B1466"/>
    </row>
    <row r="1467" spans="1:2" x14ac:dyDescent="0.25">
      <c r="A1467"/>
      <c r="B1467"/>
    </row>
    <row r="1468" spans="1:2" x14ac:dyDescent="0.25">
      <c r="A1468"/>
      <c r="B1468"/>
    </row>
    <row r="1469" spans="1:2" x14ac:dyDescent="0.25">
      <c r="A1469"/>
      <c r="B1469"/>
    </row>
    <row r="1470" spans="1:2" x14ac:dyDescent="0.25">
      <c r="A1470"/>
      <c r="B1470"/>
    </row>
    <row r="1471" spans="1:2" x14ac:dyDescent="0.25">
      <c r="A1471"/>
      <c r="B1471"/>
    </row>
    <row r="1472" spans="1:2" x14ac:dyDescent="0.25">
      <c r="A1472"/>
      <c r="B1472"/>
    </row>
    <row r="1473" spans="1:2" x14ac:dyDescent="0.25">
      <c r="A1473"/>
      <c r="B1473"/>
    </row>
    <row r="1474" spans="1:2" x14ac:dyDescent="0.25">
      <c r="A1474"/>
      <c r="B1474"/>
    </row>
    <row r="1475" spans="1:2" x14ac:dyDescent="0.25">
      <c r="A1475"/>
      <c r="B1475"/>
    </row>
    <row r="1476" spans="1:2" x14ac:dyDescent="0.25">
      <c r="A1476"/>
      <c r="B1476"/>
    </row>
    <row r="1477" spans="1:2" x14ac:dyDescent="0.25">
      <c r="A1477"/>
      <c r="B1477"/>
    </row>
    <row r="1478" spans="1:2" x14ac:dyDescent="0.25">
      <c r="A1478"/>
      <c r="B1478"/>
    </row>
    <row r="1479" spans="1:2" x14ac:dyDescent="0.25">
      <c r="A1479"/>
      <c r="B1479"/>
    </row>
    <row r="1480" spans="1:2" x14ac:dyDescent="0.25">
      <c r="A1480"/>
      <c r="B1480"/>
    </row>
    <row r="1481" spans="1:2" x14ac:dyDescent="0.25">
      <c r="A1481"/>
      <c r="B1481"/>
    </row>
    <row r="1482" spans="1:2" x14ac:dyDescent="0.25">
      <c r="A1482"/>
      <c r="B1482"/>
    </row>
    <row r="1483" spans="1:2" x14ac:dyDescent="0.25">
      <c r="A1483"/>
      <c r="B1483"/>
    </row>
    <row r="1484" spans="1:2" x14ac:dyDescent="0.25">
      <c r="A1484"/>
      <c r="B1484"/>
    </row>
    <row r="1485" spans="1:2" x14ac:dyDescent="0.25">
      <c r="A1485"/>
      <c r="B1485"/>
    </row>
    <row r="1486" spans="1:2" x14ac:dyDescent="0.25">
      <c r="A1486"/>
      <c r="B1486"/>
    </row>
    <row r="1487" spans="1:2" x14ac:dyDescent="0.25">
      <c r="A1487"/>
      <c r="B1487"/>
    </row>
    <row r="1488" spans="1:2" x14ac:dyDescent="0.25">
      <c r="A1488"/>
      <c r="B1488"/>
    </row>
    <row r="1489" spans="1:2" x14ac:dyDescent="0.25">
      <c r="A1489"/>
      <c r="B1489"/>
    </row>
    <row r="1490" spans="1:2" x14ac:dyDescent="0.25">
      <c r="A1490"/>
      <c r="B1490"/>
    </row>
    <row r="1491" spans="1:2" x14ac:dyDescent="0.25">
      <c r="A1491"/>
      <c r="B1491"/>
    </row>
    <row r="1492" spans="1:2" x14ac:dyDescent="0.25">
      <c r="A1492"/>
      <c r="B1492"/>
    </row>
    <row r="1493" spans="1:2" x14ac:dyDescent="0.25">
      <c r="A1493"/>
      <c r="B1493"/>
    </row>
    <row r="1494" spans="1:2" x14ac:dyDescent="0.25">
      <c r="A1494"/>
      <c r="B1494"/>
    </row>
    <row r="1495" spans="1:2" x14ac:dyDescent="0.25">
      <c r="A1495"/>
      <c r="B1495"/>
    </row>
    <row r="1496" spans="1:2" x14ac:dyDescent="0.25">
      <c r="A1496"/>
      <c r="B1496"/>
    </row>
    <row r="1497" spans="1:2" x14ac:dyDescent="0.25">
      <c r="A1497"/>
      <c r="B1497"/>
    </row>
    <row r="1498" spans="1:2" x14ac:dyDescent="0.25">
      <c r="A1498"/>
      <c r="B1498"/>
    </row>
    <row r="1499" spans="1:2" x14ac:dyDescent="0.25">
      <c r="A1499"/>
      <c r="B1499"/>
    </row>
    <row r="1500" spans="1:2" x14ac:dyDescent="0.25">
      <c r="A1500"/>
      <c r="B1500"/>
    </row>
    <row r="1501" spans="1:2" x14ac:dyDescent="0.25">
      <c r="A1501"/>
      <c r="B1501"/>
    </row>
    <row r="1502" spans="1:2" x14ac:dyDescent="0.25">
      <c r="A1502"/>
      <c r="B1502"/>
    </row>
    <row r="1503" spans="1:2" x14ac:dyDescent="0.25">
      <c r="A1503"/>
      <c r="B1503"/>
    </row>
    <row r="1504" spans="1:2" x14ac:dyDescent="0.25">
      <c r="A1504"/>
      <c r="B1504"/>
    </row>
    <row r="1505" spans="1:2" x14ac:dyDescent="0.25">
      <c r="A1505"/>
      <c r="B1505"/>
    </row>
    <row r="1506" spans="1:2" x14ac:dyDescent="0.25">
      <c r="A1506"/>
      <c r="B1506"/>
    </row>
    <row r="1507" spans="1:2" x14ac:dyDescent="0.25">
      <c r="A1507"/>
      <c r="B1507"/>
    </row>
    <row r="1508" spans="1:2" x14ac:dyDescent="0.25">
      <c r="A1508"/>
      <c r="B1508"/>
    </row>
    <row r="1509" spans="1:2" x14ac:dyDescent="0.25">
      <c r="A1509"/>
      <c r="B1509"/>
    </row>
    <row r="1510" spans="1:2" x14ac:dyDescent="0.25">
      <c r="A1510"/>
      <c r="B1510"/>
    </row>
    <row r="1511" spans="1:2" x14ac:dyDescent="0.25">
      <c r="A1511"/>
      <c r="B1511"/>
    </row>
    <row r="1512" spans="1:2" x14ac:dyDescent="0.25">
      <c r="A1512"/>
      <c r="B1512"/>
    </row>
    <row r="1513" spans="1:2" x14ac:dyDescent="0.25">
      <c r="A1513"/>
      <c r="B1513"/>
    </row>
    <row r="1514" spans="1:2" x14ac:dyDescent="0.25">
      <c r="A1514"/>
      <c r="B1514"/>
    </row>
    <row r="1515" spans="1:2" x14ac:dyDescent="0.25">
      <c r="A1515"/>
      <c r="B1515"/>
    </row>
    <row r="1516" spans="1:2" x14ac:dyDescent="0.25">
      <c r="A1516"/>
      <c r="B1516"/>
    </row>
    <row r="1517" spans="1:2" x14ac:dyDescent="0.25">
      <c r="A1517"/>
      <c r="B1517"/>
    </row>
    <row r="1518" spans="1:2" x14ac:dyDescent="0.25">
      <c r="A1518"/>
      <c r="B1518"/>
    </row>
    <row r="1519" spans="1:2" x14ac:dyDescent="0.25">
      <c r="A1519"/>
      <c r="B1519"/>
    </row>
    <row r="1520" spans="1:2" x14ac:dyDescent="0.25">
      <c r="A1520"/>
      <c r="B1520"/>
    </row>
    <row r="1521" spans="1:2" x14ac:dyDescent="0.25">
      <c r="A1521"/>
      <c r="B1521"/>
    </row>
    <row r="1522" spans="1:2" x14ac:dyDescent="0.25">
      <c r="A1522"/>
      <c r="B1522"/>
    </row>
    <row r="1523" spans="1:2" x14ac:dyDescent="0.25">
      <c r="A1523"/>
      <c r="B1523"/>
    </row>
    <row r="1524" spans="1:2" x14ac:dyDescent="0.25">
      <c r="A1524"/>
      <c r="B1524"/>
    </row>
    <row r="1525" spans="1:2" x14ac:dyDescent="0.25">
      <c r="A1525"/>
      <c r="B1525"/>
    </row>
    <row r="1526" spans="1:2" x14ac:dyDescent="0.25">
      <c r="A1526"/>
      <c r="B1526"/>
    </row>
    <row r="1527" spans="1:2" x14ac:dyDescent="0.25">
      <c r="A1527"/>
      <c r="B1527"/>
    </row>
    <row r="1528" spans="1:2" x14ac:dyDescent="0.25">
      <c r="A1528"/>
      <c r="B1528"/>
    </row>
    <row r="1529" spans="1:2" x14ac:dyDescent="0.25">
      <c r="A1529"/>
      <c r="B1529"/>
    </row>
    <row r="1530" spans="1:2" x14ac:dyDescent="0.25">
      <c r="A1530"/>
      <c r="B1530"/>
    </row>
    <row r="1531" spans="1:2" x14ac:dyDescent="0.25">
      <c r="A1531"/>
      <c r="B1531"/>
    </row>
    <row r="1532" spans="1:2" x14ac:dyDescent="0.25">
      <c r="A1532"/>
      <c r="B1532"/>
    </row>
    <row r="1533" spans="1:2" x14ac:dyDescent="0.25">
      <c r="A1533"/>
      <c r="B1533"/>
    </row>
    <row r="1534" spans="1:2" x14ac:dyDescent="0.25">
      <c r="A1534"/>
      <c r="B1534"/>
    </row>
    <row r="1535" spans="1:2" x14ac:dyDescent="0.25">
      <c r="A1535"/>
      <c r="B1535"/>
    </row>
    <row r="1536" spans="1:2" x14ac:dyDescent="0.25">
      <c r="A1536"/>
      <c r="B1536"/>
    </row>
    <row r="1537" spans="1:2" x14ac:dyDescent="0.25">
      <c r="A1537"/>
      <c r="B1537"/>
    </row>
    <row r="1538" spans="1:2" x14ac:dyDescent="0.25">
      <c r="A1538"/>
      <c r="B1538"/>
    </row>
    <row r="1539" spans="1:2" x14ac:dyDescent="0.25">
      <c r="A1539"/>
      <c r="B1539"/>
    </row>
    <row r="1540" spans="1:2" x14ac:dyDescent="0.25">
      <c r="A1540"/>
      <c r="B1540"/>
    </row>
    <row r="1541" spans="1:2" x14ac:dyDescent="0.25">
      <c r="A1541"/>
      <c r="B1541"/>
    </row>
    <row r="1542" spans="1:2" x14ac:dyDescent="0.25">
      <c r="A1542"/>
      <c r="B1542"/>
    </row>
    <row r="1543" spans="1:2" x14ac:dyDescent="0.25">
      <c r="A1543"/>
      <c r="B1543"/>
    </row>
    <row r="1544" spans="1:2" x14ac:dyDescent="0.25">
      <c r="A1544"/>
      <c r="B1544"/>
    </row>
    <row r="1545" spans="1:2" x14ac:dyDescent="0.25">
      <c r="A1545"/>
      <c r="B1545"/>
    </row>
    <row r="1546" spans="1:2" x14ac:dyDescent="0.25">
      <c r="A1546"/>
      <c r="B1546"/>
    </row>
    <row r="1547" spans="1:2" x14ac:dyDescent="0.25">
      <c r="A1547"/>
      <c r="B1547"/>
    </row>
    <row r="1548" spans="1:2" x14ac:dyDescent="0.25">
      <c r="A1548"/>
      <c r="B1548"/>
    </row>
    <row r="1549" spans="1:2" x14ac:dyDescent="0.25">
      <c r="A1549"/>
      <c r="B1549"/>
    </row>
    <row r="1550" spans="1:2" x14ac:dyDescent="0.25">
      <c r="A1550"/>
      <c r="B1550"/>
    </row>
    <row r="1551" spans="1:2" x14ac:dyDescent="0.25">
      <c r="A1551"/>
      <c r="B1551"/>
    </row>
    <row r="1552" spans="1:2" x14ac:dyDescent="0.25">
      <c r="A1552"/>
      <c r="B1552"/>
    </row>
    <row r="1553" spans="1:2" x14ac:dyDescent="0.25">
      <c r="A1553"/>
      <c r="B1553"/>
    </row>
    <row r="1554" spans="1:2" x14ac:dyDescent="0.25">
      <c r="A1554"/>
      <c r="B1554"/>
    </row>
    <row r="1555" spans="1:2" x14ac:dyDescent="0.25">
      <c r="A1555"/>
      <c r="B1555"/>
    </row>
    <row r="1556" spans="1:2" x14ac:dyDescent="0.25">
      <c r="A1556"/>
      <c r="B1556"/>
    </row>
    <row r="1557" spans="1:2" x14ac:dyDescent="0.25">
      <c r="A1557"/>
      <c r="B1557"/>
    </row>
    <row r="1558" spans="1:2" x14ac:dyDescent="0.25">
      <c r="A1558"/>
      <c r="B1558"/>
    </row>
    <row r="1559" spans="1:2" x14ac:dyDescent="0.25">
      <c r="A1559"/>
      <c r="B1559"/>
    </row>
    <row r="1560" spans="1:2" x14ac:dyDescent="0.25">
      <c r="A1560"/>
      <c r="B1560"/>
    </row>
    <row r="1561" spans="1:2" x14ac:dyDescent="0.25">
      <c r="A1561"/>
      <c r="B1561"/>
    </row>
    <row r="1562" spans="1:2" x14ac:dyDescent="0.25">
      <c r="A1562"/>
      <c r="B1562"/>
    </row>
    <row r="1563" spans="1:2" x14ac:dyDescent="0.25">
      <c r="A1563"/>
      <c r="B1563"/>
    </row>
    <row r="1564" spans="1:2" x14ac:dyDescent="0.25">
      <c r="A1564"/>
      <c r="B1564"/>
    </row>
    <row r="1565" spans="1:2" x14ac:dyDescent="0.25">
      <c r="A1565"/>
      <c r="B1565"/>
    </row>
    <row r="1566" spans="1:2" x14ac:dyDescent="0.25">
      <c r="A1566"/>
      <c r="B1566"/>
    </row>
    <row r="1567" spans="1:2" x14ac:dyDescent="0.25">
      <c r="A1567"/>
      <c r="B1567"/>
    </row>
    <row r="1568" spans="1:2" x14ac:dyDescent="0.25">
      <c r="A1568"/>
      <c r="B1568"/>
    </row>
    <row r="1569" spans="1:2" x14ac:dyDescent="0.25">
      <c r="A1569"/>
      <c r="B1569"/>
    </row>
    <row r="1570" spans="1:2" x14ac:dyDescent="0.25">
      <c r="A1570"/>
      <c r="B1570"/>
    </row>
    <row r="1571" spans="1:2" x14ac:dyDescent="0.25">
      <c r="A1571"/>
      <c r="B1571"/>
    </row>
    <row r="1572" spans="1:2" x14ac:dyDescent="0.25">
      <c r="A1572"/>
      <c r="B1572"/>
    </row>
    <row r="1573" spans="1:2" x14ac:dyDescent="0.25">
      <c r="A1573"/>
      <c r="B1573"/>
    </row>
    <row r="1574" spans="1:2" x14ac:dyDescent="0.25">
      <c r="A1574"/>
      <c r="B1574"/>
    </row>
    <row r="1575" spans="1:2" x14ac:dyDescent="0.25">
      <c r="A1575"/>
      <c r="B1575"/>
    </row>
    <row r="1576" spans="1:2" x14ac:dyDescent="0.25">
      <c r="A1576"/>
      <c r="B1576"/>
    </row>
    <row r="1577" spans="1:2" x14ac:dyDescent="0.25">
      <c r="A1577"/>
      <c r="B1577"/>
    </row>
    <row r="1578" spans="1:2" x14ac:dyDescent="0.25">
      <c r="A1578"/>
      <c r="B1578"/>
    </row>
    <row r="1579" spans="1:2" x14ac:dyDescent="0.25">
      <c r="A1579"/>
      <c r="B1579"/>
    </row>
    <row r="1580" spans="1:2" x14ac:dyDescent="0.25">
      <c r="A1580"/>
      <c r="B1580"/>
    </row>
    <row r="1581" spans="1:2" x14ac:dyDescent="0.25">
      <c r="A1581"/>
      <c r="B1581"/>
    </row>
    <row r="1582" spans="1:2" x14ac:dyDescent="0.25">
      <c r="A1582"/>
      <c r="B1582"/>
    </row>
    <row r="1583" spans="1:2" x14ac:dyDescent="0.25">
      <c r="A1583"/>
      <c r="B1583"/>
    </row>
    <row r="1584" spans="1:2" x14ac:dyDescent="0.25">
      <c r="A1584"/>
      <c r="B1584"/>
    </row>
    <row r="1585" spans="1:2" x14ac:dyDescent="0.25">
      <c r="A1585"/>
      <c r="B1585"/>
    </row>
    <row r="1586" spans="1:2" x14ac:dyDescent="0.25">
      <c r="A1586"/>
      <c r="B1586"/>
    </row>
    <row r="1587" spans="1:2" x14ac:dyDescent="0.25">
      <c r="A1587"/>
      <c r="B1587"/>
    </row>
    <row r="1588" spans="1:2" x14ac:dyDescent="0.25">
      <c r="A1588"/>
      <c r="B1588"/>
    </row>
    <row r="1589" spans="1:2" x14ac:dyDescent="0.25">
      <c r="A1589"/>
      <c r="B1589"/>
    </row>
    <row r="1590" spans="1:2" x14ac:dyDescent="0.25">
      <c r="A1590"/>
      <c r="B1590"/>
    </row>
    <row r="1591" spans="1:2" x14ac:dyDescent="0.25">
      <c r="A1591"/>
      <c r="B1591"/>
    </row>
    <row r="1592" spans="1:2" x14ac:dyDescent="0.25">
      <c r="A1592"/>
      <c r="B1592"/>
    </row>
    <row r="1593" spans="1:2" x14ac:dyDescent="0.25">
      <c r="A1593"/>
      <c r="B1593"/>
    </row>
    <row r="1594" spans="1:2" x14ac:dyDescent="0.25">
      <c r="A1594"/>
      <c r="B1594"/>
    </row>
    <row r="1595" spans="1:2" x14ac:dyDescent="0.25">
      <c r="A1595"/>
      <c r="B1595"/>
    </row>
    <row r="1596" spans="1:2" x14ac:dyDescent="0.25">
      <c r="A1596"/>
      <c r="B1596"/>
    </row>
    <row r="1597" spans="1:2" x14ac:dyDescent="0.25">
      <c r="A1597"/>
      <c r="B1597"/>
    </row>
    <row r="1598" spans="1:2" x14ac:dyDescent="0.25">
      <c r="A1598"/>
      <c r="B1598"/>
    </row>
    <row r="1599" spans="1:2" x14ac:dyDescent="0.25">
      <c r="A1599"/>
      <c r="B1599"/>
    </row>
    <row r="1600" spans="1:2" x14ac:dyDescent="0.25">
      <c r="A1600"/>
      <c r="B1600"/>
    </row>
    <row r="1601" spans="1:2" x14ac:dyDescent="0.25">
      <c r="A1601"/>
      <c r="B1601"/>
    </row>
    <row r="1602" spans="1:2" x14ac:dyDescent="0.25">
      <c r="A1602"/>
      <c r="B1602"/>
    </row>
    <row r="1603" spans="1:2" x14ac:dyDescent="0.25">
      <c r="A1603"/>
      <c r="B1603"/>
    </row>
    <row r="1604" spans="1:2" x14ac:dyDescent="0.25">
      <c r="A1604"/>
      <c r="B1604"/>
    </row>
    <row r="1605" spans="1:2" x14ac:dyDescent="0.25">
      <c r="A1605"/>
      <c r="B1605"/>
    </row>
    <row r="1606" spans="1:2" x14ac:dyDescent="0.25">
      <c r="A1606"/>
      <c r="B1606"/>
    </row>
    <row r="1607" spans="1:2" x14ac:dyDescent="0.25">
      <c r="A1607"/>
      <c r="B1607"/>
    </row>
    <row r="1608" spans="1:2" x14ac:dyDescent="0.25">
      <c r="A1608"/>
      <c r="B1608"/>
    </row>
    <row r="1609" spans="1:2" x14ac:dyDescent="0.25">
      <c r="A1609"/>
      <c r="B1609"/>
    </row>
    <row r="1610" spans="1:2" x14ac:dyDescent="0.25">
      <c r="A1610"/>
      <c r="B1610"/>
    </row>
    <row r="1611" spans="1:2" x14ac:dyDescent="0.25">
      <c r="A1611"/>
      <c r="B1611"/>
    </row>
    <row r="1612" spans="1:2" x14ac:dyDescent="0.25">
      <c r="A1612"/>
      <c r="B1612"/>
    </row>
    <row r="1613" spans="1:2" x14ac:dyDescent="0.25">
      <c r="A1613"/>
      <c r="B1613"/>
    </row>
    <row r="1614" spans="1:2" x14ac:dyDescent="0.25">
      <c r="A1614"/>
      <c r="B1614"/>
    </row>
    <row r="1615" spans="1:2" x14ac:dyDescent="0.25">
      <c r="A1615"/>
      <c r="B1615"/>
    </row>
    <row r="1616" spans="1:2" x14ac:dyDescent="0.25">
      <c r="A1616"/>
      <c r="B1616"/>
    </row>
    <row r="1617" spans="1:2" x14ac:dyDescent="0.25">
      <c r="A1617"/>
      <c r="B1617"/>
    </row>
    <row r="1618" spans="1:2" x14ac:dyDescent="0.25">
      <c r="A1618"/>
      <c r="B1618"/>
    </row>
    <row r="1619" spans="1:2" x14ac:dyDescent="0.25">
      <c r="A1619"/>
      <c r="B1619"/>
    </row>
    <row r="1620" spans="1:2" x14ac:dyDescent="0.25">
      <c r="A1620"/>
      <c r="B1620"/>
    </row>
    <row r="1621" spans="1:2" x14ac:dyDescent="0.25">
      <c r="A1621"/>
      <c r="B1621"/>
    </row>
    <row r="1622" spans="1:2" x14ac:dyDescent="0.25">
      <c r="A1622"/>
      <c r="B1622"/>
    </row>
    <row r="1623" spans="1:2" x14ac:dyDescent="0.25">
      <c r="A1623"/>
      <c r="B1623"/>
    </row>
    <row r="1624" spans="1:2" x14ac:dyDescent="0.25">
      <c r="A1624"/>
      <c r="B1624"/>
    </row>
    <row r="1625" spans="1:2" x14ac:dyDescent="0.25">
      <c r="A1625"/>
      <c r="B1625"/>
    </row>
    <row r="1626" spans="1:2" x14ac:dyDescent="0.25">
      <c r="A1626"/>
      <c r="B1626"/>
    </row>
    <row r="1627" spans="1:2" x14ac:dyDescent="0.25">
      <c r="A1627"/>
      <c r="B1627"/>
    </row>
    <row r="1628" spans="1:2" x14ac:dyDescent="0.25">
      <c r="A1628"/>
      <c r="B1628"/>
    </row>
    <row r="1629" spans="1:2" x14ac:dyDescent="0.25">
      <c r="A1629"/>
      <c r="B1629"/>
    </row>
    <row r="1630" spans="1:2" x14ac:dyDescent="0.25">
      <c r="A1630"/>
      <c r="B1630"/>
    </row>
    <row r="1631" spans="1:2" x14ac:dyDescent="0.25">
      <c r="A1631"/>
      <c r="B1631"/>
    </row>
    <row r="1632" spans="1:2" x14ac:dyDescent="0.25">
      <c r="A1632"/>
      <c r="B1632"/>
    </row>
    <row r="1633" spans="1:2" x14ac:dyDescent="0.25">
      <c r="A1633"/>
      <c r="B1633"/>
    </row>
    <row r="1634" spans="1:2" x14ac:dyDescent="0.25">
      <c r="A1634"/>
      <c r="B1634"/>
    </row>
    <row r="1635" spans="1:2" x14ac:dyDescent="0.25">
      <c r="A1635"/>
      <c r="B1635"/>
    </row>
    <row r="1636" spans="1:2" x14ac:dyDescent="0.25">
      <c r="A1636"/>
      <c r="B1636"/>
    </row>
    <row r="1637" spans="1:2" x14ac:dyDescent="0.25">
      <c r="A1637"/>
      <c r="B1637"/>
    </row>
    <row r="1638" spans="1:2" x14ac:dyDescent="0.25">
      <c r="A1638"/>
      <c r="B1638"/>
    </row>
    <row r="1639" spans="1:2" x14ac:dyDescent="0.25">
      <c r="A1639"/>
      <c r="B1639"/>
    </row>
    <row r="1640" spans="1:2" x14ac:dyDescent="0.25">
      <c r="A1640"/>
      <c r="B1640"/>
    </row>
    <row r="1641" spans="1:2" x14ac:dyDescent="0.25">
      <c r="A1641"/>
      <c r="B1641"/>
    </row>
    <row r="1642" spans="1:2" x14ac:dyDescent="0.25">
      <c r="A1642"/>
      <c r="B1642"/>
    </row>
    <row r="1643" spans="1:2" x14ac:dyDescent="0.25">
      <c r="A1643"/>
      <c r="B1643"/>
    </row>
    <row r="1644" spans="1:2" x14ac:dyDescent="0.25">
      <c r="A1644"/>
      <c r="B1644"/>
    </row>
    <row r="1645" spans="1:2" x14ac:dyDescent="0.25">
      <c r="A1645"/>
      <c r="B1645"/>
    </row>
    <row r="1646" spans="1:2" x14ac:dyDescent="0.25">
      <c r="A1646"/>
      <c r="B1646"/>
    </row>
    <row r="1647" spans="1:2" x14ac:dyDescent="0.25">
      <c r="A1647"/>
      <c r="B1647"/>
    </row>
    <row r="1648" spans="1:2" x14ac:dyDescent="0.25">
      <c r="A1648"/>
      <c r="B1648"/>
    </row>
    <row r="1649" spans="1:2" x14ac:dyDescent="0.25">
      <c r="A1649"/>
      <c r="B1649"/>
    </row>
    <row r="1650" spans="1:2" x14ac:dyDescent="0.25">
      <c r="A1650"/>
      <c r="B1650"/>
    </row>
    <row r="1651" spans="1:2" x14ac:dyDescent="0.25">
      <c r="A1651"/>
      <c r="B1651"/>
    </row>
    <row r="1652" spans="1:2" x14ac:dyDescent="0.25">
      <c r="A1652"/>
      <c r="B1652"/>
    </row>
    <row r="1653" spans="1:2" x14ac:dyDescent="0.25">
      <c r="A1653"/>
      <c r="B1653"/>
    </row>
    <row r="1654" spans="1:2" x14ac:dyDescent="0.25">
      <c r="A1654"/>
      <c r="B1654"/>
    </row>
    <row r="1655" spans="1:2" x14ac:dyDescent="0.25">
      <c r="A1655"/>
      <c r="B1655"/>
    </row>
    <row r="1656" spans="1:2" x14ac:dyDescent="0.25">
      <c r="A1656"/>
      <c r="B1656"/>
    </row>
    <row r="1657" spans="1:2" x14ac:dyDescent="0.25">
      <c r="A1657"/>
      <c r="B1657"/>
    </row>
    <row r="1658" spans="1:2" x14ac:dyDescent="0.25">
      <c r="A1658"/>
      <c r="B1658"/>
    </row>
    <row r="1659" spans="1:2" x14ac:dyDescent="0.25">
      <c r="A1659"/>
      <c r="B1659"/>
    </row>
    <row r="1660" spans="1:2" x14ac:dyDescent="0.25">
      <c r="A1660"/>
      <c r="B1660"/>
    </row>
    <row r="1661" spans="1:2" x14ac:dyDescent="0.25">
      <c r="A1661"/>
      <c r="B1661"/>
    </row>
    <row r="1662" spans="1:2" x14ac:dyDescent="0.25">
      <c r="A1662"/>
      <c r="B1662"/>
    </row>
    <row r="1663" spans="1:2" x14ac:dyDescent="0.25">
      <c r="A1663"/>
      <c r="B1663"/>
    </row>
    <row r="1664" spans="1:2" x14ac:dyDescent="0.25">
      <c r="A1664"/>
      <c r="B1664"/>
    </row>
    <row r="1665" spans="1:2" x14ac:dyDescent="0.25">
      <c r="A1665"/>
      <c r="B1665"/>
    </row>
    <row r="1666" spans="1:2" x14ac:dyDescent="0.25">
      <c r="A1666"/>
      <c r="B1666"/>
    </row>
    <row r="1667" spans="1:2" x14ac:dyDescent="0.25">
      <c r="A1667"/>
      <c r="B1667"/>
    </row>
    <row r="1668" spans="1:2" x14ac:dyDescent="0.25">
      <c r="A1668"/>
      <c r="B1668"/>
    </row>
    <row r="1669" spans="1:2" x14ac:dyDescent="0.25">
      <c r="A1669"/>
      <c r="B1669"/>
    </row>
    <row r="1670" spans="1:2" x14ac:dyDescent="0.25">
      <c r="A1670"/>
      <c r="B1670"/>
    </row>
    <row r="1671" spans="1:2" x14ac:dyDescent="0.25">
      <c r="A1671"/>
      <c r="B1671"/>
    </row>
    <row r="1672" spans="1:2" x14ac:dyDescent="0.25">
      <c r="A1672"/>
      <c r="B1672"/>
    </row>
    <row r="1673" spans="1:2" x14ac:dyDescent="0.25">
      <c r="A1673"/>
      <c r="B1673"/>
    </row>
    <row r="1674" spans="1:2" x14ac:dyDescent="0.25">
      <c r="A1674"/>
      <c r="B1674"/>
    </row>
    <row r="1675" spans="1:2" x14ac:dyDescent="0.25">
      <c r="A1675"/>
      <c r="B1675"/>
    </row>
    <row r="1676" spans="1:2" x14ac:dyDescent="0.25">
      <c r="A1676"/>
      <c r="B1676"/>
    </row>
    <row r="1677" spans="1:2" x14ac:dyDescent="0.25">
      <c r="A1677"/>
      <c r="B1677"/>
    </row>
    <row r="1678" spans="1:2" x14ac:dyDescent="0.25">
      <c r="A1678"/>
      <c r="B1678"/>
    </row>
    <row r="1679" spans="1:2" x14ac:dyDescent="0.25">
      <c r="A1679"/>
      <c r="B1679"/>
    </row>
    <row r="1680" spans="1:2" x14ac:dyDescent="0.25">
      <c r="A1680"/>
      <c r="B1680"/>
    </row>
    <row r="1681" spans="1:2" x14ac:dyDescent="0.25">
      <c r="A1681"/>
      <c r="B1681"/>
    </row>
    <row r="1682" spans="1:2" x14ac:dyDescent="0.25">
      <c r="A1682"/>
      <c r="B1682"/>
    </row>
    <row r="1683" spans="1:2" x14ac:dyDescent="0.25">
      <c r="A1683"/>
      <c r="B1683"/>
    </row>
    <row r="1684" spans="1:2" x14ac:dyDescent="0.25">
      <c r="A1684"/>
      <c r="B1684"/>
    </row>
    <row r="1685" spans="1:2" x14ac:dyDescent="0.25">
      <c r="A1685"/>
      <c r="B1685"/>
    </row>
    <row r="1686" spans="1:2" x14ac:dyDescent="0.25">
      <c r="A1686"/>
      <c r="B1686"/>
    </row>
    <row r="1687" spans="1:2" x14ac:dyDescent="0.25">
      <c r="A1687"/>
      <c r="B1687"/>
    </row>
    <row r="1688" spans="1:2" x14ac:dyDescent="0.25">
      <c r="A1688"/>
      <c r="B1688"/>
    </row>
    <row r="1689" spans="1:2" x14ac:dyDescent="0.25">
      <c r="A1689"/>
      <c r="B1689"/>
    </row>
    <row r="1690" spans="1:2" x14ac:dyDescent="0.25">
      <c r="A1690"/>
      <c r="B1690"/>
    </row>
    <row r="1691" spans="1:2" x14ac:dyDescent="0.25">
      <c r="A1691"/>
      <c r="B1691"/>
    </row>
    <row r="1692" spans="1:2" x14ac:dyDescent="0.25">
      <c r="A1692"/>
      <c r="B1692"/>
    </row>
    <row r="1693" spans="1:2" x14ac:dyDescent="0.25">
      <c r="A1693"/>
      <c r="B1693"/>
    </row>
    <row r="1694" spans="1:2" x14ac:dyDescent="0.25">
      <c r="A1694"/>
      <c r="B1694"/>
    </row>
    <row r="1695" spans="1:2" x14ac:dyDescent="0.25">
      <c r="A1695"/>
      <c r="B1695"/>
    </row>
    <row r="1696" spans="1:2" x14ac:dyDescent="0.25">
      <c r="A1696"/>
      <c r="B1696"/>
    </row>
    <row r="1697" spans="1:2" x14ac:dyDescent="0.25">
      <c r="A1697"/>
      <c r="B1697"/>
    </row>
    <row r="1698" spans="1:2" x14ac:dyDescent="0.25">
      <c r="A1698"/>
      <c r="B1698"/>
    </row>
    <row r="1699" spans="1:2" x14ac:dyDescent="0.25">
      <c r="A1699"/>
      <c r="B1699"/>
    </row>
    <row r="1700" spans="1:2" x14ac:dyDescent="0.25">
      <c r="A1700"/>
      <c r="B1700"/>
    </row>
    <row r="1701" spans="1:2" x14ac:dyDescent="0.25">
      <c r="A1701"/>
      <c r="B1701"/>
    </row>
    <row r="1702" spans="1:2" x14ac:dyDescent="0.25">
      <c r="A1702"/>
      <c r="B1702"/>
    </row>
    <row r="1703" spans="1:2" x14ac:dyDescent="0.25">
      <c r="A1703"/>
      <c r="B1703"/>
    </row>
    <row r="1704" spans="1:2" x14ac:dyDescent="0.25">
      <c r="A1704"/>
      <c r="B1704"/>
    </row>
    <row r="1705" spans="1:2" x14ac:dyDescent="0.25">
      <c r="A1705"/>
      <c r="B1705"/>
    </row>
    <row r="1706" spans="1:2" x14ac:dyDescent="0.25">
      <c r="A1706"/>
      <c r="B1706"/>
    </row>
    <row r="1707" spans="1:2" x14ac:dyDescent="0.25">
      <c r="A1707"/>
      <c r="B1707"/>
    </row>
    <row r="1708" spans="1:2" x14ac:dyDescent="0.25">
      <c r="A1708"/>
      <c r="B1708"/>
    </row>
    <row r="1709" spans="1:2" x14ac:dyDescent="0.25">
      <c r="A1709"/>
      <c r="B1709"/>
    </row>
    <row r="1710" spans="1:2" x14ac:dyDescent="0.25">
      <c r="A1710"/>
      <c r="B1710"/>
    </row>
    <row r="1711" spans="1:2" x14ac:dyDescent="0.25">
      <c r="A1711"/>
      <c r="B1711"/>
    </row>
    <row r="1712" spans="1:2" x14ac:dyDescent="0.25">
      <c r="A1712"/>
      <c r="B1712"/>
    </row>
    <row r="1713" spans="1:2" x14ac:dyDescent="0.25">
      <c r="A1713"/>
      <c r="B1713"/>
    </row>
    <row r="1714" spans="1:2" x14ac:dyDescent="0.25">
      <c r="A1714"/>
      <c r="B1714"/>
    </row>
    <row r="1715" spans="1:2" x14ac:dyDescent="0.25">
      <c r="A1715"/>
      <c r="B1715"/>
    </row>
    <row r="1716" spans="1:2" x14ac:dyDescent="0.25">
      <c r="A1716"/>
      <c r="B1716"/>
    </row>
    <row r="1717" spans="1:2" x14ac:dyDescent="0.25">
      <c r="A1717"/>
      <c r="B1717"/>
    </row>
    <row r="1718" spans="1:2" x14ac:dyDescent="0.25">
      <c r="A1718"/>
      <c r="B1718"/>
    </row>
    <row r="1719" spans="1:2" x14ac:dyDescent="0.25">
      <c r="A1719"/>
      <c r="B1719"/>
    </row>
    <row r="1720" spans="1:2" x14ac:dyDescent="0.25">
      <c r="A1720"/>
      <c r="B1720"/>
    </row>
    <row r="1721" spans="1:2" x14ac:dyDescent="0.25">
      <c r="A1721"/>
      <c r="B1721"/>
    </row>
    <row r="1722" spans="1:2" x14ac:dyDescent="0.25">
      <c r="A1722"/>
      <c r="B1722"/>
    </row>
    <row r="1723" spans="1:2" x14ac:dyDescent="0.25">
      <c r="A1723"/>
      <c r="B1723"/>
    </row>
    <row r="1724" spans="1:2" x14ac:dyDescent="0.25">
      <c r="A1724"/>
      <c r="B1724"/>
    </row>
    <row r="1725" spans="1:2" x14ac:dyDescent="0.25">
      <c r="A1725"/>
      <c r="B1725"/>
    </row>
    <row r="1726" spans="1:2" x14ac:dyDescent="0.25">
      <c r="A1726"/>
      <c r="B1726"/>
    </row>
    <row r="1727" spans="1:2" x14ac:dyDescent="0.25">
      <c r="A1727"/>
      <c r="B1727"/>
    </row>
    <row r="1728" spans="1:2" x14ac:dyDescent="0.25">
      <c r="A1728"/>
      <c r="B1728"/>
    </row>
    <row r="1729" spans="1:2" x14ac:dyDescent="0.25">
      <c r="A1729"/>
      <c r="B1729"/>
    </row>
    <row r="1730" spans="1:2" x14ac:dyDescent="0.25">
      <c r="A1730"/>
      <c r="B1730"/>
    </row>
    <row r="1731" spans="1:2" x14ac:dyDescent="0.25">
      <c r="A1731"/>
      <c r="B1731"/>
    </row>
    <row r="1732" spans="1:2" x14ac:dyDescent="0.25">
      <c r="A1732"/>
      <c r="B1732"/>
    </row>
    <row r="1733" spans="1:2" x14ac:dyDescent="0.25">
      <c r="A1733"/>
      <c r="B1733"/>
    </row>
    <row r="1734" spans="1:2" x14ac:dyDescent="0.25">
      <c r="A1734"/>
      <c r="B1734"/>
    </row>
    <row r="1735" spans="1:2" x14ac:dyDescent="0.25">
      <c r="A1735"/>
      <c r="B1735"/>
    </row>
    <row r="1736" spans="1:2" x14ac:dyDescent="0.25">
      <c r="A1736"/>
      <c r="B1736"/>
    </row>
    <row r="1737" spans="1:2" x14ac:dyDescent="0.25">
      <c r="A1737"/>
      <c r="B1737"/>
    </row>
    <row r="1738" spans="1:2" x14ac:dyDescent="0.25">
      <c r="A1738"/>
      <c r="B1738"/>
    </row>
    <row r="1739" spans="1:2" x14ac:dyDescent="0.25">
      <c r="A1739"/>
      <c r="B1739"/>
    </row>
    <row r="1740" spans="1:2" x14ac:dyDescent="0.25">
      <c r="A1740"/>
      <c r="B1740"/>
    </row>
    <row r="1741" spans="1:2" x14ac:dyDescent="0.25">
      <c r="A1741"/>
      <c r="B1741"/>
    </row>
    <row r="1742" spans="1:2" x14ac:dyDescent="0.25">
      <c r="A1742"/>
      <c r="B1742"/>
    </row>
    <row r="1743" spans="1:2" x14ac:dyDescent="0.25">
      <c r="A1743"/>
      <c r="B1743"/>
    </row>
    <row r="1744" spans="1:2" x14ac:dyDescent="0.25">
      <c r="A1744"/>
      <c r="B1744"/>
    </row>
    <row r="1745" spans="1:2" x14ac:dyDescent="0.25">
      <c r="A1745"/>
      <c r="B1745"/>
    </row>
    <row r="1746" spans="1:2" x14ac:dyDescent="0.25">
      <c r="A1746"/>
      <c r="B1746"/>
    </row>
    <row r="1747" spans="1:2" x14ac:dyDescent="0.25">
      <c r="A1747"/>
      <c r="B1747"/>
    </row>
    <row r="1748" spans="1:2" x14ac:dyDescent="0.25">
      <c r="A1748"/>
      <c r="B1748"/>
    </row>
    <row r="1749" spans="1:2" x14ac:dyDescent="0.25">
      <c r="A1749"/>
      <c r="B1749"/>
    </row>
    <row r="1750" spans="1:2" x14ac:dyDescent="0.25">
      <c r="A1750"/>
      <c r="B1750"/>
    </row>
    <row r="1751" spans="1:2" x14ac:dyDescent="0.25">
      <c r="A1751"/>
      <c r="B1751"/>
    </row>
    <row r="1752" spans="1:2" x14ac:dyDescent="0.25">
      <c r="A1752"/>
      <c r="B1752"/>
    </row>
    <row r="1753" spans="1:2" x14ac:dyDescent="0.25">
      <c r="A1753"/>
      <c r="B1753"/>
    </row>
    <row r="1754" spans="1:2" x14ac:dyDescent="0.25">
      <c r="A1754"/>
      <c r="B1754"/>
    </row>
    <row r="1755" spans="1:2" x14ac:dyDescent="0.25">
      <c r="A1755"/>
      <c r="B1755"/>
    </row>
    <row r="1756" spans="1:2" x14ac:dyDescent="0.25">
      <c r="A1756"/>
      <c r="B1756"/>
    </row>
    <row r="1757" spans="1:2" x14ac:dyDescent="0.25">
      <c r="A1757"/>
      <c r="B1757"/>
    </row>
    <row r="1758" spans="1:2" x14ac:dyDescent="0.25">
      <c r="A1758"/>
      <c r="B1758"/>
    </row>
    <row r="1759" spans="1:2" x14ac:dyDescent="0.25">
      <c r="A1759"/>
      <c r="B1759"/>
    </row>
    <row r="1760" spans="1:2" x14ac:dyDescent="0.25">
      <c r="A1760"/>
      <c r="B1760"/>
    </row>
    <row r="1761" spans="1:2" x14ac:dyDescent="0.25">
      <c r="A1761"/>
      <c r="B1761"/>
    </row>
    <row r="1762" spans="1:2" x14ac:dyDescent="0.25">
      <c r="A1762"/>
      <c r="B1762"/>
    </row>
    <row r="1763" spans="1:2" x14ac:dyDescent="0.25">
      <c r="A1763"/>
      <c r="B1763"/>
    </row>
    <row r="1764" spans="1:2" x14ac:dyDescent="0.25">
      <c r="A1764"/>
      <c r="B1764"/>
    </row>
    <row r="1765" spans="1:2" x14ac:dyDescent="0.25">
      <c r="A1765"/>
      <c r="B1765"/>
    </row>
    <row r="1766" spans="1:2" x14ac:dyDescent="0.25">
      <c r="A1766"/>
      <c r="B1766"/>
    </row>
    <row r="1767" spans="1:2" x14ac:dyDescent="0.25">
      <c r="A1767"/>
      <c r="B1767"/>
    </row>
    <row r="1768" spans="1:2" x14ac:dyDescent="0.25">
      <c r="A1768"/>
      <c r="B1768"/>
    </row>
    <row r="1769" spans="1:2" x14ac:dyDescent="0.25">
      <c r="A1769"/>
      <c r="B1769"/>
    </row>
    <row r="1770" spans="1:2" x14ac:dyDescent="0.25">
      <c r="A1770"/>
      <c r="B1770"/>
    </row>
    <row r="1771" spans="1:2" x14ac:dyDescent="0.25">
      <c r="A1771"/>
      <c r="B1771"/>
    </row>
    <row r="1772" spans="1:2" x14ac:dyDescent="0.25">
      <c r="A1772"/>
      <c r="B1772"/>
    </row>
    <row r="1773" spans="1:2" x14ac:dyDescent="0.25">
      <c r="A1773"/>
      <c r="B1773"/>
    </row>
    <row r="1774" spans="1:2" x14ac:dyDescent="0.25">
      <c r="A1774"/>
      <c r="B1774"/>
    </row>
    <row r="1775" spans="1:2" x14ac:dyDescent="0.25">
      <c r="A1775"/>
      <c r="B1775"/>
    </row>
    <row r="1776" spans="1:2" x14ac:dyDescent="0.25">
      <c r="A1776"/>
      <c r="B1776"/>
    </row>
    <row r="1777" spans="1:2" x14ac:dyDescent="0.25">
      <c r="A1777"/>
      <c r="B1777"/>
    </row>
    <row r="1778" spans="1:2" x14ac:dyDescent="0.25">
      <c r="A1778"/>
      <c r="B1778"/>
    </row>
    <row r="1779" spans="1:2" x14ac:dyDescent="0.25">
      <c r="A1779"/>
      <c r="B1779"/>
    </row>
    <row r="1780" spans="1:2" x14ac:dyDescent="0.25">
      <c r="A1780"/>
      <c r="B1780"/>
    </row>
    <row r="1781" spans="1:2" x14ac:dyDescent="0.25">
      <c r="A1781"/>
      <c r="B1781"/>
    </row>
    <row r="1782" spans="1:2" x14ac:dyDescent="0.25">
      <c r="A1782"/>
      <c r="B1782"/>
    </row>
    <row r="1783" spans="1:2" x14ac:dyDescent="0.25">
      <c r="A1783"/>
      <c r="B1783"/>
    </row>
    <row r="1784" spans="1:2" x14ac:dyDescent="0.25">
      <c r="A1784"/>
      <c r="B1784"/>
    </row>
    <row r="1785" spans="1:2" x14ac:dyDescent="0.25">
      <c r="A1785"/>
      <c r="B1785"/>
    </row>
    <row r="1786" spans="1:2" x14ac:dyDescent="0.25">
      <c r="A1786"/>
      <c r="B1786"/>
    </row>
    <row r="1787" spans="1:2" x14ac:dyDescent="0.25">
      <c r="A1787"/>
      <c r="B1787"/>
    </row>
    <row r="1788" spans="1:2" x14ac:dyDescent="0.25">
      <c r="A1788"/>
      <c r="B1788"/>
    </row>
    <row r="1789" spans="1:2" x14ac:dyDescent="0.25">
      <c r="A1789"/>
      <c r="B1789"/>
    </row>
    <row r="1790" spans="1:2" x14ac:dyDescent="0.25">
      <c r="A1790"/>
      <c r="B1790"/>
    </row>
    <row r="1791" spans="1:2" x14ac:dyDescent="0.25">
      <c r="A1791"/>
      <c r="B1791"/>
    </row>
    <row r="1792" spans="1:2" x14ac:dyDescent="0.25">
      <c r="A1792"/>
      <c r="B1792"/>
    </row>
    <row r="1793" spans="1:2" x14ac:dyDescent="0.25">
      <c r="A1793"/>
      <c r="B1793"/>
    </row>
    <row r="1794" spans="1:2" x14ac:dyDescent="0.25">
      <c r="A1794"/>
      <c r="B1794"/>
    </row>
    <row r="1795" spans="1:2" x14ac:dyDescent="0.25">
      <c r="A1795"/>
      <c r="B1795"/>
    </row>
    <row r="1796" spans="1:2" x14ac:dyDescent="0.25">
      <c r="A1796"/>
      <c r="B1796"/>
    </row>
    <row r="1797" spans="1:2" x14ac:dyDescent="0.25">
      <c r="A1797"/>
      <c r="B1797"/>
    </row>
    <row r="1798" spans="1:2" x14ac:dyDescent="0.25">
      <c r="A1798"/>
      <c r="B1798"/>
    </row>
    <row r="1799" spans="1:2" x14ac:dyDescent="0.25">
      <c r="A1799"/>
      <c r="B1799"/>
    </row>
    <row r="1800" spans="1:2" x14ac:dyDescent="0.25">
      <c r="A1800"/>
      <c r="B1800"/>
    </row>
    <row r="1801" spans="1:2" x14ac:dyDescent="0.25">
      <c r="A1801"/>
      <c r="B1801"/>
    </row>
    <row r="1802" spans="1:2" x14ac:dyDescent="0.25">
      <c r="A1802"/>
      <c r="B1802"/>
    </row>
    <row r="1803" spans="1:2" x14ac:dyDescent="0.25">
      <c r="A1803"/>
      <c r="B1803"/>
    </row>
    <row r="1804" spans="1:2" x14ac:dyDescent="0.25">
      <c r="A1804"/>
      <c r="B1804"/>
    </row>
    <row r="1805" spans="1:2" x14ac:dyDescent="0.25">
      <c r="A1805"/>
      <c r="B1805"/>
    </row>
    <row r="1806" spans="1:2" x14ac:dyDescent="0.25">
      <c r="A1806"/>
      <c r="B1806"/>
    </row>
    <row r="1807" spans="1:2" x14ac:dyDescent="0.25">
      <c r="A1807"/>
      <c r="B1807"/>
    </row>
    <row r="1808" spans="1:2" x14ac:dyDescent="0.25">
      <c r="A1808"/>
      <c r="B1808"/>
    </row>
    <row r="1809" spans="1:2" x14ac:dyDescent="0.25">
      <c r="A1809"/>
      <c r="B1809"/>
    </row>
    <row r="1810" spans="1:2" x14ac:dyDescent="0.25">
      <c r="A1810"/>
      <c r="B1810"/>
    </row>
    <row r="1811" spans="1:2" x14ac:dyDescent="0.25">
      <c r="A1811"/>
      <c r="B1811"/>
    </row>
    <row r="1812" spans="1:2" x14ac:dyDescent="0.25">
      <c r="A1812"/>
      <c r="B1812"/>
    </row>
    <row r="1813" spans="1:2" x14ac:dyDescent="0.25">
      <c r="A1813"/>
      <c r="B1813"/>
    </row>
    <row r="1814" spans="1:2" x14ac:dyDescent="0.25">
      <c r="A1814"/>
      <c r="B1814"/>
    </row>
    <row r="1815" spans="1:2" x14ac:dyDescent="0.25">
      <c r="A1815"/>
      <c r="B1815"/>
    </row>
    <row r="1816" spans="1:2" x14ac:dyDescent="0.25">
      <c r="A1816"/>
      <c r="B1816"/>
    </row>
    <row r="1817" spans="1:2" x14ac:dyDescent="0.25">
      <c r="A1817"/>
      <c r="B1817"/>
    </row>
    <row r="1818" spans="1:2" x14ac:dyDescent="0.25">
      <c r="A1818"/>
      <c r="B1818"/>
    </row>
    <row r="1819" spans="1:2" x14ac:dyDescent="0.25">
      <c r="A1819"/>
      <c r="B1819"/>
    </row>
    <row r="1820" spans="1:2" x14ac:dyDescent="0.25">
      <c r="A1820"/>
      <c r="B1820"/>
    </row>
    <row r="1821" spans="1:2" x14ac:dyDescent="0.25">
      <c r="A1821"/>
      <c r="B1821"/>
    </row>
    <row r="1822" spans="1:2" x14ac:dyDescent="0.25">
      <c r="A1822"/>
      <c r="B1822"/>
    </row>
    <row r="1823" spans="1:2" x14ac:dyDescent="0.25">
      <c r="A1823"/>
      <c r="B1823"/>
    </row>
    <row r="1824" spans="1:2" x14ac:dyDescent="0.25">
      <c r="A1824"/>
      <c r="B1824"/>
    </row>
    <row r="1825" spans="1:2" x14ac:dyDescent="0.25">
      <c r="A1825"/>
      <c r="B1825"/>
    </row>
    <row r="1826" spans="1:2" x14ac:dyDescent="0.25">
      <c r="A1826"/>
      <c r="B1826"/>
    </row>
    <row r="1827" spans="1:2" x14ac:dyDescent="0.25">
      <c r="A1827"/>
      <c r="B1827"/>
    </row>
    <row r="1828" spans="1:2" x14ac:dyDescent="0.25">
      <c r="A1828"/>
      <c r="B1828"/>
    </row>
    <row r="1829" spans="1:2" x14ac:dyDescent="0.25">
      <c r="A1829"/>
      <c r="B1829"/>
    </row>
    <row r="1830" spans="1:2" x14ac:dyDescent="0.25">
      <c r="A1830"/>
      <c r="B1830"/>
    </row>
    <row r="1831" spans="1:2" x14ac:dyDescent="0.25">
      <c r="A1831"/>
      <c r="B1831"/>
    </row>
    <row r="1832" spans="1:2" x14ac:dyDescent="0.25">
      <c r="A1832"/>
      <c r="B1832"/>
    </row>
    <row r="1833" spans="1:2" x14ac:dyDescent="0.25">
      <c r="A1833"/>
      <c r="B1833"/>
    </row>
    <row r="1834" spans="1:2" x14ac:dyDescent="0.25">
      <c r="A1834"/>
      <c r="B1834"/>
    </row>
    <row r="1835" spans="1:2" x14ac:dyDescent="0.25">
      <c r="A1835"/>
      <c r="B1835"/>
    </row>
    <row r="1836" spans="1:2" x14ac:dyDescent="0.25">
      <c r="A1836"/>
      <c r="B1836"/>
    </row>
    <row r="1837" spans="1:2" x14ac:dyDescent="0.25">
      <c r="A1837"/>
      <c r="B1837"/>
    </row>
    <row r="1838" spans="1:2" x14ac:dyDescent="0.25">
      <c r="A1838"/>
      <c r="B1838"/>
    </row>
    <row r="1839" spans="1:2" x14ac:dyDescent="0.25">
      <c r="A1839"/>
      <c r="B1839"/>
    </row>
    <row r="1840" spans="1:2" x14ac:dyDescent="0.25">
      <c r="A1840"/>
      <c r="B1840"/>
    </row>
    <row r="1841" spans="1:2" x14ac:dyDescent="0.25">
      <c r="A1841"/>
      <c r="B1841"/>
    </row>
    <row r="1842" spans="1:2" x14ac:dyDescent="0.25">
      <c r="A1842"/>
      <c r="B1842"/>
    </row>
    <row r="1843" spans="1:2" x14ac:dyDescent="0.25">
      <c r="A1843"/>
      <c r="B1843"/>
    </row>
    <row r="1844" spans="1:2" x14ac:dyDescent="0.25">
      <c r="A1844"/>
      <c r="B1844"/>
    </row>
    <row r="1845" spans="1:2" x14ac:dyDescent="0.25">
      <c r="A1845"/>
      <c r="B1845"/>
    </row>
    <row r="1846" spans="1:2" x14ac:dyDescent="0.25">
      <c r="A1846"/>
      <c r="B1846"/>
    </row>
    <row r="1847" spans="1:2" x14ac:dyDescent="0.25">
      <c r="A1847"/>
      <c r="B1847"/>
    </row>
    <row r="1848" spans="1:2" x14ac:dyDescent="0.25">
      <c r="A1848"/>
      <c r="B1848"/>
    </row>
    <row r="1849" spans="1:2" x14ac:dyDescent="0.25">
      <c r="A1849"/>
      <c r="B1849"/>
    </row>
    <row r="1850" spans="1:2" x14ac:dyDescent="0.25">
      <c r="A1850"/>
      <c r="B1850"/>
    </row>
    <row r="1851" spans="1:2" x14ac:dyDescent="0.25">
      <c r="A1851"/>
      <c r="B1851"/>
    </row>
    <row r="1852" spans="1:2" x14ac:dyDescent="0.25">
      <c r="A1852"/>
      <c r="B1852"/>
    </row>
    <row r="1853" spans="1:2" x14ac:dyDescent="0.25">
      <c r="A1853"/>
      <c r="B1853"/>
    </row>
    <row r="1854" spans="1:2" x14ac:dyDescent="0.25">
      <c r="A1854"/>
      <c r="B1854"/>
    </row>
    <row r="1855" spans="1:2" x14ac:dyDescent="0.25">
      <c r="A1855"/>
      <c r="B1855"/>
    </row>
    <row r="1856" spans="1:2" x14ac:dyDescent="0.25">
      <c r="A1856"/>
      <c r="B1856"/>
    </row>
    <row r="1857" spans="1:2" x14ac:dyDescent="0.25">
      <c r="A1857"/>
      <c r="B1857"/>
    </row>
    <row r="1858" spans="1:2" x14ac:dyDescent="0.25">
      <c r="A1858"/>
      <c r="B1858"/>
    </row>
    <row r="1859" spans="1:2" x14ac:dyDescent="0.25">
      <c r="A1859"/>
      <c r="B1859"/>
    </row>
    <row r="1860" spans="1:2" x14ac:dyDescent="0.25">
      <c r="A1860"/>
      <c r="B1860"/>
    </row>
    <row r="1861" spans="1:2" x14ac:dyDescent="0.25">
      <c r="A1861"/>
      <c r="B1861"/>
    </row>
    <row r="1862" spans="1:2" x14ac:dyDescent="0.25">
      <c r="A1862"/>
      <c r="B1862"/>
    </row>
    <row r="1863" spans="1:2" x14ac:dyDescent="0.25">
      <c r="A1863"/>
      <c r="B1863"/>
    </row>
    <row r="1864" spans="1:2" x14ac:dyDescent="0.25">
      <c r="A1864"/>
      <c r="B1864"/>
    </row>
    <row r="1865" spans="1:2" x14ac:dyDescent="0.25">
      <c r="A1865"/>
      <c r="B1865"/>
    </row>
    <row r="1866" spans="1:2" x14ac:dyDescent="0.25">
      <c r="A1866"/>
      <c r="B1866"/>
    </row>
    <row r="1867" spans="1:2" x14ac:dyDescent="0.25">
      <c r="A1867"/>
      <c r="B1867"/>
    </row>
    <row r="1868" spans="1:2" x14ac:dyDescent="0.25">
      <c r="A1868"/>
      <c r="B1868"/>
    </row>
    <row r="1869" spans="1:2" x14ac:dyDescent="0.25">
      <c r="A1869"/>
      <c r="B1869"/>
    </row>
    <row r="1870" spans="1:2" x14ac:dyDescent="0.25">
      <c r="A1870"/>
      <c r="B1870"/>
    </row>
    <row r="1871" spans="1:2" x14ac:dyDescent="0.25">
      <c r="A1871"/>
      <c r="B1871"/>
    </row>
    <row r="1872" spans="1:2" x14ac:dyDescent="0.25">
      <c r="A1872"/>
      <c r="B1872"/>
    </row>
    <row r="1873" spans="1:2" x14ac:dyDescent="0.25">
      <c r="A1873"/>
      <c r="B1873"/>
    </row>
    <row r="1874" spans="1:2" x14ac:dyDescent="0.25">
      <c r="A1874"/>
      <c r="B1874"/>
    </row>
    <row r="1875" spans="1:2" x14ac:dyDescent="0.25">
      <c r="A1875"/>
      <c r="B1875"/>
    </row>
    <row r="1876" spans="1:2" x14ac:dyDescent="0.25">
      <c r="A1876"/>
      <c r="B1876"/>
    </row>
    <row r="1877" spans="1:2" x14ac:dyDescent="0.25">
      <c r="A1877"/>
      <c r="B1877"/>
    </row>
    <row r="1878" spans="1:2" x14ac:dyDescent="0.25">
      <c r="A1878"/>
      <c r="B1878"/>
    </row>
    <row r="1879" spans="1:2" x14ac:dyDescent="0.25">
      <c r="A1879"/>
      <c r="B1879"/>
    </row>
    <row r="1880" spans="1:2" x14ac:dyDescent="0.25">
      <c r="A1880"/>
      <c r="B1880"/>
    </row>
    <row r="1881" spans="1:2" x14ac:dyDescent="0.25">
      <c r="A1881"/>
      <c r="B1881"/>
    </row>
    <row r="1882" spans="1:2" x14ac:dyDescent="0.25">
      <c r="A1882"/>
      <c r="B1882"/>
    </row>
    <row r="1883" spans="1:2" x14ac:dyDescent="0.25">
      <c r="A1883"/>
      <c r="B1883"/>
    </row>
    <row r="1884" spans="1:2" x14ac:dyDescent="0.25">
      <c r="A1884"/>
      <c r="B1884"/>
    </row>
    <row r="1885" spans="1:2" x14ac:dyDescent="0.25">
      <c r="A1885"/>
      <c r="B1885"/>
    </row>
    <row r="1886" spans="1:2" x14ac:dyDescent="0.25">
      <c r="A1886"/>
      <c r="B1886"/>
    </row>
    <row r="1887" spans="1:2" x14ac:dyDescent="0.25">
      <c r="A1887"/>
      <c r="B1887"/>
    </row>
    <row r="1888" spans="1:2" x14ac:dyDescent="0.25">
      <c r="A1888"/>
      <c r="B1888"/>
    </row>
    <row r="1889" spans="1:2" x14ac:dyDescent="0.25">
      <c r="A1889"/>
      <c r="B1889"/>
    </row>
    <row r="1890" spans="1:2" x14ac:dyDescent="0.25">
      <c r="A1890"/>
      <c r="B1890"/>
    </row>
    <row r="1891" spans="1:2" x14ac:dyDescent="0.25">
      <c r="A1891"/>
      <c r="B1891"/>
    </row>
    <row r="1892" spans="1:2" x14ac:dyDescent="0.25">
      <c r="A1892"/>
      <c r="B1892"/>
    </row>
    <row r="1893" spans="1:2" x14ac:dyDescent="0.25">
      <c r="A1893"/>
      <c r="B1893"/>
    </row>
    <row r="1894" spans="1:2" x14ac:dyDescent="0.25">
      <c r="A1894"/>
      <c r="B1894"/>
    </row>
    <row r="1895" spans="1:2" x14ac:dyDescent="0.25">
      <c r="A1895"/>
      <c r="B1895"/>
    </row>
    <row r="1896" spans="1:2" x14ac:dyDescent="0.25">
      <c r="A1896"/>
      <c r="B1896"/>
    </row>
    <row r="1897" spans="1:2" x14ac:dyDescent="0.25">
      <c r="A1897"/>
      <c r="B1897"/>
    </row>
    <row r="1898" spans="1:2" x14ac:dyDescent="0.25">
      <c r="A1898"/>
      <c r="B1898"/>
    </row>
    <row r="1899" spans="1:2" x14ac:dyDescent="0.25">
      <c r="A1899"/>
      <c r="B1899"/>
    </row>
    <row r="1900" spans="1:2" x14ac:dyDescent="0.25">
      <c r="A1900"/>
      <c r="B1900"/>
    </row>
    <row r="1901" spans="1:2" x14ac:dyDescent="0.25">
      <c r="A1901"/>
      <c r="B1901"/>
    </row>
    <row r="1902" spans="1:2" x14ac:dyDescent="0.25">
      <c r="A1902"/>
      <c r="B1902"/>
    </row>
    <row r="1903" spans="1:2" x14ac:dyDescent="0.25">
      <c r="A1903"/>
      <c r="B1903"/>
    </row>
    <row r="1904" spans="1:2" x14ac:dyDescent="0.25">
      <c r="A1904"/>
      <c r="B1904"/>
    </row>
    <row r="1905" spans="1:2" x14ac:dyDescent="0.25">
      <c r="A1905"/>
      <c r="B1905"/>
    </row>
    <row r="1906" spans="1:2" x14ac:dyDescent="0.25">
      <c r="A1906"/>
      <c r="B1906"/>
    </row>
    <row r="1907" spans="1:2" x14ac:dyDescent="0.25">
      <c r="A1907"/>
      <c r="B1907"/>
    </row>
    <row r="1908" spans="1:2" x14ac:dyDescent="0.25">
      <c r="A1908"/>
      <c r="B1908"/>
    </row>
    <row r="1909" spans="1:2" x14ac:dyDescent="0.25">
      <c r="A1909"/>
      <c r="B1909"/>
    </row>
    <row r="1910" spans="1:2" x14ac:dyDescent="0.25">
      <c r="A1910"/>
      <c r="B1910"/>
    </row>
    <row r="1911" spans="1:2" x14ac:dyDescent="0.25">
      <c r="A1911"/>
      <c r="B1911"/>
    </row>
    <row r="1912" spans="1:2" x14ac:dyDescent="0.25">
      <c r="A1912"/>
      <c r="B1912"/>
    </row>
    <row r="1913" spans="1:2" x14ac:dyDescent="0.25">
      <c r="A1913"/>
      <c r="B1913"/>
    </row>
    <row r="1914" spans="1:2" x14ac:dyDescent="0.25">
      <c r="A1914"/>
      <c r="B1914"/>
    </row>
    <row r="1915" spans="1:2" x14ac:dyDescent="0.25">
      <c r="A1915"/>
      <c r="B1915"/>
    </row>
    <row r="1916" spans="1:2" x14ac:dyDescent="0.25">
      <c r="A1916"/>
      <c r="B1916"/>
    </row>
    <row r="1917" spans="1:2" x14ac:dyDescent="0.25">
      <c r="A1917"/>
      <c r="B1917"/>
    </row>
    <row r="1918" spans="1:2" x14ac:dyDescent="0.25">
      <c r="A1918"/>
      <c r="B1918"/>
    </row>
    <row r="1919" spans="1:2" x14ac:dyDescent="0.25">
      <c r="A1919"/>
      <c r="B1919"/>
    </row>
    <row r="1920" spans="1:2" x14ac:dyDescent="0.25">
      <c r="A1920"/>
      <c r="B1920"/>
    </row>
    <row r="1921" spans="1:2" x14ac:dyDescent="0.25">
      <c r="A1921"/>
      <c r="B1921"/>
    </row>
    <row r="1922" spans="1:2" x14ac:dyDescent="0.25">
      <c r="A1922"/>
      <c r="B1922"/>
    </row>
    <row r="1923" spans="1:2" x14ac:dyDescent="0.25">
      <c r="A1923"/>
      <c r="B1923"/>
    </row>
    <row r="1924" spans="1:2" x14ac:dyDescent="0.25">
      <c r="A1924"/>
      <c r="B1924"/>
    </row>
    <row r="1925" spans="1:2" x14ac:dyDescent="0.25">
      <c r="A1925"/>
      <c r="B1925"/>
    </row>
    <row r="1926" spans="1:2" x14ac:dyDescent="0.25">
      <c r="A1926"/>
      <c r="B1926"/>
    </row>
    <row r="1927" spans="1:2" x14ac:dyDescent="0.25">
      <c r="A1927"/>
      <c r="B1927"/>
    </row>
    <row r="1928" spans="1:2" x14ac:dyDescent="0.25">
      <c r="A1928"/>
      <c r="B1928"/>
    </row>
    <row r="1929" spans="1:2" x14ac:dyDescent="0.25">
      <c r="A1929"/>
      <c r="B1929"/>
    </row>
    <row r="1930" spans="1:2" x14ac:dyDescent="0.25">
      <c r="A1930"/>
      <c r="B1930"/>
    </row>
    <row r="1931" spans="1:2" x14ac:dyDescent="0.25">
      <c r="A1931"/>
      <c r="B1931"/>
    </row>
    <row r="1932" spans="1:2" x14ac:dyDescent="0.25">
      <c r="A1932"/>
      <c r="B1932"/>
    </row>
    <row r="1933" spans="1:2" x14ac:dyDescent="0.25">
      <c r="A1933"/>
      <c r="B1933"/>
    </row>
    <row r="1934" spans="1:2" x14ac:dyDescent="0.25">
      <c r="A1934"/>
      <c r="B1934"/>
    </row>
    <row r="1935" spans="1:2" x14ac:dyDescent="0.25">
      <c r="A1935"/>
      <c r="B1935"/>
    </row>
    <row r="1936" spans="1:2" x14ac:dyDescent="0.25">
      <c r="A1936"/>
      <c r="B1936"/>
    </row>
    <row r="1937" spans="1:2" x14ac:dyDescent="0.25">
      <c r="A1937"/>
      <c r="B1937"/>
    </row>
    <row r="1938" spans="1:2" x14ac:dyDescent="0.25">
      <c r="A1938"/>
      <c r="B1938"/>
    </row>
    <row r="1939" spans="1:2" x14ac:dyDescent="0.25">
      <c r="A1939"/>
      <c r="B1939"/>
    </row>
    <row r="1940" spans="1:2" x14ac:dyDescent="0.25">
      <c r="A1940"/>
      <c r="B1940"/>
    </row>
    <row r="1941" spans="1:2" x14ac:dyDescent="0.25">
      <c r="A1941"/>
      <c r="B1941"/>
    </row>
    <row r="1942" spans="1:2" x14ac:dyDescent="0.25">
      <c r="A1942"/>
      <c r="B1942"/>
    </row>
    <row r="1943" spans="1:2" x14ac:dyDescent="0.25">
      <c r="A1943"/>
      <c r="B1943"/>
    </row>
    <row r="1944" spans="1:2" x14ac:dyDescent="0.25">
      <c r="A1944"/>
      <c r="B1944"/>
    </row>
    <row r="1945" spans="1:2" x14ac:dyDescent="0.25">
      <c r="A1945"/>
      <c r="B1945"/>
    </row>
    <row r="1946" spans="1:2" x14ac:dyDescent="0.25">
      <c r="A1946"/>
      <c r="B1946"/>
    </row>
    <row r="1947" spans="1:2" x14ac:dyDescent="0.25">
      <c r="A1947"/>
      <c r="B1947"/>
    </row>
    <row r="1948" spans="1:2" x14ac:dyDescent="0.25">
      <c r="A1948"/>
      <c r="B1948"/>
    </row>
    <row r="1949" spans="1:2" x14ac:dyDescent="0.25">
      <c r="A1949"/>
      <c r="B1949"/>
    </row>
    <row r="1950" spans="1:2" x14ac:dyDescent="0.25">
      <c r="A1950"/>
      <c r="B1950"/>
    </row>
    <row r="1951" spans="1:2" x14ac:dyDescent="0.25">
      <c r="A1951"/>
      <c r="B1951"/>
    </row>
    <row r="1952" spans="1:2" x14ac:dyDescent="0.25">
      <c r="A1952"/>
      <c r="B1952"/>
    </row>
    <row r="1953" spans="1:2" x14ac:dyDescent="0.25">
      <c r="A1953"/>
      <c r="B1953"/>
    </row>
    <row r="1954" spans="1:2" x14ac:dyDescent="0.25">
      <c r="A1954"/>
      <c r="B1954"/>
    </row>
    <row r="1955" spans="1:2" x14ac:dyDescent="0.25">
      <c r="A1955"/>
      <c r="B1955"/>
    </row>
    <row r="1956" spans="1:2" x14ac:dyDescent="0.25">
      <c r="A1956"/>
      <c r="B1956"/>
    </row>
    <row r="1957" spans="1:2" x14ac:dyDescent="0.25">
      <c r="A1957"/>
      <c r="B1957"/>
    </row>
    <row r="1958" spans="1:2" x14ac:dyDescent="0.25">
      <c r="A1958"/>
      <c r="B1958"/>
    </row>
    <row r="1959" spans="1:2" x14ac:dyDescent="0.25">
      <c r="A1959"/>
      <c r="B1959"/>
    </row>
    <row r="1960" spans="1:2" x14ac:dyDescent="0.25">
      <c r="A1960"/>
      <c r="B1960"/>
    </row>
    <row r="1961" spans="1:2" x14ac:dyDescent="0.25">
      <c r="A1961"/>
      <c r="B1961"/>
    </row>
    <row r="1962" spans="1:2" x14ac:dyDescent="0.25">
      <c r="A1962"/>
      <c r="B1962"/>
    </row>
    <row r="1963" spans="1:2" x14ac:dyDescent="0.25">
      <c r="A1963"/>
      <c r="B1963"/>
    </row>
    <row r="1964" spans="1:2" x14ac:dyDescent="0.25">
      <c r="A1964"/>
      <c r="B1964"/>
    </row>
    <row r="1965" spans="1:2" x14ac:dyDescent="0.25">
      <c r="A1965"/>
      <c r="B1965"/>
    </row>
    <row r="1966" spans="1:2" x14ac:dyDescent="0.25">
      <c r="A1966"/>
      <c r="B1966"/>
    </row>
    <row r="1967" spans="1:2" x14ac:dyDescent="0.25">
      <c r="A1967"/>
      <c r="B1967"/>
    </row>
    <row r="1968" spans="1:2" x14ac:dyDescent="0.25">
      <c r="A1968"/>
      <c r="B1968"/>
    </row>
    <row r="1969" spans="1:2" x14ac:dyDescent="0.25">
      <c r="A1969"/>
      <c r="B1969"/>
    </row>
    <row r="1970" spans="1:2" x14ac:dyDescent="0.25">
      <c r="A1970"/>
      <c r="B1970"/>
    </row>
    <row r="1971" spans="1:2" x14ac:dyDescent="0.25">
      <c r="A1971"/>
      <c r="B1971"/>
    </row>
    <row r="1972" spans="1:2" x14ac:dyDescent="0.25">
      <c r="A1972"/>
      <c r="B1972"/>
    </row>
    <row r="1973" spans="1:2" x14ac:dyDescent="0.25">
      <c r="A1973"/>
      <c r="B1973"/>
    </row>
    <row r="1974" spans="1:2" x14ac:dyDescent="0.25">
      <c r="A1974"/>
      <c r="B1974"/>
    </row>
    <row r="1975" spans="1:2" x14ac:dyDescent="0.25">
      <c r="A1975"/>
      <c r="B1975"/>
    </row>
    <row r="1976" spans="1:2" x14ac:dyDescent="0.25">
      <c r="A1976"/>
      <c r="B1976"/>
    </row>
    <row r="1977" spans="1:2" x14ac:dyDescent="0.25">
      <c r="A1977"/>
      <c r="B1977"/>
    </row>
    <row r="1978" spans="1:2" x14ac:dyDescent="0.25">
      <c r="A1978"/>
      <c r="B1978"/>
    </row>
    <row r="1979" spans="1:2" x14ac:dyDescent="0.25">
      <c r="A1979"/>
      <c r="B1979"/>
    </row>
    <row r="1980" spans="1:2" x14ac:dyDescent="0.25">
      <c r="A1980"/>
      <c r="B1980"/>
    </row>
    <row r="1981" spans="1:2" x14ac:dyDescent="0.25">
      <c r="A1981"/>
      <c r="B1981"/>
    </row>
    <row r="1982" spans="1:2" x14ac:dyDescent="0.25">
      <c r="A1982"/>
      <c r="B1982"/>
    </row>
    <row r="1983" spans="1:2" x14ac:dyDescent="0.25">
      <c r="A1983"/>
      <c r="B1983"/>
    </row>
    <row r="1984" spans="1:2" x14ac:dyDescent="0.25">
      <c r="A1984"/>
      <c r="B1984"/>
    </row>
    <row r="1985" spans="1:2" x14ac:dyDescent="0.25">
      <c r="A1985"/>
      <c r="B1985"/>
    </row>
    <row r="1986" spans="1:2" x14ac:dyDescent="0.25">
      <c r="A1986"/>
      <c r="B1986"/>
    </row>
    <row r="1987" spans="1:2" x14ac:dyDescent="0.25">
      <c r="A1987"/>
      <c r="B1987"/>
    </row>
    <row r="1988" spans="1:2" x14ac:dyDescent="0.25">
      <c r="A1988"/>
      <c r="B1988"/>
    </row>
    <row r="1989" spans="1:2" x14ac:dyDescent="0.25">
      <c r="A1989"/>
      <c r="B1989"/>
    </row>
    <row r="1990" spans="1:2" x14ac:dyDescent="0.25">
      <c r="A1990"/>
      <c r="B1990"/>
    </row>
    <row r="1991" spans="1:2" x14ac:dyDescent="0.25">
      <c r="A1991"/>
      <c r="B1991"/>
    </row>
    <row r="1992" spans="1:2" x14ac:dyDescent="0.25">
      <c r="A1992"/>
      <c r="B1992"/>
    </row>
    <row r="1993" spans="1:2" x14ac:dyDescent="0.25">
      <c r="A1993"/>
      <c r="B1993"/>
    </row>
    <row r="1994" spans="1:2" x14ac:dyDescent="0.25">
      <c r="A1994"/>
      <c r="B1994"/>
    </row>
    <row r="1995" spans="1:2" x14ac:dyDescent="0.25">
      <c r="A1995"/>
      <c r="B1995"/>
    </row>
    <row r="1996" spans="1:2" x14ac:dyDescent="0.25">
      <c r="A1996"/>
      <c r="B1996"/>
    </row>
    <row r="1997" spans="1:2" x14ac:dyDescent="0.25">
      <c r="A1997"/>
      <c r="B1997"/>
    </row>
    <row r="1998" spans="1:2" x14ac:dyDescent="0.25">
      <c r="A1998"/>
      <c r="B1998"/>
    </row>
    <row r="1999" spans="1:2" x14ac:dyDescent="0.25">
      <c r="A1999"/>
      <c r="B1999"/>
    </row>
    <row r="2000" spans="1:2" x14ac:dyDescent="0.25">
      <c r="A2000"/>
      <c r="B2000"/>
    </row>
    <row r="2001" spans="1:2" x14ac:dyDescent="0.25">
      <c r="A2001"/>
      <c r="B2001"/>
    </row>
    <row r="2002" spans="1:2" x14ac:dyDescent="0.25">
      <c r="A2002"/>
      <c r="B2002"/>
    </row>
    <row r="2003" spans="1:2" x14ac:dyDescent="0.25">
      <c r="A2003"/>
      <c r="B2003"/>
    </row>
    <row r="2004" spans="1:2" x14ac:dyDescent="0.25">
      <c r="A2004"/>
      <c r="B2004"/>
    </row>
    <row r="2005" spans="1:2" x14ac:dyDescent="0.25">
      <c r="A2005"/>
      <c r="B2005"/>
    </row>
    <row r="2006" spans="1:2" x14ac:dyDescent="0.25">
      <c r="A2006"/>
      <c r="B2006"/>
    </row>
    <row r="2007" spans="1:2" x14ac:dyDescent="0.25">
      <c r="A2007"/>
      <c r="B2007"/>
    </row>
    <row r="2008" spans="1:2" x14ac:dyDescent="0.25">
      <c r="A2008"/>
      <c r="B2008"/>
    </row>
    <row r="2009" spans="1:2" x14ac:dyDescent="0.25">
      <c r="A2009"/>
      <c r="B2009"/>
    </row>
    <row r="2010" spans="1:2" x14ac:dyDescent="0.25">
      <c r="A2010"/>
      <c r="B2010"/>
    </row>
    <row r="2011" spans="1:2" x14ac:dyDescent="0.25">
      <c r="A2011"/>
      <c r="B2011"/>
    </row>
    <row r="2012" spans="1:2" x14ac:dyDescent="0.25">
      <c r="A2012"/>
      <c r="B2012"/>
    </row>
    <row r="2013" spans="1:2" x14ac:dyDescent="0.25">
      <c r="A2013"/>
      <c r="B2013"/>
    </row>
    <row r="2014" spans="1:2" x14ac:dyDescent="0.25">
      <c r="A2014"/>
      <c r="B2014"/>
    </row>
    <row r="2015" spans="1:2" x14ac:dyDescent="0.25">
      <c r="A2015"/>
      <c r="B2015"/>
    </row>
    <row r="2016" spans="1:2" x14ac:dyDescent="0.25">
      <c r="A2016"/>
      <c r="B2016"/>
    </row>
    <row r="2017" spans="1:2" x14ac:dyDescent="0.25">
      <c r="A2017"/>
      <c r="B2017"/>
    </row>
    <row r="2018" spans="1:2" x14ac:dyDescent="0.25">
      <c r="A2018"/>
      <c r="B2018"/>
    </row>
    <row r="2019" spans="1:2" x14ac:dyDescent="0.25">
      <c r="A2019"/>
      <c r="B2019"/>
    </row>
    <row r="2020" spans="1:2" x14ac:dyDescent="0.25">
      <c r="A2020"/>
      <c r="B2020"/>
    </row>
    <row r="2021" spans="1:2" x14ac:dyDescent="0.25">
      <c r="A2021"/>
      <c r="B2021"/>
    </row>
    <row r="2022" spans="1:2" x14ac:dyDescent="0.25">
      <c r="A2022"/>
      <c r="B2022"/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  <row r="2207" spans="1:2" x14ac:dyDescent="0.25">
      <c r="A2207"/>
      <c r="B2207"/>
    </row>
    <row r="2208" spans="1:2" x14ac:dyDescent="0.25">
      <c r="A2208"/>
      <c r="B2208"/>
    </row>
    <row r="2209" spans="1:2" x14ac:dyDescent="0.25">
      <c r="A2209"/>
      <c r="B2209"/>
    </row>
    <row r="2210" spans="1:2" x14ac:dyDescent="0.25">
      <c r="A2210"/>
      <c r="B2210"/>
    </row>
    <row r="2211" spans="1:2" x14ac:dyDescent="0.25">
      <c r="A2211"/>
      <c r="B2211"/>
    </row>
    <row r="2212" spans="1:2" x14ac:dyDescent="0.25">
      <c r="A2212"/>
      <c r="B2212"/>
    </row>
    <row r="2213" spans="1:2" x14ac:dyDescent="0.25">
      <c r="A2213"/>
      <c r="B2213"/>
    </row>
    <row r="2214" spans="1:2" x14ac:dyDescent="0.25">
      <c r="A2214"/>
      <c r="B2214"/>
    </row>
    <row r="2215" spans="1:2" x14ac:dyDescent="0.25">
      <c r="A2215"/>
      <c r="B2215"/>
    </row>
    <row r="2216" spans="1:2" x14ac:dyDescent="0.25">
      <c r="A2216"/>
      <c r="B2216"/>
    </row>
    <row r="2217" spans="1:2" x14ac:dyDescent="0.25">
      <c r="A2217"/>
      <c r="B2217"/>
    </row>
    <row r="2218" spans="1:2" x14ac:dyDescent="0.25">
      <c r="A2218"/>
      <c r="B2218"/>
    </row>
    <row r="2219" spans="1:2" x14ac:dyDescent="0.25">
      <c r="A2219"/>
      <c r="B2219"/>
    </row>
    <row r="2220" spans="1:2" x14ac:dyDescent="0.25">
      <c r="A2220"/>
      <c r="B2220"/>
    </row>
    <row r="2221" spans="1:2" x14ac:dyDescent="0.25">
      <c r="A2221"/>
      <c r="B2221"/>
    </row>
    <row r="2222" spans="1:2" x14ac:dyDescent="0.25">
      <c r="A2222"/>
      <c r="B2222"/>
    </row>
    <row r="2223" spans="1:2" x14ac:dyDescent="0.25">
      <c r="A2223"/>
      <c r="B2223"/>
    </row>
    <row r="2224" spans="1:2" x14ac:dyDescent="0.25">
      <c r="A2224"/>
      <c r="B2224"/>
    </row>
    <row r="2225" spans="1:2" x14ac:dyDescent="0.25">
      <c r="A2225"/>
      <c r="B2225"/>
    </row>
    <row r="2226" spans="1:2" x14ac:dyDescent="0.25">
      <c r="A2226"/>
      <c r="B2226"/>
    </row>
    <row r="2227" spans="1:2" x14ac:dyDescent="0.25">
      <c r="A2227"/>
      <c r="B2227"/>
    </row>
    <row r="2228" spans="1:2" x14ac:dyDescent="0.25">
      <c r="A2228"/>
      <c r="B2228"/>
    </row>
    <row r="2229" spans="1:2" x14ac:dyDescent="0.25">
      <c r="A2229"/>
      <c r="B2229"/>
    </row>
    <row r="2230" spans="1:2" x14ac:dyDescent="0.25">
      <c r="A2230"/>
      <c r="B2230"/>
    </row>
    <row r="2231" spans="1:2" x14ac:dyDescent="0.25">
      <c r="A2231"/>
      <c r="B2231"/>
    </row>
    <row r="2232" spans="1:2" x14ac:dyDescent="0.25">
      <c r="A2232"/>
      <c r="B2232"/>
    </row>
    <row r="2233" spans="1:2" x14ac:dyDescent="0.25">
      <c r="A2233"/>
      <c r="B2233"/>
    </row>
    <row r="2234" spans="1:2" x14ac:dyDescent="0.25">
      <c r="A2234"/>
      <c r="B2234"/>
    </row>
    <row r="2235" spans="1:2" x14ac:dyDescent="0.25">
      <c r="A2235"/>
      <c r="B2235"/>
    </row>
    <row r="2236" spans="1:2" x14ac:dyDescent="0.25">
      <c r="A2236"/>
      <c r="B2236"/>
    </row>
    <row r="2237" spans="1:2" x14ac:dyDescent="0.25">
      <c r="A2237"/>
      <c r="B2237"/>
    </row>
    <row r="2238" spans="1:2" x14ac:dyDescent="0.25">
      <c r="A2238"/>
      <c r="B2238"/>
    </row>
    <row r="2239" spans="1:2" x14ac:dyDescent="0.25">
      <c r="A2239"/>
      <c r="B2239"/>
    </row>
    <row r="2240" spans="1:2" x14ac:dyDescent="0.25">
      <c r="A2240"/>
      <c r="B2240"/>
    </row>
    <row r="2241" spans="1:2" x14ac:dyDescent="0.25">
      <c r="A2241"/>
      <c r="B2241"/>
    </row>
    <row r="2242" spans="1:2" x14ac:dyDescent="0.25">
      <c r="A2242"/>
      <c r="B2242"/>
    </row>
    <row r="2243" spans="1:2" x14ac:dyDescent="0.25">
      <c r="A2243"/>
      <c r="B2243"/>
    </row>
    <row r="2244" spans="1:2" x14ac:dyDescent="0.25">
      <c r="A2244"/>
      <c r="B2244"/>
    </row>
    <row r="2245" spans="1:2" x14ac:dyDescent="0.25">
      <c r="A2245"/>
      <c r="B2245"/>
    </row>
    <row r="2246" spans="1:2" x14ac:dyDescent="0.25">
      <c r="A2246"/>
      <c r="B2246"/>
    </row>
    <row r="2247" spans="1:2" x14ac:dyDescent="0.25">
      <c r="A2247"/>
      <c r="B2247"/>
    </row>
    <row r="2248" spans="1:2" x14ac:dyDescent="0.25">
      <c r="A2248"/>
      <c r="B2248"/>
    </row>
    <row r="2249" spans="1:2" x14ac:dyDescent="0.25">
      <c r="A2249"/>
      <c r="B2249"/>
    </row>
    <row r="2250" spans="1:2" x14ac:dyDescent="0.25">
      <c r="A2250"/>
      <c r="B2250"/>
    </row>
    <row r="2251" spans="1:2" x14ac:dyDescent="0.25">
      <c r="A2251"/>
      <c r="B2251"/>
    </row>
    <row r="2252" spans="1:2" x14ac:dyDescent="0.25">
      <c r="A2252"/>
      <c r="B2252"/>
    </row>
    <row r="2253" spans="1:2" x14ac:dyDescent="0.25">
      <c r="A2253"/>
      <c r="B2253"/>
    </row>
    <row r="2254" spans="1:2" x14ac:dyDescent="0.25">
      <c r="A2254"/>
      <c r="B2254"/>
    </row>
    <row r="2255" spans="1:2" x14ac:dyDescent="0.25">
      <c r="A2255"/>
      <c r="B2255"/>
    </row>
    <row r="2256" spans="1:2" x14ac:dyDescent="0.25">
      <c r="A2256"/>
      <c r="B2256"/>
    </row>
    <row r="2257" spans="1:2" x14ac:dyDescent="0.25">
      <c r="A2257"/>
      <c r="B2257"/>
    </row>
    <row r="2258" spans="1:2" x14ac:dyDescent="0.25">
      <c r="A2258"/>
      <c r="B2258"/>
    </row>
    <row r="2259" spans="1:2" x14ac:dyDescent="0.25">
      <c r="A2259"/>
      <c r="B2259"/>
    </row>
    <row r="2260" spans="1:2" x14ac:dyDescent="0.25">
      <c r="A2260"/>
      <c r="B2260"/>
    </row>
    <row r="2261" spans="1:2" x14ac:dyDescent="0.25">
      <c r="A2261"/>
      <c r="B2261"/>
    </row>
    <row r="2262" spans="1:2" x14ac:dyDescent="0.25">
      <c r="A2262"/>
      <c r="B2262"/>
    </row>
    <row r="2263" spans="1:2" x14ac:dyDescent="0.25">
      <c r="A2263"/>
      <c r="B2263"/>
    </row>
    <row r="2264" spans="1:2" x14ac:dyDescent="0.25">
      <c r="A2264"/>
      <c r="B2264"/>
    </row>
    <row r="2265" spans="1:2" x14ac:dyDescent="0.25">
      <c r="A2265"/>
      <c r="B2265"/>
    </row>
    <row r="2266" spans="1:2" x14ac:dyDescent="0.25">
      <c r="A2266"/>
      <c r="B2266"/>
    </row>
    <row r="2267" spans="1:2" x14ac:dyDescent="0.25">
      <c r="A2267"/>
      <c r="B2267"/>
    </row>
    <row r="2268" spans="1:2" x14ac:dyDescent="0.25">
      <c r="A2268"/>
      <c r="B2268"/>
    </row>
    <row r="2269" spans="1:2" x14ac:dyDescent="0.25">
      <c r="A2269"/>
      <c r="B2269"/>
    </row>
    <row r="2270" spans="1:2" x14ac:dyDescent="0.25">
      <c r="A2270"/>
      <c r="B2270"/>
    </row>
    <row r="2271" spans="1:2" x14ac:dyDescent="0.25">
      <c r="A2271"/>
      <c r="B2271"/>
    </row>
    <row r="2272" spans="1:2" x14ac:dyDescent="0.25">
      <c r="A2272"/>
      <c r="B2272"/>
    </row>
    <row r="2273" spans="1:2" x14ac:dyDescent="0.25">
      <c r="A2273"/>
      <c r="B2273"/>
    </row>
    <row r="2274" spans="1:2" x14ac:dyDescent="0.25">
      <c r="A2274"/>
      <c r="B2274"/>
    </row>
    <row r="2275" spans="1:2" x14ac:dyDescent="0.25">
      <c r="A2275"/>
      <c r="B2275"/>
    </row>
    <row r="2276" spans="1:2" x14ac:dyDescent="0.25">
      <c r="A2276"/>
      <c r="B2276"/>
    </row>
    <row r="2277" spans="1:2" x14ac:dyDescent="0.25">
      <c r="A2277"/>
      <c r="B2277"/>
    </row>
    <row r="2278" spans="1:2" x14ac:dyDescent="0.25">
      <c r="A2278"/>
      <c r="B2278"/>
    </row>
    <row r="2279" spans="1:2" x14ac:dyDescent="0.25">
      <c r="A2279"/>
      <c r="B2279"/>
    </row>
    <row r="2280" spans="1:2" x14ac:dyDescent="0.25">
      <c r="A2280"/>
      <c r="B2280"/>
    </row>
    <row r="2281" spans="1:2" x14ac:dyDescent="0.25">
      <c r="A2281"/>
      <c r="B2281"/>
    </row>
    <row r="2282" spans="1:2" x14ac:dyDescent="0.25">
      <c r="A2282"/>
      <c r="B2282"/>
    </row>
    <row r="2283" spans="1:2" x14ac:dyDescent="0.25">
      <c r="A2283"/>
      <c r="B2283"/>
    </row>
    <row r="2284" spans="1:2" x14ac:dyDescent="0.25">
      <c r="A2284"/>
      <c r="B2284"/>
    </row>
    <row r="2285" spans="1:2" x14ac:dyDescent="0.25">
      <c r="A2285"/>
      <c r="B2285"/>
    </row>
    <row r="2286" spans="1:2" x14ac:dyDescent="0.25">
      <c r="A2286"/>
      <c r="B2286"/>
    </row>
    <row r="2287" spans="1:2" x14ac:dyDescent="0.25">
      <c r="A2287"/>
      <c r="B2287"/>
    </row>
    <row r="2288" spans="1:2" x14ac:dyDescent="0.25">
      <c r="A2288"/>
      <c r="B2288"/>
    </row>
    <row r="2289" spans="1:2" x14ac:dyDescent="0.25">
      <c r="A2289"/>
      <c r="B2289"/>
    </row>
    <row r="2290" spans="1:2" x14ac:dyDescent="0.25">
      <c r="A2290"/>
      <c r="B2290"/>
    </row>
    <row r="2291" spans="1:2" x14ac:dyDescent="0.25">
      <c r="A2291"/>
      <c r="B2291"/>
    </row>
    <row r="2292" spans="1:2" x14ac:dyDescent="0.25">
      <c r="A2292"/>
      <c r="B2292"/>
    </row>
    <row r="2293" spans="1:2" x14ac:dyDescent="0.25">
      <c r="A2293"/>
      <c r="B2293"/>
    </row>
    <row r="2294" spans="1:2" x14ac:dyDescent="0.25">
      <c r="A2294"/>
      <c r="B2294"/>
    </row>
    <row r="2295" spans="1:2" x14ac:dyDescent="0.25">
      <c r="A2295"/>
      <c r="B2295"/>
    </row>
    <row r="2296" spans="1:2" x14ac:dyDescent="0.25">
      <c r="A2296"/>
      <c r="B2296"/>
    </row>
    <row r="2297" spans="1:2" x14ac:dyDescent="0.25">
      <c r="A2297"/>
      <c r="B2297"/>
    </row>
    <row r="2298" spans="1:2" x14ac:dyDescent="0.25">
      <c r="A2298"/>
      <c r="B2298"/>
    </row>
    <row r="2299" spans="1:2" x14ac:dyDescent="0.25">
      <c r="A2299"/>
      <c r="B2299"/>
    </row>
    <row r="2300" spans="1:2" x14ac:dyDescent="0.25">
      <c r="A2300"/>
      <c r="B2300"/>
    </row>
    <row r="2301" spans="1:2" x14ac:dyDescent="0.25">
      <c r="A2301"/>
      <c r="B2301"/>
    </row>
    <row r="2302" spans="1:2" x14ac:dyDescent="0.25">
      <c r="A2302"/>
      <c r="B2302"/>
    </row>
    <row r="2303" spans="1:2" x14ac:dyDescent="0.25">
      <c r="A2303"/>
      <c r="B2303"/>
    </row>
    <row r="2304" spans="1:2" x14ac:dyDescent="0.25">
      <c r="A2304"/>
      <c r="B2304"/>
    </row>
    <row r="2305" spans="1:2" x14ac:dyDescent="0.25">
      <c r="A2305"/>
      <c r="B2305"/>
    </row>
    <row r="2306" spans="1:2" x14ac:dyDescent="0.25">
      <c r="A2306"/>
      <c r="B2306"/>
    </row>
    <row r="2307" spans="1:2" x14ac:dyDescent="0.25">
      <c r="A2307"/>
      <c r="B2307"/>
    </row>
    <row r="2308" spans="1:2" x14ac:dyDescent="0.25">
      <c r="A2308"/>
      <c r="B2308"/>
    </row>
    <row r="2309" spans="1:2" x14ac:dyDescent="0.25">
      <c r="A2309"/>
      <c r="B2309"/>
    </row>
    <row r="2310" spans="1:2" x14ac:dyDescent="0.25">
      <c r="A2310"/>
      <c r="B2310"/>
    </row>
    <row r="2311" spans="1:2" x14ac:dyDescent="0.25">
      <c r="A2311"/>
      <c r="B2311"/>
    </row>
    <row r="2312" spans="1:2" x14ac:dyDescent="0.25">
      <c r="A2312"/>
      <c r="B2312"/>
    </row>
    <row r="2313" spans="1:2" x14ac:dyDescent="0.25">
      <c r="A2313"/>
      <c r="B2313"/>
    </row>
    <row r="2314" spans="1:2" x14ac:dyDescent="0.25">
      <c r="A2314"/>
      <c r="B2314"/>
    </row>
    <row r="2315" spans="1:2" x14ac:dyDescent="0.25">
      <c r="A2315"/>
      <c r="B2315"/>
    </row>
    <row r="2316" spans="1:2" x14ac:dyDescent="0.25">
      <c r="A2316"/>
      <c r="B2316"/>
    </row>
    <row r="2317" spans="1:2" x14ac:dyDescent="0.25">
      <c r="A2317"/>
      <c r="B2317"/>
    </row>
    <row r="2318" spans="1:2" x14ac:dyDescent="0.25">
      <c r="A2318"/>
      <c r="B2318"/>
    </row>
    <row r="2319" spans="1:2" x14ac:dyDescent="0.25">
      <c r="A2319"/>
      <c r="B2319"/>
    </row>
    <row r="2320" spans="1:2" x14ac:dyDescent="0.25">
      <c r="A2320"/>
      <c r="B2320"/>
    </row>
    <row r="2321" spans="1:2" x14ac:dyDescent="0.25">
      <c r="A2321"/>
      <c r="B2321"/>
    </row>
    <row r="2322" spans="1:2" x14ac:dyDescent="0.25">
      <c r="A2322"/>
      <c r="B2322"/>
    </row>
    <row r="2323" spans="1:2" x14ac:dyDescent="0.25">
      <c r="A2323"/>
      <c r="B2323"/>
    </row>
    <row r="2324" spans="1:2" x14ac:dyDescent="0.25">
      <c r="A2324"/>
      <c r="B2324"/>
    </row>
    <row r="2325" spans="1:2" x14ac:dyDescent="0.25">
      <c r="A2325"/>
      <c r="B2325"/>
    </row>
    <row r="2326" spans="1:2" x14ac:dyDescent="0.25">
      <c r="A2326"/>
      <c r="B2326"/>
    </row>
    <row r="2327" spans="1:2" x14ac:dyDescent="0.25">
      <c r="A2327"/>
      <c r="B2327"/>
    </row>
    <row r="2328" spans="1:2" x14ac:dyDescent="0.25">
      <c r="A2328"/>
      <c r="B2328"/>
    </row>
    <row r="2329" spans="1:2" x14ac:dyDescent="0.25">
      <c r="A2329"/>
      <c r="B2329"/>
    </row>
    <row r="2330" spans="1:2" x14ac:dyDescent="0.25">
      <c r="A2330"/>
      <c r="B2330"/>
    </row>
    <row r="2331" spans="1:2" x14ac:dyDescent="0.25">
      <c r="A2331"/>
      <c r="B2331"/>
    </row>
    <row r="2332" spans="1:2" x14ac:dyDescent="0.25">
      <c r="A2332"/>
      <c r="B2332"/>
    </row>
    <row r="2333" spans="1:2" x14ac:dyDescent="0.25">
      <c r="A2333"/>
      <c r="B2333"/>
    </row>
    <row r="2334" spans="1:2" x14ac:dyDescent="0.25">
      <c r="A2334"/>
      <c r="B2334"/>
    </row>
    <row r="2335" spans="1:2" x14ac:dyDescent="0.25">
      <c r="A2335"/>
      <c r="B2335"/>
    </row>
    <row r="2336" spans="1:2" x14ac:dyDescent="0.25">
      <c r="A2336"/>
      <c r="B2336"/>
    </row>
    <row r="2337" spans="1:2" x14ac:dyDescent="0.25">
      <c r="A2337"/>
      <c r="B2337"/>
    </row>
    <row r="2338" spans="1:2" x14ac:dyDescent="0.25">
      <c r="A2338"/>
      <c r="B2338"/>
    </row>
    <row r="2339" spans="1:2" x14ac:dyDescent="0.25">
      <c r="A2339"/>
      <c r="B2339"/>
    </row>
    <row r="2340" spans="1:2" x14ac:dyDescent="0.25">
      <c r="A2340"/>
      <c r="B2340"/>
    </row>
    <row r="2341" spans="1:2" x14ac:dyDescent="0.25">
      <c r="A2341"/>
      <c r="B2341"/>
    </row>
    <row r="2342" spans="1:2" x14ac:dyDescent="0.25">
      <c r="A2342"/>
      <c r="B2342"/>
    </row>
    <row r="2343" spans="1:2" x14ac:dyDescent="0.25">
      <c r="A2343"/>
      <c r="B2343"/>
    </row>
    <row r="2344" spans="1:2" x14ac:dyDescent="0.25">
      <c r="A2344"/>
      <c r="B2344"/>
    </row>
    <row r="2345" spans="1:2" x14ac:dyDescent="0.25">
      <c r="A2345"/>
      <c r="B2345"/>
    </row>
    <row r="2346" spans="1:2" x14ac:dyDescent="0.25">
      <c r="A2346"/>
      <c r="B2346"/>
    </row>
    <row r="2347" spans="1:2" x14ac:dyDescent="0.25">
      <c r="A2347"/>
      <c r="B2347"/>
    </row>
    <row r="2348" spans="1:2" x14ac:dyDescent="0.25">
      <c r="A2348"/>
      <c r="B2348"/>
    </row>
    <row r="2349" spans="1:2" x14ac:dyDescent="0.25">
      <c r="A2349"/>
      <c r="B2349"/>
    </row>
    <row r="2350" spans="1:2" x14ac:dyDescent="0.25">
      <c r="A2350"/>
      <c r="B2350"/>
    </row>
    <row r="2351" spans="1:2" x14ac:dyDescent="0.25">
      <c r="A2351"/>
      <c r="B2351"/>
    </row>
    <row r="2352" spans="1:2" x14ac:dyDescent="0.25">
      <c r="A2352"/>
      <c r="B2352"/>
    </row>
    <row r="2353" spans="1:2" x14ac:dyDescent="0.25">
      <c r="A2353"/>
      <c r="B2353"/>
    </row>
    <row r="2354" spans="1:2" x14ac:dyDescent="0.25">
      <c r="A2354"/>
      <c r="B2354"/>
    </row>
    <row r="2355" spans="1:2" x14ac:dyDescent="0.25">
      <c r="A2355"/>
      <c r="B2355"/>
    </row>
    <row r="2356" spans="1:2" x14ac:dyDescent="0.25">
      <c r="A2356"/>
      <c r="B2356"/>
    </row>
    <row r="2357" spans="1:2" x14ac:dyDescent="0.25">
      <c r="A2357"/>
      <c r="B2357"/>
    </row>
    <row r="2358" spans="1:2" x14ac:dyDescent="0.25">
      <c r="A2358"/>
      <c r="B2358"/>
    </row>
    <row r="2359" spans="1:2" x14ac:dyDescent="0.25">
      <c r="A2359"/>
      <c r="B2359"/>
    </row>
    <row r="2360" spans="1:2" x14ac:dyDescent="0.25">
      <c r="A2360"/>
      <c r="B2360"/>
    </row>
    <row r="2361" spans="1:2" x14ac:dyDescent="0.25">
      <c r="A2361"/>
      <c r="B2361"/>
    </row>
    <row r="2362" spans="1:2" x14ac:dyDescent="0.25">
      <c r="A2362"/>
      <c r="B2362"/>
    </row>
    <row r="2363" spans="1:2" x14ac:dyDescent="0.25">
      <c r="A2363"/>
      <c r="B2363"/>
    </row>
    <row r="2364" spans="1:2" x14ac:dyDescent="0.25">
      <c r="A2364"/>
      <c r="B2364"/>
    </row>
    <row r="2365" spans="1:2" x14ac:dyDescent="0.25">
      <c r="A2365"/>
      <c r="B2365"/>
    </row>
    <row r="2366" spans="1:2" x14ac:dyDescent="0.25">
      <c r="A2366"/>
      <c r="B2366"/>
    </row>
    <row r="2367" spans="1:2" x14ac:dyDescent="0.25">
      <c r="A2367"/>
      <c r="B2367"/>
    </row>
    <row r="2368" spans="1:2" x14ac:dyDescent="0.25">
      <c r="A2368"/>
      <c r="B2368"/>
    </row>
    <row r="2369" spans="1:2" x14ac:dyDescent="0.25">
      <c r="A2369"/>
      <c r="B2369"/>
    </row>
    <row r="2370" spans="1:2" x14ac:dyDescent="0.25">
      <c r="A2370"/>
      <c r="B2370"/>
    </row>
    <row r="2371" spans="1:2" x14ac:dyDescent="0.25">
      <c r="A2371"/>
      <c r="B2371"/>
    </row>
    <row r="2372" spans="1:2" x14ac:dyDescent="0.25">
      <c r="A2372"/>
      <c r="B2372"/>
    </row>
    <row r="2373" spans="1:2" x14ac:dyDescent="0.25">
      <c r="A2373"/>
      <c r="B2373"/>
    </row>
    <row r="2374" spans="1:2" x14ac:dyDescent="0.25">
      <c r="A2374"/>
      <c r="B2374"/>
    </row>
    <row r="2375" spans="1:2" x14ac:dyDescent="0.25">
      <c r="A2375"/>
      <c r="B2375"/>
    </row>
    <row r="2376" spans="1:2" x14ac:dyDescent="0.25">
      <c r="A2376"/>
      <c r="B2376"/>
    </row>
    <row r="2377" spans="1:2" x14ac:dyDescent="0.25">
      <c r="A2377"/>
      <c r="B2377"/>
    </row>
    <row r="2378" spans="1:2" x14ac:dyDescent="0.25">
      <c r="A2378"/>
      <c r="B2378"/>
    </row>
    <row r="2379" spans="1:2" x14ac:dyDescent="0.25">
      <c r="A2379"/>
      <c r="B2379"/>
    </row>
    <row r="2380" spans="1:2" x14ac:dyDescent="0.25">
      <c r="A2380"/>
      <c r="B2380"/>
    </row>
    <row r="2381" spans="1:2" x14ac:dyDescent="0.25">
      <c r="A2381"/>
      <c r="B2381"/>
    </row>
    <row r="2382" spans="1:2" x14ac:dyDescent="0.25">
      <c r="A2382"/>
      <c r="B2382"/>
    </row>
    <row r="2383" spans="1:2" x14ac:dyDescent="0.25">
      <c r="A2383"/>
      <c r="B2383"/>
    </row>
    <row r="2384" spans="1:2" x14ac:dyDescent="0.25">
      <c r="A2384"/>
      <c r="B2384"/>
    </row>
    <row r="2385" spans="1:2" x14ac:dyDescent="0.25">
      <c r="A2385"/>
      <c r="B2385"/>
    </row>
    <row r="2386" spans="1:2" x14ac:dyDescent="0.25">
      <c r="A2386"/>
      <c r="B2386"/>
    </row>
    <row r="2387" spans="1:2" x14ac:dyDescent="0.25">
      <c r="A2387"/>
      <c r="B2387"/>
    </row>
    <row r="2388" spans="1:2" x14ac:dyDescent="0.25">
      <c r="A2388"/>
      <c r="B2388"/>
    </row>
    <row r="2389" spans="1:2" x14ac:dyDescent="0.25">
      <c r="A2389"/>
      <c r="B2389"/>
    </row>
    <row r="2390" spans="1:2" x14ac:dyDescent="0.25">
      <c r="A2390"/>
      <c r="B2390"/>
    </row>
    <row r="2391" spans="1:2" x14ac:dyDescent="0.25">
      <c r="A2391"/>
      <c r="B2391"/>
    </row>
    <row r="2392" spans="1:2" x14ac:dyDescent="0.25">
      <c r="A2392"/>
      <c r="B2392"/>
    </row>
    <row r="2393" spans="1:2" x14ac:dyDescent="0.25">
      <c r="A2393"/>
      <c r="B2393"/>
    </row>
    <row r="2394" spans="1:2" x14ac:dyDescent="0.25">
      <c r="A2394"/>
      <c r="B2394"/>
    </row>
    <row r="2395" spans="1:2" x14ac:dyDescent="0.25">
      <c r="A2395"/>
      <c r="B2395"/>
    </row>
    <row r="2396" spans="1:2" x14ac:dyDescent="0.25">
      <c r="A2396"/>
      <c r="B2396"/>
    </row>
    <row r="2397" spans="1:2" x14ac:dyDescent="0.25">
      <c r="A2397"/>
      <c r="B2397"/>
    </row>
    <row r="2398" spans="1:2" x14ac:dyDescent="0.25">
      <c r="A2398"/>
      <c r="B2398"/>
    </row>
    <row r="2399" spans="1:2" x14ac:dyDescent="0.25">
      <c r="A2399"/>
      <c r="B2399"/>
    </row>
    <row r="2400" spans="1:2" x14ac:dyDescent="0.25">
      <c r="A2400"/>
      <c r="B2400"/>
    </row>
    <row r="2401" spans="1:2" x14ac:dyDescent="0.25">
      <c r="A2401"/>
      <c r="B2401"/>
    </row>
    <row r="2402" spans="1:2" x14ac:dyDescent="0.25">
      <c r="A2402"/>
      <c r="B2402"/>
    </row>
    <row r="2403" spans="1:2" x14ac:dyDescent="0.25">
      <c r="A2403"/>
      <c r="B2403"/>
    </row>
    <row r="2404" spans="1:2" x14ac:dyDescent="0.25">
      <c r="A2404"/>
      <c r="B2404"/>
    </row>
    <row r="2405" spans="1:2" x14ac:dyDescent="0.25">
      <c r="A2405"/>
      <c r="B2405"/>
    </row>
    <row r="2406" spans="1:2" x14ac:dyDescent="0.25">
      <c r="A2406"/>
      <c r="B2406"/>
    </row>
    <row r="2407" spans="1:2" x14ac:dyDescent="0.25">
      <c r="A2407"/>
      <c r="B2407"/>
    </row>
    <row r="2408" spans="1:2" x14ac:dyDescent="0.25">
      <c r="A2408"/>
      <c r="B2408"/>
    </row>
    <row r="2409" spans="1:2" x14ac:dyDescent="0.25">
      <c r="A2409"/>
      <c r="B2409"/>
    </row>
    <row r="2410" spans="1:2" x14ac:dyDescent="0.25">
      <c r="A2410"/>
      <c r="B2410"/>
    </row>
    <row r="2411" spans="1:2" x14ac:dyDescent="0.25">
      <c r="A2411"/>
      <c r="B2411"/>
    </row>
    <row r="2412" spans="1:2" x14ac:dyDescent="0.25">
      <c r="A2412"/>
      <c r="B2412"/>
    </row>
    <row r="2413" spans="1:2" x14ac:dyDescent="0.25">
      <c r="A2413"/>
      <c r="B2413"/>
    </row>
    <row r="2414" spans="1:2" x14ac:dyDescent="0.25">
      <c r="A2414"/>
      <c r="B2414"/>
    </row>
    <row r="2415" spans="1:2" x14ac:dyDescent="0.25">
      <c r="A2415"/>
      <c r="B2415"/>
    </row>
    <row r="2416" spans="1:2" x14ac:dyDescent="0.25">
      <c r="A2416"/>
      <c r="B2416"/>
    </row>
    <row r="2417" spans="1:2" x14ac:dyDescent="0.25">
      <c r="A2417"/>
      <c r="B2417"/>
    </row>
    <row r="2418" spans="1:2" x14ac:dyDescent="0.25">
      <c r="A2418"/>
      <c r="B2418"/>
    </row>
    <row r="2419" spans="1:2" x14ac:dyDescent="0.25">
      <c r="A2419"/>
      <c r="B2419"/>
    </row>
    <row r="2420" spans="1:2" x14ac:dyDescent="0.25">
      <c r="A2420"/>
      <c r="B2420"/>
    </row>
    <row r="2421" spans="1:2" x14ac:dyDescent="0.25">
      <c r="A2421"/>
      <c r="B2421"/>
    </row>
    <row r="2422" spans="1:2" x14ac:dyDescent="0.25">
      <c r="A2422"/>
      <c r="B2422"/>
    </row>
    <row r="2423" spans="1:2" x14ac:dyDescent="0.25">
      <c r="A2423"/>
      <c r="B2423"/>
    </row>
    <row r="2424" spans="1:2" x14ac:dyDescent="0.25">
      <c r="A2424"/>
      <c r="B2424"/>
    </row>
    <row r="2425" spans="1:2" x14ac:dyDescent="0.25">
      <c r="A2425"/>
      <c r="B2425"/>
    </row>
    <row r="2426" spans="1:2" x14ac:dyDescent="0.25">
      <c r="A2426"/>
      <c r="B2426"/>
    </row>
    <row r="2427" spans="1:2" x14ac:dyDescent="0.25">
      <c r="A2427"/>
      <c r="B2427"/>
    </row>
    <row r="2428" spans="1:2" x14ac:dyDescent="0.25">
      <c r="A2428"/>
      <c r="B2428"/>
    </row>
    <row r="2429" spans="1:2" x14ac:dyDescent="0.25">
      <c r="A2429"/>
      <c r="B2429"/>
    </row>
    <row r="2430" spans="1:2" x14ac:dyDescent="0.25">
      <c r="A2430"/>
      <c r="B2430"/>
    </row>
    <row r="2431" spans="1:2" x14ac:dyDescent="0.25">
      <c r="A2431"/>
      <c r="B2431"/>
    </row>
    <row r="2432" spans="1:2" x14ac:dyDescent="0.25">
      <c r="A2432"/>
      <c r="B2432"/>
    </row>
    <row r="2433" spans="1:2" x14ac:dyDescent="0.25">
      <c r="A2433"/>
      <c r="B2433"/>
    </row>
    <row r="2434" spans="1:2" x14ac:dyDescent="0.25">
      <c r="A2434"/>
      <c r="B2434"/>
    </row>
    <row r="2435" spans="1:2" x14ac:dyDescent="0.25">
      <c r="A2435"/>
      <c r="B2435"/>
    </row>
    <row r="2436" spans="1:2" x14ac:dyDescent="0.25">
      <c r="A2436"/>
      <c r="B2436"/>
    </row>
    <row r="2437" spans="1:2" x14ac:dyDescent="0.25">
      <c r="A2437"/>
      <c r="B2437"/>
    </row>
    <row r="2438" spans="1:2" x14ac:dyDescent="0.25">
      <c r="A2438"/>
      <c r="B2438"/>
    </row>
    <row r="2439" spans="1:2" x14ac:dyDescent="0.25">
      <c r="A2439"/>
      <c r="B2439"/>
    </row>
    <row r="2440" spans="1:2" x14ac:dyDescent="0.25">
      <c r="A2440"/>
      <c r="B2440"/>
    </row>
    <row r="2441" spans="1:2" x14ac:dyDescent="0.25">
      <c r="A2441"/>
      <c r="B2441"/>
    </row>
    <row r="2442" spans="1:2" x14ac:dyDescent="0.25">
      <c r="A2442"/>
      <c r="B2442"/>
    </row>
    <row r="2443" spans="1:2" x14ac:dyDescent="0.25">
      <c r="A2443"/>
      <c r="B2443"/>
    </row>
    <row r="2444" spans="1:2" x14ac:dyDescent="0.25">
      <c r="A2444"/>
      <c r="B2444"/>
    </row>
    <row r="2445" spans="1:2" x14ac:dyDescent="0.25">
      <c r="A2445"/>
      <c r="B2445"/>
    </row>
    <row r="2446" spans="1:2" x14ac:dyDescent="0.25">
      <c r="A2446"/>
      <c r="B2446"/>
    </row>
    <row r="2447" spans="1:2" x14ac:dyDescent="0.25">
      <c r="A2447"/>
      <c r="B2447"/>
    </row>
    <row r="2448" spans="1:2" x14ac:dyDescent="0.25">
      <c r="A2448"/>
      <c r="B2448"/>
    </row>
    <row r="2449" spans="1:2" x14ac:dyDescent="0.25">
      <c r="A2449"/>
      <c r="B2449"/>
    </row>
    <row r="2450" spans="1:2" x14ac:dyDescent="0.25">
      <c r="A2450"/>
      <c r="B2450"/>
    </row>
    <row r="2451" spans="1:2" x14ac:dyDescent="0.25">
      <c r="A2451"/>
      <c r="B2451"/>
    </row>
    <row r="2452" spans="1:2" x14ac:dyDescent="0.25">
      <c r="A2452"/>
      <c r="B2452"/>
    </row>
    <row r="2453" spans="1:2" x14ac:dyDescent="0.25">
      <c r="A2453"/>
      <c r="B2453"/>
    </row>
    <row r="2454" spans="1:2" x14ac:dyDescent="0.25">
      <c r="A2454"/>
      <c r="B2454"/>
    </row>
    <row r="2455" spans="1:2" x14ac:dyDescent="0.25">
      <c r="A2455"/>
      <c r="B2455"/>
    </row>
    <row r="2456" spans="1:2" x14ac:dyDescent="0.25">
      <c r="A2456"/>
      <c r="B2456"/>
    </row>
    <row r="2457" spans="1:2" x14ac:dyDescent="0.25">
      <c r="A2457"/>
      <c r="B2457"/>
    </row>
    <row r="2458" spans="1:2" x14ac:dyDescent="0.25">
      <c r="A2458"/>
      <c r="B2458"/>
    </row>
    <row r="2459" spans="1:2" x14ac:dyDescent="0.25">
      <c r="A2459"/>
      <c r="B2459"/>
    </row>
    <row r="2460" spans="1:2" x14ac:dyDescent="0.25">
      <c r="A2460"/>
      <c r="B2460"/>
    </row>
    <row r="2461" spans="1:2" x14ac:dyDescent="0.25">
      <c r="A2461"/>
      <c r="B2461"/>
    </row>
    <row r="2462" spans="1:2" x14ac:dyDescent="0.25">
      <c r="A2462"/>
      <c r="B2462"/>
    </row>
    <row r="2463" spans="1:2" x14ac:dyDescent="0.25">
      <c r="A2463"/>
      <c r="B2463"/>
    </row>
    <row r="2464" spans="1:2" x14ac:dyDescent="0.25">
      <c r="A2464"/>
      <c r="B2464"/>
    </row>
    <row r="2465" spans="1:2" x14ac:dyDescent="0.25">
      <c r="A2465"/>
      <c r="B2465"/>
    </row>
    <row r="2466" spans="1:2" x14ac:dyDescent="0.25">
      <c r="A2466"/>
      <c r="B2466"/>
    </row>
    <row r="2467" spans="1:2" x14ac:dyDescent="0.25">
      <c r="A2467"/>
      <c r="B2467"/>
    </row>
    <row r="2468" spans="1:2" x14ac:dyDescent="0.25">
      <c r="A2468"/>
      <c r="B2468"/>
    </row>
    <row r="2469" spans="1:2" x14ac:dyDescent="0.25">
      <c r="A2469"/>
      <c r="B2469"/>
    </row>
    <row r="2470" spans="1:2" x14ac:dyDescent="0.25">
      <c r="A2470"/>
      <c r="B2470"/>
    </row>
    <row r="2471" spans="1:2" x14ac:dyDescent="0.25">
      <c r="A2471"/>
      <c r="B2471"/>
    </row>
    <row r="2472" spans="1:2" x14ac:dyDescent="0.25">
      <c r="A2472"/>
      <c r="B2472"/>
    </row>
    <row r="2473" spans="1:2" x14ac:dyDescent="0.25">
      <c r="A2473"/>
      <c r="B2473"/>
    </row>
    <row r="2474" spans="1:2" x14ac:dyDescent="0.25">
      <c r="A2474"/>
      <c r="B2474"/>
    </row>
    <row r="2475" spans="1:2" x14ac:dyDescent="0.25">
      <c r="A2475"/>
      <c r="B2475"/>
    </row>
    <row r="2476" spans="1:2" x14ac:dyDescent="0.25">
      <c r="A2476"/>
      <c r="B2476"/>
    </row>
    <row r="2477" spans="1:2" x14ac:dyDescent="0.25">
      <c r="A2477"/>
      <c r="B2477"/>
    </row>
    <row r="2478" spans="1:2" x14ac:dyDescent="0.25">
      <c r="A2478"/>
      <c r="B2478"/>
    </row>
    <row r="2479" spans="1:2" x14ac:dyDescent="0.25">
      <c r="A2479"/>
      <c r="B2479"/>
    </row>
    <row r="2480" spans="1:2" x14ac:dyDescent="0.25">
      <c r="A2480"/>
      <c r="B2480"/>
    </row>
    <row r="2481" spans="1:2" x14ac:dyDescent="0.25">
      <c r="A2481"/>
      <c r="B2481"/>
    </row>
    <row r="2482" spans="1:2" x14ac:dyDescent="0.25">
      <c r="A2482"/>
      <c r="B2482"/>
    </row>
    <row r="2483" spans="1:2" x14ac:dyDescent="0.25">
      <c r="A2483"/>
      <c r="B2483"/>
    </row>
    <row r="2484" spans="1:2" x14ac:dyDescent="0.25">
      <c r="A2484"/>
      <c r="B2484"/>
    </row>
    <row r="2485" spans="1:2" x14ac:dyDescent="0.25">
      <c r="A2485"/>
      <c r="B2485"/>
    </row>
    <row r="2486" spans="1:2" x14ac:dyDescent="0.25">
      <c r="A2486"/>
      <c r="B2486"/>
    </row>
    <row r="2487" spans="1:2" x14ac:dyDescent="0.25">
      <c r="A2487"/>
      <c r="B2487"/>
    </row>
    <row r="2488" spans="1:2" x14ac:dyDescent="0.25">
      <c r="A2488"/>
      <c r="B2488"/>
    </row>
    <row r="2489" spans="1:2" x14ac:dyDescent="0.25">
      <c r="A2489"/>
      <c r="B2489"/>
    </row>
    <row r="2490" spans="1:2" x14ac:dyDescent="0.25">
      <c r="A2490"/>
      <c r="B2490"/>
    </row>
    <row r="2491" spans="1:2" x14ac:dyDescent="0.25">
      <c r="A2491"/>
      <c r="B2491"/>
    </row>
    <row r="2492" spans="1:2" x14ac:dyDescent="0.25">
      <c r="A2492"/>
      <c r="B2492"/>
    </row>
    <row r="2493" spans="1:2" x14ac:dyDescent="0.25">
      <c r="A2493"/>
      <c r="B2493"/>
    </row>
    <row r="2494" spans="1:2" x14ac:dyDescent="0.25">
      <c r="A2494"/>
      <c r="B2494"/>
    </row>
    <row r="2495" spans="1:2" x14ac:dyDescent="0.25">
      <c r="A2495"/>
      <c r="B2495"/>
    </row>
    <row r="2496" spans="1:2" x14ac:dyDescent="0.25">
      <c r="A2496"/>
      <c r="B2496"/>
    </row>
    <row r="2497" spans="1:2" x14ac:dyDescent="0.25">
      <c r="A2497"/>
      <c r="B2497"/>
    </row>
    <row r="2498" spans="1:2" x14ac:dyDescent="0.25">
      <c r="A2498"/>
      <c r="B2498"/>
    </row>
    <row r="2499" spans="1:2" x14ac:dyDescent="0.25">
      <c r="A2499"/>
      <c r="B2499"/>
    </row>
    <row r="2500" spans="1:2" x14ac:dyDescent="0.25">
      <c r="A2500"/>
      <c r="B2500"/>
    </row>
    <row r="2501" spans="1:2" x14ac:dyDescent="0.25">
      <c r="A2501"/>
      <c r="B2501"/>
    </row>
    <row r="2502" spans="1:2" x14ac:dyDescent="0.25">
      <c r="A2502"/>
      <c r="B2502"/>
    </row>
    <row r="2503" spans="1:2" x14ac:dyDescent="0.25">
      <c r="A2503"/>
      <c r="B2503"/>
    </row>
    <row r="2504" spans="1:2" x14ac:dyDescent="0.25">
      <c r="A2504"/>
      <c r="B2504"/>
    </row>
    <row r="2505" spans="1:2" x14ac:dyDescent="0.25">
      <c r="A2505"/>
      <c r="B2505"/>
    </row>
    <row r="2506" spans="1:2" x14ac:dyDescent="0.25">
      <c r="A2506"/>
      <c r="B2506"/>
    </row>
    <row r="2507" spans="1:2" x14ac:dyDescent="0.25">
      <c r="A2507"/>
      <c r="B2507"/>
    </row>
    <row r="2508" spans="1:2" x14ac:dyDescent="0.25">
      <c r="A2508"/>
      <c r="B2508"/>
    </row>
    <row r="2509" spans="1:2" x14ac:dyDescent="0.25">
      <c r="A2509"/>
      <c r="B2509"/>
    </row>
    <row r="2510" spans="1:2" x14ac:dyDescent="0.25">
      <c r="A2510"/>
      <c r="B2510"/>
    </row>
    <row r="2511" spans="1:2" x14ac:dyDescent="0.25">
      <c r="A2511"/>
      <c r="B2511"/>
    </row>
    <row r="2512" spans="1:2" x14ac:dyDescent="0.25">
      <c r="A2512"/>
      <c r="B2512"/>
    </row>
    <row r="2513" spans="1:2" x14ac:dyDescent="0.25">
      <c r="A2513"/>
      <c r="B2513"/>
    </row>
    <row r="2514" spans="1:2" x14ac:dyDescent="0.25">
      <c r="A2514"/>
      <c r="B2514"/>
    </row>
    <row r="2515" spans="1:2" x14ac:dyDescent="0.25">
      <c r="A2515"/>
      <c r="B2515"/>
    </row>
    <row r="2516" spans="1:2" x14ac:dyDescent="0.25">
      <c r="A2516"/>
      <c r="B2516"/>
    </row>
    <row r="2517" spans="1:2" x14ac:dyDescent="0.25">
      <c r="A2517"/>
      <c r="B2517"/>
    </row>
    <row r="2518" spans="1:2" x14ac:dyDescent="0.25">
      <c r="A2518"/>
      <c r="B2518"/>
    </row>
    <row r="2519" spans="1:2" x14ac:dyDescent="0.25">
      <c r="A2519"/>
      <c r="B2519"/>
    </row>
    <row r="2520" spans="1:2" x14ac:dyDescent="0.25">
      <c r="A2520"/>
      <c r="B2520"/>
    </row>
    <row r="2521" spans="1:2" x14ac:dyDescent="0.25">
      <c r="A2521"/>
      <c r="B2521"/>
    </row>
    <row r="2522" spans="1:2" x14ac:dyDescent="0.25">
      <c r="A2522"/>
      <c r="B2522"/>
    </row>
    <row r="2523" spans="1:2" x14ac:dyDescent="0.25">
      <c r="A2523"/>
      <c r="B2523"/>
    </row>
    <row r="2524" spans="1:2" x14ac:dyDescent="0.25">
      <c r="A2524"/>
      <c r="B2524"/>
    </row>
    <row r="2525" spans="1:2" x14ac:dyDescent="0.25">
      <c r="A2525"/>
      <c r="B2525"/>
    </row>
    <row r="2526" spans="1:2" x14ac:dyDescent="0.25">
      <c r="A2526"/>
      <c r="B2526"/>
    </row>
    <row r="2527" spans="1:2" x14ac:dyDescent="0.25">
      <c r="A2527"/>
      <c r="B2527"/>
    </row>
    <row r="2528" spans="1:2" x14ac:dyDescent="0.25">
      <c r="A2528"/>
      <c r="B2528"/>
    </row>
    <row r="2529" spans="1:2" x14ac:dyDescent="0.25">
      <c r="A2529"/>
      <c r="B2529"/>
    </row>
    <row r="2530" spans="1:2" x14ac:dyDescent="0.25">
      <c r="A2530"/>
      <c r="B2530"/>
    </row>
    <row r="2531" spans="1:2" x14ac:dyDescent="0.25">
      <c r="A2531"/>
      <c r="B2531"/>
    </row>
    <row r="2532" spans="1:2" x14ac:dyDescent="0.25">
      <c r="A2532"/>
      <c r="B2532"/>
    </row>
    <row r="2533" spans="1:2" x14ac:dyDescent="0.25">
      <c r="A2533"/>
      <c r="B2533"/>
    </row>
    <row r="2534" spans="1:2" x14ac:dyDescent="0.25">
      <c r="A2534"/>
      <c r="B2534"/>
    </row>
    <row r="2535" spans="1:2" x14ac:dyDescent="0.25">
      <c r="A2535"/>
      <c r="B2535"/>
    </row>
    <row r="2536" spans="1:2" x14ac:dyDescent="0.25">
      <c r="A2536"/>
      <c r="B2536"/>
    </row>
    <row r="2537" spans="1:2" x14ac:dyDescent="0.25">
      <c r="A2537"/>
      <c r="B2537"/>
    </row>
    <row r="2538" spans="1:2" x14ac:dyDescent="0.25">
      <c r="A2538"/>
      <c r="B2538"/>
    </row>
    <row r="2539" spans="1:2" x14ac:dyDescent="0.25">
      <c r="A2539"/>
      <c r="B2539"/>
    </row>
    <row r="2540" spans="1:2" x14ac:dyDescent="0.25">
      <c r="A2540"/>
      <c r="B2540"/>
    </row>
    <row r="2541" spans="1:2" x14ac:dyDescent="0.25">
      <c r="A2541"/>
      <c r="B2541"/>
    </row>
    <row r="2542" spans="1:2" x14ac:dyDescent="0.25">
      <c r="A2542"/>
      <c r="B2542"/>
    </row>
    <row r="2543" spans="1:2" x14ac:dyDescent="0.25">
      <c r="A2543"/>
      <c r="B2543"/>
    </row>
    <row r="2544" spans="1:2" x14ac:dyDescent="0.25">
      <c r="A2544"/>
      <c r="B2544"/>
    </row>
    <row r="2545" spans="1:2" x14ac:dyDescent="0.25">
      <c r="A2545"/>
      <c r="B2545"/>
    </row>
    <row r="2546" spans="1:2" x14ac:dyDescent="0.25">
      <c r="A2546"/>
      <c r="B2546"/>
    </row>
    <row r="2547" spans="1:2" x14ac:dyDescent="0.25">
      <c r="A2547"/>
      <c r="B2547"/>
    </row>
    <row r="2548" spans="1:2" x14ac:dyDescent="0.25">
      <c r="A2548"/>
      <c r="B2548"/>
    </row>
    <row r="2549" spans="1:2" x14ac:dyDescent="0.25">
      <c r="A2549"/>
      <c r="B2549"/>
    </row>
    <row r="2550" spans="1:2" x14ac:dyDescent="0.25">
      <c r="A2550"/>
      <c r="B2550"/>
    </row>
    <row r="2551" spans="1:2" x14ac:dyDescent="0.25">
      <c r="A2551"/>
      <c r="B2551"/>
    </row>
    <row r="2552" spans="1:2" x14ac:dyDescent="0.25">
      <c r="A2552"/>
      <c r="B2552"/>
    </row>
    <row r="2553" spans="1:2" x14ac:dyDescent="0.25">
      <c r="A2553"/>
      <c r="B2553"/>
    </row>
    <row r="2554" spans="1:2" x14ac:dyDescent="0.25">
      <c r="A2554"/>
      <c r="B2554"/>
    </row>
    <row r="2555" spans="1:2" x14ac:dyDescent="0.25">
      <c r="A2555"/>
      <c r="B2555"/>
    </row>
    <row r="2556" spans="1:2" x14ac:dyDescent="0.25">
      <c r="A2556"/>
      <c r="B2556"/>
    </row>
    <row r="2557" spans="1:2" x14ac:dyDescent="0.25">
      <c r="A2557"/>
      <c r="B2557"/>
    </row>
    <row r="2558" spans="1:2" x14ac:dyDescent="0.25">
      <c r="A2558"/>
      <c r="B2558"/>
    </row>
    <row r="2559" spans="1:2" x14ac:dyDescent="0.25">
      <c r="A2559"/>
      <c r="B2559"/>
    </row>
    <row r="2560" spans="1:2" x14ac:dyDescent="0.25">
      <c r="A2560"/>
      <c r="B2560"/>
    </row>
    <row r="2561" spans="1:2" x14ac:dyDescent="0.25">
      <c r="A2561"/>
      <c r="B2561"/>
    </row>
    <row r="2562" spans="1:2" x14ac:dyDescent="0.25">
      <c r="A2562"/>
      <c r="B2562"/>
    </row>
    <row r="2563" spans="1:2" x14ac:dyDescent="0.25">
      <c r="A2563"/>
      <c r="B2563"/>
    </row>
    <row r="2564" spans="1:2" x14ac:dyDescent="0.25">
      <c r="A2564"/>
      <c r="B2564"/>
    </row>
    <row r="2565" spans="1:2" x14ac:dyDescent="0.25">
      <c r="A2565"/>
      <c r="B2565"/>
    </row>
    <row r="2566" spans="1:2" x14ac:dyDescent="0.25">
      <c r="A2566"/>
      <c r="B2566"/>
    </row>
    <row r="2567" spans="1:2" x14ac:dyDescent="0.25">
      <c r="A2567"/>
      <c r="B2567"/>
    </row>
    <row r="2568" spans="1:2" x14ac:dyDescent="0.25">
      <c r="A2568"/>
      <c r="B2568"/>
    </row>
    <row r="2569" spans="1:2" x14ac:dyDescent="0.25">
      <c r="A2569"/>
      <c r="B2569"/>
    </row>
    <row r="2570" spans="1:2" x14ac:dyDescent="0.25">
      <c r="A2570"/>
      <c r="B2570"/>
    </row>
    <row r="2571" spans="1:2" x14ac:dyDescent="0.25">
      <c r="A2571"/>
      <c r="B2571"/>
    </row>
    <row r="2572" spans="1:2" x14ac:dyDescent="0.25">
      <c r="A2572"/>
      <c r="B2572"/>
    </row>
    <row r="2573" spans="1:2" x14ac:dyDescent="0.25">
      <c r="A2573"/>
      <c r="B2573"/>
    </row>
    <row r="2574" spans="1:2" x14ac:dyDescent="0.25">
      <c r="A2574"/>
      <c r="B2574"/>
    </row>
    <row r="2575" spans="1:2" x14ac:dyDescent="0.25">
      <c r="A2575"/>
      <c r="B2575"/>
    </row>
    <row r="2576" spans="1:2" x14ac:dyDescent="0.25">
      <c r="A2576"/>
      <c r="B2576"/>
    </row>
    <row r="2577" spans="1:2" x14ac:dyDescent="0.25">
      <c r="A2577"/>
      <c r="B2577"/>
    </row>
    <row r="2578" spans="1:2" x14ac:dyDescent="0.25">
      <c r="A2578"/>
      <c r="B2578"/>
    </row>
    <row r="2579" spans="1:2" x14ac:dyDescent="0.25">
      <c r="A2579"/>
      <c r="B2579"/>
    </row>
    <row r="2580" spans="1:2" x14ac:dyDescent="0.25">
      <c r="A2580"/>
      <c r="B2580"/>
    </row>
    <row r="2581" spans="1:2" x14ac:dyDescent="0.25">
      <c r="A2581"/>
      <c r="B2581"/>
    </row>
    <row r="2582" spans="1:2" x14ac:dyDescent="0.25">
      <c r="A2582"/>
      <c r="B2582"/>
    </row>
    <row r="2583" spans="1:2" x14ac:dyDescent="0.25">
      <c r="A2583"/>
      <c r="B2583"/>
    </row>
    <row r="2584" spans="1:2" x14ac:dyDescent="0.25">
      <c r="A2584"/>
      <c r="B2584"/>
    </row>
    <row r="2585" spans="1:2" x14ac:dyDescent="0.25">
      <c r="A2585"/>
      <c r="B2585"/>
    </row>
    <row r="2586" spans="1:2" x14ac:dyDescent="0.25">
      <c r="A2586"/>
      <c r="B2586"/>
    </row>
    <row r="2587" spans="1:2" x14ac:dyDescent="0.25">
      <c r="A2587"/>
      <c r="B2587"/>
    </row>
    <row r="2588" spans="1:2" x14ac:dyDescent="0.25">
      <c r="A2588"/>
      <c r="B2588"/>
    </row>
    <row r="2589" spans="1:2" x14ac:dyDescent="0.25">
      <c r="A2589"/>
      <c r="B2589"/>
    </row>
    <row r="2590" spans="1:2" x14ac:dyDescent="0.25">
      <c r="A2590"/>
      <c r="B2590"/>
    </row>
    <row r="2591" spans="1:2" x14ac:dyDescent="0.25">
      <c r="A2591"/>
      <c r="B2591"/>
    </row>
    <row r="2592" spans="1:2" x14ac:dyDescent="0.25">
      <c r="A2592"/>
      <c r="B2592"/>
    </row>
    <row r="2593" spans="1:2" x14ac:dyDescent="0.25">
      <c r="A2593"/>
      <c r="B2593"/>
    </row>
    <row r="2594" spans="1:2" x14ac:dyDescent="0.25">
      <c r="A2594"/>
      <c r="B2594"/>
    </row>
    <row r="2595" spans="1:2" x14ac:dyDescent="0.25">
      <c r="A2595"/>
      <c r="B2595"/>
    </row>
    <row r="2596" spans="1:2" x14ac:dyDescent="0.25">
      <c r="A2596"/>
      <c r="B2596"/>
    </row>
    <row r="2597" spans="1:2" x14ac:dyDescent="0.25">
      <c r="A2597"/>
      <c r="B2597"/>
    </row>
    <row r="2598" spans="1:2" x14ac:dyDescent="0.25">
      <c r="A2598"/>
      <c r="B2598"/>
    </row>
    <row r="2599" spans="1:2" x14ac:dyDescent="0.25">
      <c r="A2599"/>
      <c r="B2599"/>
    </row>
    <row r="2600" spans="1:2" x14ac:dyDescent="0.25">
      <c r="A2600"/>
      <c r="B2600"/>
    </row>
    <row r="2601" spans="1:2" x14ac:dyDescent="0.25">
      <c r="A2601"/>
      <c r="B2601"/>
    </row>
    <row r="2602" spans="1:2" x14ac:dyDescent="0.25">
      <c r="A2602"/>
      <c r="B2602"/>
    </row>
    <row r="2603" spans="1:2" x14ac:dyDescent="0.25">
      <c r="A2603"/>
      <c r="B2603"/>
    </row>
    <row r="2604" spans="1:2" x14ac:dyDescent="0.25">
      <c r="A2604"/>
      <c r="B2604"/>
    </row>
    <row r="2605" spans="1:2" x14ac:dyDescent="0.25">
      <c r="A2605"/>
      <c r="B2605"/>
    </row>
    <row r="2606" spans="1:2" x14ac:dyDescent="0.25">
      <c r="A2606"/>
      <c r="B2606"/>
    </row>
    <row r="2607" spans="1:2" x14ac:dyDescent="0.25">
      <c r="A2607"/>
      <c r="B2607"/>
    </row>
    <row r="2608" spans="1:2" x14ac:dyDescent="0.25">
      <c r="A2608"/>
      <c r="B2608"/>
    </row>
    <row r="2609" spans="1:2" x14ac:dyDescent="0.25">
      <c r="A2609"/>
      <c r="B2609"/>
    </row>
    <row r="2610" spans="1:2" x14ac:dyDescent="0.25">
      <c r="A2610"/>
      <c r="B2610"/>
    </row>
    <row r="2611" spans="1:2" x14ac:dyDescent="0.25">
      <c r="A2611"/>
      <c r="B2611"/>
    </row>
    <row r="2612" spans="1:2" x14ac:dyDescent="0.25">
      <c r="A2612"/>
      <c r="B2612"/>
    </row>
    <row r="2613" spans="1:2" x14ac:dyDescent="0.25">
      <c r="A2613"/>
      <c r="B2613"/>
    </row>
    <row r="2614" spans="1:2" x14ac:dyDescent="0.25">
      <c r="A2614"/>
      <c r="B2614"/>
    </row>
    <row r="2615" spans="1:2" x14ac:dyDescent="0.25">
      <c r="A2615"/>
      <c r="B2615"/>
    </row>
    <row r="2616" spans="1:2" x14ac:dyDescent="0.25">
      <c r="A2616"/>
      <c r="B2616"/>
    </row>
    <row r="2617" spans="1:2" x14ac:dyDescent="0.25">
      <c r="A2617"/>
      <c r="B2617"/>
    </row>
    <row r="2618" spans="1:2" x14ac:dyDescent="0.25">
      <c r="A2618"/>
      <c r="B2618"/>
    </row>
    <row r="2619" spans="1:2" x14ac:dyDescent="0.25">
      <c r="A2619"/>
      <c r="B2619"/>
    </row>
    <row r="2620" spans="1:2" x14ac:dyDescent="0.25">
      <c r="A2620"/>
      <c r="B2620"/>
    </row>
    <row r="2621" spans="1:2" x14ac:dyDescent="0.25">
      <c r="A2621"/>
      <c r="B2621"/>
    </row>
    <row r="2622" spans="1:2" x14ac:dyDescent="0.25">
      <c r="A2622"/>
      <c r="B2622"/>
    </row>
    <row r="2623" spans="1:2" x14ac:dyDescent="0.25">
      <c r="A2623"/>
      <c r="B2623"/>
    </row>
    <row r="2624" spans="1:2" x14ac:dyDescent="0.25">
      <c r="A2624"/>
      <c r="B2624"/>
    </row>
    <row r="2625" spans="1:2" x14ac:dyDescent="0.25">
      <c r="A2625"/>
      <c r="B2625"/>
    </row>
    <row r="2626" spans="1:2" x14ac:dyDescent="0.25">
      <c r="A2626"/>
      <c r="B2626"/>
    </row>
    <row r="2627" spans="1:2" x14ac:dyDescent="0.25">
      <c r="A2627"/>
      <c r="B2627"/>
    </row>
    <row r="2628" spans="1:2" x14ac:dyDescent="0.25">
      <c r="A2628"/>
      <c r="B2628"/>
    </row>
    <row r="2629" spans="1:2" x14ac:dyDescent="0.25">
      <c r="A2629"/>
      <c r="B2629"/>
    </row>
    <row r="2630" spans="1:2" x14ac:dyDescent="0.25">
      <c r="A2630"/>
      <c r="B2630"/>
    </row>
    <row r="2631" spans="1:2" x14ac:dyDescent="0.25">
      <c r="A2631"/>
      <c r="B2631"/>
    </row>
    <row r="2632" spans="1:2" x14ac:dyDescent="0.25">
      <c r="A2632"/>
      <c r="B2632"/>
    </row>
    <row r="2633" spans="1:2" x14ac:dyDescent="0.25">
      <c r="A2633"/>
      <c r="B2633"/>
    </row>
    <row r="2634" spans="1:2" x14ac:dyDescent="0.25">
      <c r="A2634"/>
      <c r="B2634"/>
    </row>
    <row r="2635" spans="1:2" x14ac:dyDescent="0.25">
      <c r="A2635"/>
      <c r="B2635"/>
    </row>
    <row r="2636" spans="1:2" x14ac:dyDescent="0.25">
      <c r="A2636"/>
      <c r="B2636"/>
    </row>
    <row r="2637" spans="1:2" x14ac:dyDescent="0.25">
      <c r="A2637"/>
      <c r="B2637"/>
    </row>
    <row r="2638" spans="1:2" x14ac:dyDescent="0.25">
      <c r="A2638"/>
      <c r="B2638"/>
    </row>
    <row r="2639" spans="1:2" x14ac:dyDescent="0.25">
      <c r="A2639"/>
      <c r="B2639"/>
    </row>
    <row r="2640" spans="1:2" x14ac:dyDescent="0.25">
      <c r="A2640"/>
      <c r="B2640"/>
    </row>
    <row r="2641" spans="1:2" x14ac:dyDescent="0.25">
      <c r="A2641"/>
      <c r="B2641"/>
    </row>
    <row r="2642" spans="1:2" x14ac:dyDescent="0.25">
      <c r="A2642"/>
      <c r="B2642"/>
    </row>
    <row r="2643" spans="1:2" x14ac:dyDescent="0.25">
      <c r="A2643"/>
      <c r="B2643"/>
    </row>
    <row r="2644" spans="1:2" x14ac:dyDescent="0.25">
      <c r="A2644"/>
      <c r="B2644"/>
    </row>
    <row r="2645" spans="1:2" x14ac:dyDescent="0.25">
      <c r="A2645"/>
      <c r="B2645"/>
    </row>
    <row r="2646" spans="1:2" x14ac:dyDescent="0.25">
      <c r="A2646"/>
      <c r="B2646"/>
    </row>
    <row r="2647" spans="1:2" x14ac:dyDescent="0.25">
      <c r="A2647"/>
      <c r="B2647"/>
    </row>
    <row r="2648" spans="1:2" x14ac:dyDescent="0.25">
      <c r="A2648"/>
      <c r="B2648"/>
    </row>
    <row r="2649" spans="1:2" x14ac:dyDescent="0.25">
      <c r="A2649"/>
      <c r="B2649"/>
    </row>
    <row r="2650" spans="1:2" x14ac:dyDescent="0.25">
      <c r="A2650"/>
      <c r="B2650"/>
    </row>
    <row r="2651" spans="1:2" x14ac:dyDescent="0.25">
      <c r="A2651"/>
      <c r="B2651"/>
    </row>
    <row r="2652" spans="1:2" x14ac:dyDescent="0.25">
      <c r="A2652"/>
      <c r="B2652"/>
    </row>
    <row r="2653" spans="1:2" x14ac:dyDescent="0.25">
      <c r="A2653"/>
      <c r="B2653"/>
    </row>
    <row r="2654" spans="1:2" x14ac:dyDescent="0.25">
      <c r="A2654"/>
      <c r="B2654"/>
    </row>
    <row r="2655" spans="1:2" x14ac:dyDescent="0.25">
      <c r="A2655"/>
      <c r="B2655"/>
    </row>
    <row r="2656" spans="1:2" x14ac:dyDescent="0.25">
      <c r="A2656"/>
      <c r="B2656"/>
    </row>
    <row r="2657" spans="1:2" x14ac:dyDescent="0.25">
      <c r="A2657"/>
      <c r="B2657"/>
    </row>
    <row r="2658" spans="1:2" x14ac:dyDescent="0.25">
      <c r="A2658"/>
      <c r="B2658"/>
    </row>
    <row r="2659" spans="1:2" x14ac:dyDescent="0.25">
      <c r="A2659"/>
      <c r="B2659"/>
    </row>
    <row r="2660" spans="1:2" x14ac:dyDescent="0.25">
      <c r="A2660"/>
      <c r="B2660"/>
    </row>
    <row r="2661" spans="1:2" x14ac:dyDescent="0.25">
      <c r="A2661"/>
      <c r="B2661"/>
    </row>
    <row r="2662" spans="1:2" x14ac:dyDescent="0.25">
      <c r="A2662"/>
      <c r="B2662"/>
    </row>
    <row r="2663" spans="1:2" x14ac:dyDescent="0.25">
      <c r="A2663"/>
      <c r="B2663"/>
    </row>
    <row r="2664" spans="1:2" x14ac:dyDescent="0.25">
      <c r="A2664"/>
      <c r="B2664"/>
    </row>
    <row r="2665" spans="1:2" x14ac:dyDescent="0.25">
      <c r="A2665"/>
      <c r="B2665"/>
    </row>
    <row r="2666" spans="1:2" x14ac:dyDescent="0.25">
      <c r="A2666"/>
      <c r="B2666"/>
    </row>
    <row r="2667" spans="1:2" x14ac:dyDescent="0.25">
      <c r="A2667"/>
      <c r="B2667"/>
    </row>
    <row r="2668" spans="1:2" x14ac:dyDescent="0.25">
      <c r="A2668"/>
      <c r="B2668"/>
    </row>
    <row r="2669" spans="1:2" x14ac:dyDescent="0.25">
      <c r="A2669"/>
      <c r="B2669"/>
    </row>
    <row r="2670" spans="1:2" x14ac:dyDescent="0.25">
      <c r="A2670"/>
      <c r="B2670"/>
    </row>
    <row r="2671" spans="1:2" x14ac:dyDescent="0.25">
      <c r="A2671"/>
      <c r="B2671"/>
    </row>
    <row r="2672" spans="1:2" x14ac:dyDescent="0.25">
      <c r="A2672"/>
      <c r="B2672"/>
    </row>
    <row r="2673" spans="1:2" x14ac:dyDescent="0.25">
      <c r="A2673"/>
      <c r="B2673"/>
    </row>
    <row r="2674" spans="1:2" x14ac:dyDescent="0.25">
      <c r="A2674"/>
      <c r="B2674"/>
    </row>
    <row r="2675" spans="1:2" x14ac:dyDescent="0.25">
      <c r="A2675"/>
      <c r="B2675"/>
    </row>
    <row r="2676" spans="1:2" x14ac:dyDescent="0.25">
      <c r="A2676"/>
      <c r="B2676"/>
    </row>
    <row r="2677" spans="1:2" x14ac:dyDescent="0.25">
      <c r="A2677"/>
      <c r="B2677"/>
    </row>
    <row r="2678" spans="1:2" x14ac:dyDescent="0.25">
      <c r="A2678"/>
      <c r="B2678"/>
    </row>
    <row r="2679" spans="1:2" x14ac:dyDescent="0.25">
      <c r="A2679"/>
      <c r="B2679"/>
    </row>
    <row r="2680" spans="1:2" x14ac:dyDescent="0.25">
      <c r="A2680"/>
      <c r="B2680"/>
    </row>
    <row r="2681" spans="1:2" x14ac:dyDescent="0.25">
      <c r="A2681"/>
      <c r="B2681"/>
    </row>
    <row r="2682" spans="1:2" x14ac:dyDescent="0.25">
      <c r="A2682"/>
      <c r="B2682"/>
    </row>
    <row r="2683" spans="1:2" x14ac:dyDescent="0.25">
      <c r="A2683"/>
      <c r="B2683"/>
    </row>
    <row r="2684" spans="1:2" x14ac:dyDescent="0.25">
      <c r="A2684"/>
      <c r="B2684"/>
    </row>
    <row r="2685" spans="1:2" x14ac:dyDescent="0.25">
      <c r="A2685"/>
      <c r="B2685"/>
    </row>
    <row r="2686" spans="1:2" x14ac:dyDescent="0.25">
      <c r="A2686"/>
      <c r="B2686"/>
    </row>
    <row r="2687" spans="1:2" x14ac:dyDescent="0.25">
      <c r="A2687"/>
      <c r="B2687"/>
    </row>
    <row r="2688" spans="1:2" x14ac:dyDescent="0.25">
      <c r="A2688"/>
      <c r="B2688"/>
    </row>
    <row r="2689" spans="1:2" x14ac:dyDescent="0.25">
      <c r="A2689"/>
      <c r="B2689"/>
    </row>
    <row r="2690" spans="1:2" x14ac:dyDescent="0.25">
      <c r="A2690"/>
      <c r="B2690"/>
    </row>
    <row r="2691" spans="1:2" x14ac:dyDescent="0.25">
      <c r="A2691"/>
      <c r="B2691"/>
    </row>
    <row r="2692" spans="1:2" x14ac:dyDescent="0.25">
      <c r="A2692"/>
      <c r="B2692"/>
    </row>
    <row r="2693" spans="1:2" x14ac:dyDescent="0.25">
      <c r="A2693"/>
      <c r="B2693"/>
    </row>
    <row r="2694" spans="1:2" x14ac:dyDescent="0.25">
      <c r="A2694"/>
      <c r="B2694"/>
    </row>
    <row r="2695" spans="1:2" x14ac:dyDescent="0.25">
      <c r="A2695"/>
      <c r="B2695"/>
    </row>
    <row r="2696" spans="1:2" x14ac:dyDescent="0.25">
      <c r="A2696"/>
      <c r="B2696"/>
    </row>
    <row r="2697" spans="1:2" x14ac:dyDescent="0.25">
      <c r="A2697"/>
      <c r="B2697"/>
    </row>
    <row r="2698" spans="1:2" x14ac:dyDescent="0.25">
      <c r="A2698"/>
      <c r="B2698"/>
    </row>
    <row r="2699" spans="1:2" x14ac:dyDescent="0.25">
      <c r="A2699"/>
      <c r="B2699"/>
    </row>
    <row r="2700" spans="1:2" x14ac:dyDescent="0.25">
      <c r="A2700"/>
      <c r="B2700"/>
    </row>
    <row r="2701" spans="1:2" x14ac:dyDescent="0.25">
      <c r="A2701"/>
      <c r="B2701"/>
    </row>
    <row r="2702" spans="1:2" x14ac:dyDescent="0.25">
      <c r="A2702"/>
      <c r="B2702"/>
    </row>
    <row r="2703" spans="1:2" x14ac:dyDescent="0.25">
      <c r="A2703"/>
      <c r="B2703"/>
    </row>
    <row r="2704" spans="1:2" x14ac:dyDescent="0.25">
      <c r="A2704"/>
      <c r="B2704"/>
    </row>
    <row r="2705" spans="1:2" x14ac:dyDescent="0.25">
      <c r="A2705"/>
      <c r="B2705"/>
    </row>
    <row r="2706" spans="1:2" x14ac:dyDescent="0.25">
      <c r="A2706"/>
      <c r="B2706"/>
    </row>
    <row r="2707" spans="1:2" x14ac:dyDescent="0.25">
      <c r="A2707"/>
      <c r="B2707"/>
    </row>
    <row r="2708" spans="1:2" x14ac:dyDescent="0.25">
      <c r="A2708"/>
      <c r="B2708"/>
    </row>
    <row r="2709" spans="1:2" x14ac:dyDescent="0.25">
      <c r="A2709"/>
      <c r="B2709"/>
    </row>
    <row r="2710" spans="1:2" x14ac:dyDescent="0.25">
      <c r="A2710"/>
      <c r="B2710"/>
    </row>
    <row r="2711" spans="1:2" x14ac:dyDescent="0.25">
      <c r="A2711"/>
      <c r="B2711"/>
    </row>
    <row r="2712" spans="1:2" x14ac:dyDescent="0.25">
      <c r="A2712"/>
      <c r="B2712"/>
    </row>
    <row r="2713" spans="1:2" x14ac:dyDescent="0.25">
      <c r="A2713"/>
      <c r="B2713"/>
    </row>
    <row r="2714" spans="1:2" x14ac:dyDescent="0.25">
      <c r="A2714"/>
      <c r="B2714"/>
    </row>
    <row r="2715" spans="1:2" x14ac:dyDescent="0.25">
      <c r="A2715"/>
      <c r="B2715"/>
    </row>
    <row r="2716" spans="1:2" x14ac:dyDescent="0.25">
      <c r="A2716"/>
      <c r="B2716"/>
    </row>
    <row r="2717" spans="1:2" x14ac:dyDescent="0.25">
      <c r="A2717"/>
      <c r="B2717"/>
    </row>
    <row r="2718" spans="1:2" x14ac:dyDescent="0.25">
      <c r="A2718"/>
      <c r="B2718"/>
    </row>
    <row r="2719" spans="1:2" x14ac:dyDescent="0.25">
      <c r="A2719"/>
      <c r="B2719"/>
    </row>
    <row r="2720" spans="1:2" x14ac:dyDescent="0.25">
      <c r="A2720"/>
      <c r="B2720"/>
    </row>
    <row r="2721" spans="1:2" x14ac:dyDescent="0.25">
      <c r="A2721"/>
      <c r="B2721"/>
    </row>
    <row r="2722" spans="1:2" x14ac:dyDescent="0.25">
      <c r="A2722"/>
      <c r="B2722"/>
    </row>
    <row r="2723" spans="1:2" x14ac:dyDescent="0.25">
      <c r="A2723"/>
      <c r="B2723"/>
    </row>
    <row r="2724" spans="1:2" x14ac:dyDescent="0.25">
      <c r="A2724"/>
      <c r="B2724"/>
    </row>
    <row r="2725" spans="1:2" x14ac:dyDescent="0.25">
      <c r="A2725"/>
      <c r="B2725"/>
    </row>
    <row r="2726" spans="1:2" x14ac:dyDescent="0.25">
      <c r="A2726"/>
      <c r="B2726"/>
    </row>
    <row r="2727" spans="1:2" x14ac:dyDescent="0.25">
      <c r="A2727"/>
      <c r="B2727"/>
    </row>
    <row r="2728" spans="1:2" x14ac:dyDescent="0.25">
      <c r="A2728"/>
      <c r="B2728"/>
    </row>
    <row r="2729" spans="1:2" x14ac:dyDescent="0.25">
      <c r="A2729"/>
      <c r="B2729"/>
    </row>
    <row r="2730" spans="1:2" x14ac:dyDescent="0.25">
      <c r="A2730"/>
      <c r="B2730"/>
    </row>
    <row r="2731" spans="1:2" x14ac:dyDescent="0.25">
      <c r="A2731"/>
      <c r="B2731"/>
    </row>
    <row r="2732" spans="1:2" x14ac:dyDescent="0.25">
      <c r="A2732"/>
      <c r="B2732"/>
    </row>
    <row r="2733" spans="1:2" x14ac:dyDescent="0.25">
      <c r="A2733"/>
      <c r="B2733"/>
    </row>
    <row r="2734" spans="1:2" x14ac:dyDescent="0.25">
      <c r="A2734"/>
      <c r="B2734"/>
    </row>
    <row r="2735" spans="1:2" x14ac:dyDescent="0.25">
      <c r="A2735"/>
      <c r="B2735"/>
    </row>
    <row r="2736" spans="1:2" x14ac:dyDescent="0.25">
      <c r="A2736"/>
      <c r="B2736"/>
    </row>
    <row r="2737" spans="1:2" x14ac:dyDescent="0.25">
      <c r="A2737"/>
      <c r="B2737"/>
    </row>
    <row r="2738" spans="1:2" x14ac:dyDescent="0.25">
      <c r="A2738"/>
      <c r="B2738"/>
    </row>
    <row r="2739" spans="1:2" x14ac:dyDescent="0.25">
      <c r="A2739"/>
      <c r="B2739"/>
    </row>
    <row r="2740" spans="1:2" x14ac:dyDescent="0.25">
      <c r="A2740"/>
      <c r="B2740"/>
    </row>
    <row r="2741" spans="1:2" x14ac:dyDescent="0.25">
      <c r="A2741"/>
      <c r="B2741"/>
    </row>
    <row r="2742" spans="1:2" x14ac:dyDescent="0.25">
      <c r="A2742"/>
      <c r="B2742"/>
    </row>
    <row r="2743" spans="1:2" x14ac:dyDescent="0.25">
      <c r="A2743"/>
      <c r="B2743"/>
    </row>
    <row r="2744" spans="1:2" x14ac:dyDescent="0.25">
      <c r="A2744"/>
      <c r="B2744"/>
    </row>
    <row r="2745" spans="1:2" x14ac:dyDescent="0.25">
      <c r="A2745"/>
      <c r="B2745"/>
    </row>
    <row r="2746" spans="1:2" x14ac:dyDescent="0.25">
      <c r="A2746"/>
      <c r="B2746"/>
    </row>
    <row r="2747" spans="1:2" x14ac:dyDescent="0.25">
      <c r="A2747"/>
      <c r="B2747"/>
    </row>
    <row r="2748" spans="1:2" x14ac:dyDescent="0.25">
      <c r="A2748"/>
      <c r="B2748"/>
    </row>
    <row r="2749" spans="1:2" x14ac:dyDescent="0.25">
      <c r="A2749"/>
      <c r="B2749"/>
    </row>
    <row r="2750" spans="1:2" x14ac:dyDescent="0.25">
      <c r="A2750"/>
      <c r="B2750"/>
    </row>
    <row r="2751" spans="1:2" x14ac:dyDescent="0.25">
      <c r="A2751"/>
      <c r="B2751"/>
    </row>
    <row r="2752" spans="1:2" x14ac:dyDescent="0.25">
      <c r="A2752"/>
      <c r="B2752"/>
    </row>
    <row r="2753" spans="1:2" x14ac:dyDescent="0.25">
      <c r="A2753"/>
      <c r="B2753"/>
    </row>
    <row r="2754" spans="1:2" x14ac:dyDescent="0.25">
      <c r="A2754"/>
      <c r="B2754"/>
    </row>
    <row r="2755" spans="1:2" x14ac:dyDescent="0.25">
      <c r="A2755"/>
      <c r="B2755"/>
    </row>
    <row r="2756" spans="1:2" x14ac:dyDescent="0.25">
      <c r="A2756"/>
      <c r="B2756"/>
    </row>
    <row r="2757" spans="1:2" x14ac:dyDescent="0.25">
      <c r="A2757"/>
      <c r="B2757"/>
    </row>
    <row r="2758" spans="1:2" x14ac:dyDescent="0.25">
      <c r="A2758"/>
      <c r="B2758"/>
    </row>
    <row r="2759" spans="1:2" x14ac:dyDescent="0.25">
      <c r="A2759"/>
      <c r="B2759"/>
    </row>
    <row r="2760" spans="1:2" x14ac:dyDescent="0.25">
      <c r="A2760"/>
      <c r="B2760"/>
    </row>
    <row r="2761" spans="1:2" x14ac:dyDescent="0.25">
      <c r="A2761"/>
      <c r="B2761"/>
    </row>
    <row r="2762" spans="1:2" x14ac:dyDescent="0.25">
      <c r="A2762"/>
      <c r="B2762"/>
    </row>
    <row r="2763" spans="1:2" x14ac:dyDescent="0.25">
      <c r="A2763"/>
      <c r="B2763"/>
    </row>
    <row r="2764" spans="1:2" x14ac:dyDescent="0.25">
      <c r="A2764"/>
      <c r="B2764"/>
    </row>
    <row r="2765" spans="1:2" x14ac:dyDescent="0.25">
      <c r="A2765"/>
      <c r="B2765"/>
    </row>
    <row r="2766" spans="1:2" x14ac:dyDescent="0.25">
      <c r="A2766"/>
      <c r="B2766"/>
    </row>
    <row r="2767" spans="1:2" x14ac:dyDescent="0.25">
      <c r="A2767"/>
      <c r="B2767"/>
    </row>
    <row r="2768" spans="1:2" x14ac:dyDescent="0.25">
      <c r="A2768"/>
      <c r="B2768"/>
    </row>
    <row r="2769" spans="1:2" x14ac:dyDescent="0.25">
      <c r="A2769"/>
      <c r="B2769"/>
    </row>
    <row r="2770" spans="1:2" x14ac:dyDescent="0.25">
      <c r="A2770"/>
      <c r="B2770"/>
    </row>
    <row r="2771" spans="1:2" x14ac:dyDescent="0.25">
      <c r="A2771"/>
      <c r="B2771"/>
    </row>
    <row r="2772" spans="1:2" x14ac:dyDescent="0.25">
      <c r="A2772"/>
      <c r="B2772"/>
    </row>
    <row r="2773" spans="1:2" x14ac:dyDescent="0.25">
      <c r="A2773"/>
      <c r="B2773"/>
    </row>
    <row r="2774" spans="1:2" x14ac:dyDescent="0.25">
      <c r="A2774"/>
      <c r="B2774"/>
    </row>
    <row r="2775" spans="1:2" x14ac:dyDescent="0.25">
      <c r="A2775"/>
      <c r="B2775"/>
    </row>
    <row r="2776" spans="1:2" x14ac:dyDescent="0.25">
      <c r="A2776"/>
      <c r="B2776"/>
    </row>
    <row r="2777" spans="1:2" x14ac:dyDescent="0.25">
      <c r="A2777"/>
      <c r="B2777"/>
    </row>
    <row r="2778" spans="1:2" x14ac:dyDescent="0.25">
      <c r="A2778"/>
      <c r="B2778"/>
    </row>
    <row r="2779" spans="1:2" x14ac:dyDescent="0.25">
      <c r="A2779"/>
      <c r="B2779"/>
    </row>
    <row r="2780" spans="1:2" x14ac:dyDescent="0.25">
      <c r="A2780"/>
      <c r="B2780"/>
    </row>
    <row r="2781" spans="1:2" x14ac:dyDescent="0.25">
      <c r="A2781"/>
      <c r="B2781"/>
    </row>
    <row r="2782" spans="1:2" x14ac:dyDescent="0.25">
      <c r="A2782"/>
      <c r="B2782"/>
    </row>
    <row r="2783" spans="1:2" x14ac:dyDescent="0.25">
      <c r="A2783"/>
      <c r="B2783"/>
    </row>
    <row r="2784" spans="1:2" x14ac:dyDescent="0.25">
      <c r="A2784"/>
      <c r="B2784"/>
    </row>
    <row r="2785" spans="1:2" x14ac:dyDescent="0.25">
      <c r="A2785"/>
      <c r="B2785"/>
    </row>
    <row r="2786" spans="1:2" x14ac:dyDescent="0.25">
      <c r="A2786"/>
      <c r="B2786"/>
    </row>
    <row r="2787" spans="1:2" x14ac:dyDescent="0.25">
      <c r="A2787"/>
      <c r="B2787"/>
    </row>
    <row r="2788" spans="1:2" x14ac:dyDescent="0.25">
      <c r="A2788"/>
      <c r="B2788"/>
    </row>
    <row r="2789" spans="1:2" x14ac:dyDescent="0.25">
      <c r="A2789"/>
      <c r="B2789"/>
    </row>
    <row r="2790" spans="1:2" x14ac:dyDescent="0.25">
      <c r="A2790"/>
      <c r="B2790"/>
    </row>
    <row r="2791" spans="1:2" x14ac:dyDescent="0.25">
      <c r="A2791"/>
      <c r="B2791"/>
    </row>
    <row r="2792" spans="1:2" x14ac:dyDescent="0.25">
      <c r="A2792"/>
      <c r="B2792"/>
    </row>
    <row r="2793" spans="1:2" x14ac:dyDescent="0.25">
      <c r="A2793"/>
      <c r="B2793"/>
    </row>
    <row r="2794" spans="1:2" x14ac:dyDescent="0.25">
      <c r="A2794"/>
      <c r="B2794"/>
    </row>
    <row r="2795" spans="1:2" x14ac:dyDescent="0.25">
      <c r="A2795"/>
      <c r="B2795"/>
    </row>
    <row r="2796" spans="1:2" x14ac:dyDescent="0.25">
      <c r="A2796"/>
      <c r="B2796"/>
    </row>
    <row r="2797" spans="1:2" x14ac:dyDescent="0.25">
      <c r="A2797"/>
      <c r="B2797"/>
    </row>
    <row r="2798" spans="1:2" x14ac:dyDescent="0.25">
      <c r="A2798"/>
      <c r="B2798"/>
    </row>
    <row r="2799" spans="1:2" x14ac:dyDescent="0.25">
      <c r="A2799"/>
      <c r="B2799"/>
    </row>
    <row r="2800" spans="1:2" x14ac:dyDescent="0.25">
      <c r="A2800"/>
      <c r="B2800"/>
    </row>
    <row r="2801" spans="1:2" x14ac:dyDescent="0.25">
      <c r="A2801"/>
      <c r="B2801"/>
    </row>
    <row r="2802" spans="1:2" x14ac:dyDescent="0.25">
      <c r="A2802"/>
      <c r="B2802"/>
    </row>
    <row r="2803" spans="1:2" x14ac:dyDescent="0.25">
      <c r="A2803"/>
      <c r="B2803"/>
    </row>
    <row r="2804" spans="1:2" x14ac:dyDescent="0.25">
      <c r="A2804"/>
      <c r="B2804"/>
    </row>
    <row r="2805" spans="1:2" x14ac:dyDescent="0.25">
      <c r="A2805"/>
      <c r="B2805"/>
    </row>
    <row r="2806" spans="1:2" x14ac:dyDescent="0.25">
      <c r="A2806"/>
      <c r="B2806"/>
    </row>
    <row r="2807" spans="1:2" x14ac:dyDescent="0.25">
      <c r="A2807"/>
      <c r="B2807"/>
    </row>
    <row r="2808" spans="1:2" x14ac:dyDescent="0.25">
      <c r="A2808"/>
      <c r="B2808"/>
    </row>
    <row r="2809" spans="1:2" x14ac:dyDescent="0.25">
      <c r="A2809"/>
      <c r="B2809"/>
    </row>
    <row r="2810" spans="1:2" x14ac:dyDescent="0.25">
      <c r="A2810"/>
      <c r="B2810"/>
    </row>
    <row r="2811" spans="1:2" x14ac:dyDescent="0.25">
      <c r="A2811"/>
      <c r="B2811"/>
    </row>
    <row r="2812" spans="1:2" x14ac:dyDescent="0.25">
      <c r="A2812"/>
      <c r="B2812"/>
    </row>
    <row r="2813" spans="1:2" x14ac:dyDescent="0.25">
      <c r="A2813"/>
      <c r="B2813"/>
    </row>
    <row r="2814" spans="1:2" x14ac:dyDescent="0.25">
      <c r="A2814"/>
      <c r="B2814"/>
    </row>
    <row r="2815" spans="1:2" x14ac:dyDescent="0.25">
      <c r="A2815"/>
      <c r="B2815"/>
    </row>
    <row r="2816" spans="1:2" x14ac:dyDescent="0.25">
      <c r="A2816"/>
      <c r="B2816"/>
    </row>
    <row r="2817" spans="1:2" x14ac:dyDescent="0.25">
      <c r="A2817"/>
      <c r="B2817"/>
    </row>
    <row r="2818" spans="1:2" x14ac:dyDescent="0.25">
      <c r="A2818"/>
      <c r="B2818"/>
    </row>
    <row r="2819" spans="1:2" x14ac:dyDescent="0.25">
      <c r="A2819"/>
      <c r="B2819"/>
    </row>
    <row r="2820" spans="1:2" x14ac:dyDescent="0.25">
      <c r="A2820"/>
      <c r="B2820"/>
    </row>
    <row r="2821" spans="1:2" x14ac:dyDescent="0.25">
      <c r="A2821"/>
      <c r="B2821"/>
    </row>
    <row r="2822" spans="1:2" x14ac:dyDescent="0.25">
      <c r="A2822"/>
      <c r="B2822"/>
    </row>
    <row r="2823" spans="1:2" x14ac:dyDescent="0.25">
      <c r="A2823"/>
      <c r="B2823"/>
    </row>
    <row r="2824" spans="1:2" x14ac:dyDescent="0.25">
      <c r="A2824"/>
      <c r="B2824"/>
    </row>
    <row r="2825" spans="1:2" x14ac:dyDescent="0.25">
      <c r="A2825"/>
      <c r="B2825"/>
    </row>
    <row r="2826" spans="1:2" x14ac:dyDescent="0.25">
      <c r="A2826"/>
      <c r="B2826"/>
    </row>
    <row r="2827" spans="1:2" x14ac:dyDescent="0.25">
      <c r="A2827"/>
      <c r="B2827"/>
    </row>
    <row r="2828" spans="1:2" x14ac:dyDescent="0.25">
      <c r="A2828"/>
      <c r="B2828"/>
    </row>
    <row r="2829" spans="1:2" x14ac:dyDescent="0.25">
      <c r="A2829"/>
      <c r="B2829"/>
    </row>
    <row r="2830" spans="1:2" x14ac:dyDescent="0.25">
      <c r="A2830"/>
      <c r="B2830"/>
    </row>
    <row r="2831" spans="1:2" x14ac:dyDescent="0.25">
      <c r="A2831"/>
      <c r="B2831"/>
    </row>
    <row r="2832" spans="1:2" x14ac:dyDescent="0.25">
      <c r="A2832"/>
      <c r="B2832"/>
    </row>
    <row r="2833" spans="1:2" x14ac:dyDescent="0.25">
      <c r="A2833"/>
      <c r="B2833"/>
    </row>
    <row r="2834" spans="1:2" x14ac:dyDescent="0.25">
      <c r="A2834"/>
      <c r="B2834"/>
    </row>
    <row r="2835" spans="1:2" x14ac:dyDescent="0.25">
      <c r="A2835"/>
      <c r="B2835"/>
    </row>
    <row r="2836" spans="1:2" x14ac:dyDescent="0.25">
      <c r="A2836"/>
      <c r="B2836"/>
    </row>
    <row r="2837" spans="1:2" x14ac:dyDescent="0.25">
      <c r="A2837"/>
      <c r="B2837"/>
    </row>
    <row r="2838" spans="1:2" x14ac:dyDescent="0.25">
      <c r="A2838"/>
      <c r="B2838"/>
    </row>
    <row r="2839" spans="1:2" x14ac:dyDescent="0.25">
      <c r="A2839"/>
      <c r="B2839"/>
    </row>
    <row r="2840" spans="1:2" x14ac:dyDescent="0.25">
      <c r="A2840"/>
      <c r="B2840"/>
    </row>
    <row r="2841" spans="1:2" x14ac:dyDescent="0.25">
      <c r="A2841"/>
      <c r="B2841"/>
    </row>
    <row r="2842" spans="1:2" x14ac:dyDescent="0.25">
      <c r="A2842"/>
      <c r="B2842"/>
    </row>
    <row r="2843" spans="1:2" x14ac:dyDescent="0.25">
      <c r="A2843"/>
      <c r="B2843"/>
    </row>
    <row r="2844" spans="1:2" x14ac:dyDescent="0.25">
      <c r="A2844"/>
      <c r="B2844"/>
    </row>
    <row r="2845" spans="1:2" x14ac:dyDescent="0.25">
      <c r="A2845"/>
      <c r="B2845"/>
    </row>
    <row r="2846" spans="1:2" x14ac:dyDescent="0.25">
      <c r="A2846"/>
      <c r="B2846"/>
    </row>
    <row r="2847" spans="1:2" x14ac:dyDescent="0.25">
      <c r="A2847"/>
      <c r="B2847"/>
    </row>
    <row r="2848" spans="1:2" x14ac:dyDescent="0.25">
      <c r="A2848"/>
      <c r="B2848"/>
    </row>
    <row r="2849" spans="1:2" x14ac:dyDescent="0.25">
      <c r="A2849"/>
      <c r="B2849"/>
    </row>
    <row r="2850" spans="1:2" x14ac:dyDescent="0.25">
      <c r="A2850"/>
      <c r="B2850"/>
    </row>
    <row r="2851" spans="1:2" x14ac:dyDescent="0.25">
      <c r="A2851"/>
      <c r="B2851"/>
    </row>
    <row r="2852" spans="1:2" x14ac:dyDescent="0.25">
      <c r="A2852"/>
      <c r="B2852"/>
    </row>
    <row r="2853" spans="1:2" x14ac:dyDescent="0.25">
      <c r="A2853"/>
      <c r="B2853"/>
    </row>
    <row r="2854" spans="1:2" x14ac:dyDescent="0.25">
      <c r="A2854"/>
      <c r="B2854"/>
    </row>
    <row r="2855" spans="1:2" x14ac:dyDescent="0.25">
      <c r="A2855"/>
      <c r="B2855"/>
    </row>
    <row r="2856" spans="1:2" x14ac:dyDescent="0.25">
      <c r="A2856"/>
      <c r="B2856"/>
    </row>
    <row r="2857" spans="1:2" x14ac:dyDescent="0.25">
      <c r="A2857"/>
      <c r="B2857"/>
    </row>
    <row r="2858" spans="1:2" x14ac:dyDescent="0.25">
      <c r="A2858"/>
      <c r="B2858"/>
    </row>
    <row r="2859" spans="1:2" x14ac:dyDescent="0.25">
      <c r="A2859"/>
      <c r="B2859"/>
    </row>
    <row r="2860" spans="1:2" x14ac:dyDescent="0.25">
      <c r="A2860"/>
      <c r="B2860"/>
    </row>
    <row r="2861" spans="1:2" x14ac:dyDescent="0.25">
      <c r="A2861"/>
      <c r="B2861"/>
    </row>
    <row r="2862" spans="1:2" x14ac:dyDescent="0.25">
      <c r="A2862"/>
      <c r="B2862"/>
    </row>
    <row r="2863" spans="1:2" x14ac:dyDescent="0.25">
      <c r="A2863"/>
      <c r="B2863"/>
    </row>
    <row r="2864" spans="1:2" x14ac:dyDescent="0.25">
      <c r="A2864"/>
      <c r="B2864"/>
    </row>
    <row r="2865" spans="1:2" x14ac:dyDescent="0.25">
      <c r="A2865"/>
      <c r="B2865"/>
    </row>
    <row r="2866" spans="1:2" x14ac:dyDescent="0.25">
      <c r="A2866"/>
      <c r="B2866"/>
    </row>
    <row r="2867" spans="1:2" x14ac:dyDescent="0.25">
      <c r="A2867"/>
      <c r="B2867"/>
    </row>
    <row r="2868" spans="1:2" x14ac:dyDescent="0.25">
      <c r="A2868"/>
      <c r="B2868"/>
    </row>
    <row r="2869" spans="1:2" x14ac:dyDescent="0.25">
      <c r="A2869"/>
      <c r="B2869"/>
    </row>
    <row r="2870" spans="1:2" x14ac:dyDescent="0.25">
      <c r="A2870"/>
      <c r="B2870"/>
    </row>
    <row r="2871" spans="1:2" x14ac:dyDescent="0.25">
      <c r="A2871"/>
      <c r="B2871"/>
    </row>
    <row r="2872" spans="1:2" x14ac:dyDescent="0.25">
      <c r="A2872"/>
      <c r="B2872"/>
    </row>
    <row r="2873" spans="1:2" x14ac:dyDescent="0.25">
      <c r="A2873"/>
      <c r="B2873"/>
    </row>
    <row r="2874" spans="1:2" x14ac:dyDescent="0.25">
      <c r="A2874"/>
      <c r="B2874"/>
    </row>
    <row r="2875" spans="1:2" x14ac:dyDescent="0.25">
      <c r="A2875"/>
      <c r="B2875"/>
    </row>
    <row r="2876" spans="1:2" x14ac:dyDescent="0.25">
      <c r="A2876"/>
      <c r="B2876"/>
    </row>
    <row r="2877" spans="1:2" x14ac:dyDescent="0.25">
      <c r="A2877"/>
      <c r="B2877"/>
    </row>
    <row r="2878" spans="1:2" x14ac:dyDescent="0.25">
      <c r="A2878"/>
      <c r="B2878"/>
    </row>
    <row r="2879" spans="1:2" x14ac:dyDescent="0.25">
      <c r="A2879"/>
      <c r="B2879"/>
    </row>
    <row r="2880" spans="1:2" x14ac:dyDescent="0.25">
      <c r="A2880"/>
      <c r="B2880"/>
    </row>
    <row r="2881" spans="1:2" x14ac:dyDescent="0.25">
      <c r="A2881"/>
      <c r="B2881"/>
    </row>
    <row r="2882" spans="1:2" x14ac:dyDescent="0.25">
      <c r="A2882"/>
      <c r="B2882"/>
    </row>
    <row r="2883" spans="1:2" x14ac:dyDescent="0.25">
      <c r="A2883"/>
      <c r="B2883"/>
    </row>
    <row r="2884" spans="1:2" x14ac:dyDescent="0.25">
      <c r="A2884"/>
      <c r="B2884"/>
    </row>
    <row r="2885" spans="1:2" x14ac:dyDescent="0.25">
      <c r="A2885"/>
      <c r="B2885"/>
    </row>
    <row r="2886" spans="1:2" x14ac:dyDescent="0.25">
      <c r="A2886"/>
      <c r="B2886"/>
    </row>
    <row r="2887" spans="1:2" x14ac:dyDescent="0.25">
      <c r="A2887"/>
      <c r="B2887"/>
    </row>
    <row r="2888" spans="1:2" x14ac:dyDescent="0.25">
      <c r="A2888"/>
      <c r="B2888"/>
    </row>
    <row r="2889" spans="1:2" x14ac:dyDescent="0.25">
      <c r="A2889"/>
      <c r="B2889"/>
    </row>
    <row r="2890" spans="1:2" x14ac:dyDescent="0.25">
      <c r="A2890"/>
      <c r="B2890"/>
    </row>
    <row r="2891" spans="1:2" x14ac:dyDescent="0.25">
      <c r="A2891"/>
      <c r="B2891"/>
    </row>
    <row r="2892" spans="1:2" x14ac:dyDescent="0.25">
      <c r="A2892"/>
      <c r="B2892"/>
    </row>
    <row r="2893" spans="1:2" x14ac:dyDescent="0.25">
      <c r="A2893"/>
      <c r="B2893"/>
    </row>
    <row r="2894" spans="1:2" x14ac:dyDescent="0.25">
      <c r="A2894"/>
      <c r="B2894"/>
    </row>
    <row r="2895" spans="1:2" x14ac:dyDescent="0.25">
      <c r="A2895"/>
      <c r="B2895"/>
    </row>
    <row r="2896" spans="1:2" x14ac:dyDescent="0.25">
      <c r="A2896"/>
      <c r="B2896"/>
    </row>
    <row r="2897" spans="1:2" x14ac:dyDescent="0.25">
      <c r="A2897"/>
      <c r="B2897"/>
    </row>
    <row r="2898" spans="1:2" x14ac:dyDescent="0.25">
      <c r="A2898"/>
      <c r="B2898"/>
    </row>
    <row r="2899" spans="1:2" x14ac:dyDescent="0.25">
      <c r="A2899"/>
      <c r="B2899"/>
    </row>
    <row r="2900" spans="1:2" x14ac:dyDescent="0.25">
      <c r="A2900"/>
      <c r="B2900"/>
    </row>
    <row r="2901" spans="1:2" x14ac:dyDescent="0.25">
      <c r="A2901"/>
      <c r="B2901"/>
    </row>
    <row r="2902" spans="1:2" x14ac:dyDescent="0.25">
      <c r="A2902"/>
      <c r="B2902"/>
    </row>
    <row r="2903" spans="1:2" x14ac:dyDescent="0.25">
      <c r="A2903"/>
      <c r="B2903"/>
    </row>
    <row r="2904" spans="1:2" x14ac:dyDescent="0.25">
      <c r="A2904"/>
      <c r="B2904"/>
    </row>
    <row r="2905" spans="1:2" x14ac:dyDescent="0.25">
      <c r="A2905"/>
      <c r="B2905"/>
    </row>
    <row r="2906" spans="1:2" x14ac:dyDescent="0.25">
      <c r="A2906"/>
      <c r="B2906"/>
    </row>
    <row r="2907" spans="1:2" x14ac:dyDescent="0.25">
      <c r="A2907"/>
      <c r="B2907"/>
    </row>
    <row r="2908" spans="1:2" x14ac:dyDescent="0.25">
      <c r="A2908"/>
      <c r="B2908"/>
    </row>
    <row r="2909" spans="1:2" x14ac:dyDescent="0.25">
      <c r="A2909"/>
      <c r="B2909"/>
    </row>
    <row r="2910" spans="1:2" x14ac:dyDescent="0.25">
      <c r="A2910"/>
      <c r="B2910"/>
    </row>
    <row r="2911" spans="1:2" x14ac:dyDescent="0.25">
      <c r="A2911"/>
      <c r="B2911"/>
    </row>
    <row r="2912" spans="1:2" x14ac:dyDescent="0.25">
      <c r="A2912"/>
      <c r="B2912"/>
    </row>
    <row r="2913" spans="1:2" x14ac:dyDescent="0.25">
      <c r="A2913"/>
      <c r="B2913"/>
    </row>
    <row r="2914" spans="1:2" x14ac:dyDescent="0.25">
      <c r="A2914"/>
      <c r="B2914"/>
    </row>
    <row r="2915" spans="1:2" x14ac:dyDescent="0.25">
      <c r="A2915"/>
      <c r="B2915"/>
    </row>
    <row r="2916" spans="1:2" x14ac:dyDescent="0.25">
      <c r="A2916"/>
      <c r="B2916"/>
    </row>
    <row r="2917" spans="1:2" x14ac:dyDescent="0.25">
      <c r="A2917"/>
      <c r="B2917"/>
    </row>
    <row r="2918" spans="1:2" x14ac:dyDescent="0.25">
      <c r="A2918"/>
      <c r="B2918"/>
    </row>
    <row r="2919" spans="1:2" x14ac:dyDescent="0.25">
      <c r="A2919"/>
      <c r="B2919"/>
    </row>
    <row r="2920" spans="1:2" x14ac:dyDescent="0.25">
      <c r="A2920"/>
      <c r="B2920"/>
    </row>
    <row r="2921" spans="1:2" x14ac:dyDescent="0.25">
      <c r="A2921"/>
      <c r="B2921"/>
    </row>
    <row r="2922" spans="1:2" x14ac:dyDescent="0.25">
      <c r="A2922"/>
      <c r="B2922"/>
    </row>
    <row r="2923" spans="1:2" x14ac:dyDescent="0.25">
      <c r="A2923"/>
      <c r="B2923"/>
    </row>
    <row r="2924" spans="1:2" x14ac:dyDescent="0.25">
      <c r="A2924"/>
      <c r="B2924"/>
    </row>
    <row r="2925" spans="1:2" x14ac:dyDescent="0.25">
      <c r="A2925"/>
      <c r="B2925"/>
    </row>
    <row r="2926" spans="1:2" x14ac:dyDescent="0.25">
      <c r="A2926"/>
      <c r="B2926"/>
    </row>
    <row r="2927" spans="1:2" x14ac:dyDescent="0.25">
      <c r="A2927"/>
      <c r="B2927"/>
    </row>
    <row r="2928" spans="1:2" x14ac:dyDescent="0.25">
      <c r="A2928"/>
      <c r="B2928"/>
    </row>
    <row r="2929" spans="1:2" x14ac:dyDescent="0.25">
      <c r="A2929"/>
      <c r="B2929"/>
    </row>
    <row r="2930" spans="1:2" x14ac:dyDescent="0.25">
      <c r="A2930"/>
      <c r="B2930"/>
    </row>
    <row r="2931" spans="1:2" x14ac:dyDescent="0.25">
      <c r="A2931"/>
      <c r="B2931"/>
    </row>
    <row r="2932" spans="1:2" x14ac:dyDescent="0.25">
      <c r="A2932"/>
      <c r="B2932"/>
    </row>
    <row r="2933" spans="1:2" x14ac:dyDescent="0.25">
      <c r="A2933"/>
      <c r="B2933"/>
    </row>
    <row r="2934" spans="1:2" x14ac:dyDescent="0.25">
      <c r="A2934"/>
      <c r="B2934"/>
    </row>
    <row r="2935" spans="1:2" x14ac:dyDescent="0.25">
      <c r="A2935"/>
      <c r="B2935"/>
    </row>
    <row r="2936" spans="1:2" x14ac:dyDescent="0.25">
      <c r="A2936"/>
      <c r="B2936"/>
    </row>
    <row r="2937" spans="1:2" x14ac:dyDescent="0.25">
      <c r="A2937"/>
      <c r="B2937"/>
    </row>
    <row r="2938" spans="1:2" x14ac:dyDescent="0.25">
      <c r="A2938"/>
      <c r="B2938"/>
    </row>
    <row r="2939" spans="1:2" x14ac:dyDescent="0.25">
      <c r="A2939"/>
      <c r="B2939"/>
    </row>
    <row r="2940" spans="1:2" x14ac:dyDescent="0.25">
      <c r="A2940"/>
      <c r="B2940"/>
    </row>
    <row r="2941" spans="1:2" x14ac:dyDescent="0.25">
      <c r="A2941"/>
      <c r="B2941"/>
    </row>
    <row r="2942" spans="1:2" x14ac:dyDescent="0.25">
      <c r="A2942"/>
      <c r="B2942"/>
    </row>
    <row r="2943" spans="1:2" x14ac:dyDescent="0.25">
      <c r="A2943"/>
      <c r="B2943"/>
    </row>
    <row r="2944" spans="1:2" x14ac:dyDescent="0.25">
      <c r="A2944"/>
      <c r="B2944"/>
    </row>
    <row r="2945" spans="1:2" x14ac:dyDescent="0.25">
      <c r="A2945"/>
      <c r="B2945"/>
    </row>
    <row r="2946" spans="1:2" x14ac:dyDescent="0.25">
      <c r="A2946"/>
      <c r="B2946"/>
    </row>
    <row r="2947" spans="1:2" x14ac:dyDescent="0.25">
      <c r="A2947"/>
      <c r="B2947"/>
    </row>
    <row r="2948" spans="1:2" x14ac:dyDescent="0.25">
      <c r="A2948"/>
      <c r="B2948"/>
    </row>
    <row r="2949" spans="1:2" x14ac:dyDescent="0.25">
      <c r="A2949"/>
      <c r="B2949"/>
    </row>
    <row r="2950" spans="1:2" x14ac:dyDescent="0.25">
      <c r="A2950"/>
      <c r="B2950"/>
    </row>
    <row r="2951" spans="1:2" x14ac:dyDescent="0.25">
      <c r="A2951"/>
      <c r="B2951"/>
    </row>
    <row r="2952" spans="1:2" x14ac:dyDescent="0.25">
      <c r="A2952"/>
      <c r="B2952"/>
    </row>
    <row r="2953" spans="1:2" x14ac:dyDescent="0.25">
      <c r="A2953"/>
      <c r="B2953"/>
    </row>
    <row r="2954" spans="1:2" x14ac:dyDescent="0.25">
      <c r="A2954"/>
      <c r="B2954"/>
    </row>
    <row r="2955" spans="1:2" x14ac:dyDescent="0.25">
      <c r="A2955"/>
      <c r="B2955"/>
    </row>
    <row r="2956" spans="1:2" x14ac:dyDescent="0.25">
      <c r="A2956"/>
      <c r="B2956"/>
    </row>
    <row r="2957" spans="1:2" x14ac:dyDescent="0.25">
      <c r="A2957"/>
      <c r="B2957"/>
    </row>
    <row r="2958" spans="1:2" x14ac:dyDescent="0.25">
      <c r="A2958"/>
      <c r="B2958"/>
    </row>
    <row r="2959" spans="1:2" x14ac:dyDescent="0.25">
      <c r="A2959"/>
      <c r="B2959"/>
    </row>
    <row r="2960" spans="1:2" x14ac:dyDescent="0.25">
      <c r="A2960"/>
      <c r="B2960"/>
    </row>
    <row r="2961" spans="1:2" x14ac:dyDescent="0.25">
      <c r="A2961"/>
      <c r="B2961"/>
    </row>
    <row r="2962" spans="1:2" x14ac:dyDescent="0.25">
      <c r="A2962"/>
      <c r="B2962"/>
    </row>
    <row r="2963" spans="1:2" x14ac:dyDescent="0.25">
      <c r="A2963"/>
      <c r="B2963"/>
    </row>
    <row r="2964" spans="1:2" x14ac:dyDescent="0.25">
      <c r="A2964"/>
      <c r="B2964"/>
    </row>
    <row r="2965" spans="1:2" x14ac:dyDescent="0.25">
      <c r="A2965"/>
      <c r="B2965"/>
    </row>
    <row r="2966" spans="1:2" x14ac:dyDescent="0.25">
      <c r="A2966"/>
      <c r="B2966"/>
    </row>
    <row r="2967" spans="1:2" x14ac:dyDescent="0.25">
      <c r="A2967"/>
      <c r="B2967"/>
    </row>
    <row r="2968" spans="1:2" x14ac:dyDescent="0.25">
      <c r="A2968"/>
      <c r="B2968"/>
    </row>
    <row r="2969" spans="1:2" x14ac:dyDescent="0.25">
      <c r="A2969"/>
      <c r="B2969"/>
    </row>
    <row r="2970" spans="1:2" x14ac:dyDescent="0.25">
      <c r="A2970"/>
      <c r="B2970"/>
    </row>
    <row r="2971" spans="1:2" x14ac:dyDescent="0.25">
      <c r="A2971"/>
      <c r="B2971"/>
    </row>
    <row r="2972" spans="1:2" x14ac:dyDescent="0.25">
      <c r="A2972"/>
      <c r="B2972"/>
    </row>
    <row r="2973" spans="1:2" x14ac:dyDescent="0.25">
      <c r="A2973"/>
      <c r="B2973"/>
    </row>
    <row r="2974" spans="1:2" x14ac:dyDescent="0.25">
      <c r="A2974"/>
      <c r="B2974"/>
    </row>
    <row r="2975" spans="1:2" x14ac:dyDescent="0.25">
      <c r="A2975"/>
      <c r="B2975"/>
    </row>
    <row r="2976" spans="1:2" x14ac:dyDescent="0.25">
      <c r="A2976"/>
      <c r="B2976"/>
    </row>
    <row r="2977" spans="1:2" x14ac:dyDescent="0.25">
      <c r="A2977"/>
      <c r="B2977"/>
    </row>
    <row r="2978" spans="1:2" x14ac:dyDescent="0.25">
      <c r="A2978"/>
      <c r="B2978"/>
    </row>
    <row r="2979" spans="1:2" x14ac:dyDescent="0.25">
      <c r="A2979"/>
      <c r="B2979"/>
    </row>
    <row r="2980" spans="1:2" x14ac:dyDescent="0.25">
      <c r="A2980"/>
      <c r="B2980"/>
    </row>
    <row r="2981" spans="1:2" x14ac:dyDescent="0.25">
      <c r="A2981"/>
      <c r="B2981"/>
    </row>
    <row r="2982" spans="1:2" x14ac:dyDescent="0.25">
      <c r="A2982"/>
      <c r="B2982"/>
    </row>
    <row r="2983" spans="1:2" x14ac:dyDescent="0.25">
      <c r="A2983"/>
      <c r="B2983"/>
    </row>
    <row r="2984" spans="1:2" x14ac:dyDescent="0.25">
      <c r="A2984"/>
      <c r="B2984"/>
    </row>
    <row r="2985" spans="1:2" x14ac:dyDescent="0.25">
      <c r="A2985"/>
      <c r="B2985"/>
    </row>
    <row r="2986" spans="1:2" x14ac:dyDescent="0.25">
      <c r="A2986"/>
      <c r="B2986"/>
    </row>
    <row r="2987" spans="1:2" x14ac:dyDescent="0.25">
      <c r="A2987"/>
      <c r="B2987"/>
    </row>
    <row r="2988" spans="1:2" x14ac:dyDescent="0.25">
      <c r="A2988"/>
      <c r="B2988"/>
    </row>
    <row r="2989" spans="1:2" x14ac:dyDescent="0.25">
      <c r="A2989"/>
      <c r="B2989"/>
    </row>
    <row r="2990" spans="1:2" x14ac:dyDescent="0.25">
      <c r="A2990"/>
      <c r="B2990"/>
    </row>
    <row r="2991" spans="1:2" x14ac:dyDescent="0.25">
      <c r="A2991"/>
      <c r="B2991"/>
    </row>
    <row r="2992" spans="1:2" x14ac:dyDescent="0.25">
      <c r="A2992"/>
      <c r="B2992"/>
    </row>
    <row r="2993" spans="1:2" x14ac:dyDescent="0.25">
      <c r="A2993"/>
      <c r="B2993"/>
    </row>
    <row r="2994" spans="1:2" x14ac:dyDescent="0.25">
      <c r="A2994"/>
      <c r="B2994"/>
    </row>
    <row r="2995" spans="1:2" x14ac:dyDescent="0.25">
      <c r="A2995"/>
      <c r="B2995"/>
    </row>
    <row r="2996" spans="1:2" x14ac:dyDescent="0.25">
      <c r="A2996"/>
      <c r="B2996"/>
    </row>
    <row r="2997" spans="1:2" x14ac:dyDescent="0.25">
      <c r="A2997"/>
      <c r="B2997"/>
    </row>
    <row r="2998" spans="1:2" x14ac:dyDescent="0.25">
      <c r="A2998"/>
      <c r="B2998"/>
    </row>
    <row r="2999" spans="1:2" x14ac:dyDescent="0.25">
      <c r="A2999"/>
      <c r="B2999"/>
    </row>
    <row r="3000" spans="1:2" x14ac:dyDescent="0.25">
      <c r="A3000"/>
      <c r="B3000"/>
    </row>
    <row r="3001" spans="1:2" x14ac:dyDescent="0.25">
      <c r="A3001"/>
      <c r="B3001"/>
    </row>
    <row r="3002" spans="1:2" x14ac:dyDescent="0.25">
      <c r="A3002"/>
      <c r="B3002"/>
    </row>
    <row r="3003" spans="1:2" x14ac:dyDescent="0.25">
      <c r="A3003"/>
      <c r="B3003"/>
    </row>
    <row r="3004" spans="1:2" x14ac:dyDescent="0.25">
      <c r="A3004"/>
      <c r="B3004"/>
    </row>
    <row r="3005" spans="1:2" x14ac:dyDescent="0.25">
      <c r="A3005"/>
      <c r="B3005"/>
    </row>
    <row r="3006" spans="1:2" x14ac:dyDescent="0.25">
      <c r="A3006"/>
      <c r="B3006"/>
    </row>
    <row r="3007" spans="1:2" x14ac:dyDescent="0.25">
      <c r="A3007"/>
      <c r="B3007"/>
    </row>
    <row r="3008" spans="1:2" x14ac:dyDescent="0.25">
      <c r="A3008"/>
      <c r="B3008"/>
    </row>
    <row r="3009" spans="1:2" x14ac:dyDescent="0.25">
      <c r="A3009"/>
      <c r="B3009"/>
    </row>
    <row r="3010" spans="1:2" x14ac:dyDescent="0.25">
      <c r="A3010"/>
      <c r="B3010"/>
    </row>
    <row r="3011" spans="1:2" x14ac:dyDescent="0.25">
      <c r="A3011"/>
      <c r="B3011"/>
    </row>
    <row r="3012" spans="1:2" x14ac:dyDescent="0.25">
      <c r="A3012"/>
      <c r="B3012"/>
    </row>
    <row r="3013" spans="1:2" x14ac:dyDescent="0.25">
      <c r="A3013"/>
      <c r="B3013"/>
    </row>
    <row r="3014" spans="1:2" x14ac:dyDescent="0.25">
      <c r="A3014"/>
      <c r="B3014"/>
    </row>
    <row r="3015" spans="1:2" x14ac:dyDescent="0.25">
      <c r="A3015"/>
      <c r="B3015"/>
    </row>
    <row r="3016" spans="1:2" x14ac:dyDescent="0.25">
      <c r="A3016"/>
      <c r="B3016"/>
    </row>
    <row r="3017" spans="1:2" x14ac:dyDescent="0.25">
      <c r="A3017"/>
      <c r="B3017"/>
    </row>
    <row r="3018" spans="1:2" x14ac:dyDescent="0.25">
      <c r="A3018"/>
      <c r="B3018"/>
    </row>
    <row r="3019" spans="1:2" x14ac:dyDescent="0.25">
      <c r="A3019"/>
      <c r="B3019"/>
    </row>
    <row r="3020" spans="1:2" x14ac:dyDescent="0.25">
      <c r="A3020"/>
      <c r="B3020"/>
    </row>
    <row r="3021" spans="1:2" x14ac:dyDescent="0.25">
      <c r="A3021"/>
      <c r="B3021"/>
    </row>
    <row r="3022" spans="1:2" x14ac:dyDescent="0.25">
      <c r="A3022"/>
      <c r="B3022"/>
    </row>
    <row r="3023" spans="1:2" x14ac:dyDescent="0.25">
      <c r="A3023"/>
      <c r="B3023"/>
    </row>
    <row r="3024" spans="1:2" x14ac:dyDescent="0.25">
      <c r="A3024"/>
      <c r="B3024"/>
    </row>
    <row r="3025" spans="1:2" x14ac:dyDescent="0.25">
      <c r="A3025"/>
      <c r="B3025"/>
    </row>
    <row r="3026" spans="1:2" x14ac:dyDescent="0.25">
      <c r="A3026"/>
      <c r="B3026"/>
    </row>
    <row r="3027" spans="1:2" x14ac:dyDescent="0.25">
      <c r="A3027"/>
      <c r="B3027"/>
    </row>
    <row r="3028" spans="1:2" x14ac:dyDescent="0.25">
      <c r="A3028"/>
      <c r="B3028"/>
    </row>
    <row r="3029" spans="1:2" x14ac:dyDescent="0.25">
      <c r="A3029"/>
      <c r="B3029"/>
    </row>
    <row r="3030" spans="1:2" x14ac:dyDescent="0.25">
      <c r="A3030"/>
      <c r="B3030"/>
    </row>
    <row r="3031" spans="1:2" x14ac:dyDescent="0.25">
      <c r="A3031"/>
      <c r="B3031"/>
    </row>
    <row r="3032" spans="1:2" x14ac:dyDescent="0.25">
      <c r="A3032"/>
      <c r="B3032"/>
    </row>
    <row r="3033" spans="1:2" x14ac:dyDescent="0.25">
      <c r="A3033"/>
      <c r="B3033"/>
    </row>
    <row r="3034" spans="1:2" x14ac:dyDescent="0.25">
      <c r="A3034"/>
      <c r="B3034"/>
    </row>
    <row r="3035" spans="1:2" x14ac:dyDescent="0.25">
      <c r="A3035"/>
      <c r="B3035"/>
    </row>
    <row r="3036" spans="1:2" x14ac:dyDescent="0.25">
      <c r="A3036"/>
      <c r="B3036"/>
    </row>
    <row r="3037" spans="1:2" x14ac:dyDescent="0.25">
      <c r="A3037"/>
      <c r="B3037"/>
    </row>
    <row r="3038" spans="1:2" x14ac:dyDescent="0.25">
      <c r="A3038"/>
      <c r="B3038"/>
    </row>
    <row r="3039" spans="1:2" x14ac:dyDescent="0.25">
      <c r="A3039"/>
      <c r="B3039"/>
    </row>
    <row r="3040" spans="1:2" x14ac:dyDescent="0.25">
      <c r="A3040"/>
      <c r="B3040"/>
    </row>
    <row r="3041" spans="1:2" x14ac:dyDescent="0.25">
      <c r="A3041"/>
      <c r="B3041"/>
    </row>
    <row r="3042" spans="1:2" x14ac:dyDescent="0.25">
      <c r="A3042"/>
      <c r="B3042"/>
    </row>
    <row r="3043" spans="1:2" x14ac:dyDescent="0.25">
      <c r="A3043"/>
      <c r="B3043"/>
    </row>
    <row r="3044" spans="1:2" x14ac:dyDescent="0.25">
      <c r="A3044"/>
      <c r="B3044"/>
    </row>
    <row r="3045" spans="1:2" x14ac:dyDescent="0.25">
      <c r="A3045"/>
      <c r="B3045"/>
    </row>
    <row r="3046" spans="1:2" x14ac:dyDescent="0.25">
      <c r="A3046"/>
      <c r="B3046"/>
    </row>
    <row r="3047" spans="1:2" x14ac:dyDescent="0.25">
      <c r="A3047"/>
      <c r="B3047"/>
    </row>
    <row r="3048" spans="1:2" x14ac:dyDescent="0.25">
      <c r="A3048"/>
      <c r="B3048"/>
    </row>
    <row r="3049" spans="1:2" x14ac:dyDescent="0.25">
      <c r="A3049"/>
      <c r="B3049"/>
    </row>
    <row r="3050" spans="1:2" x14ac:dyDescent="0.25">
      <c r="A3050"/>
      <c r="B3050"/>
    </row>
    <row r="3051" spans="1:2" x14ac:dyDescent="0.25">
      <c r="A3051"/>
      <c r="B3051"/>
    </row>
    <row r="3052" spans="1:2" x14ac:dyDescent="0.25">
      <c r="A3052"/>
      <c r="B3052"/>
    </row>
    <row r="3053" spans="1:2" x14ac:dyDescent="0.25">
      <c r="A3053"/>
      <c r="B3053"/>
    </row>
    <row r="3054" spans="1:2" x14ac:dyDescent="0.25">
      <c r="A3054"/>
      <c r="B3054"/>
    </row>
    <row r="3055" spans="1:2" x14ac:dyDescent="0.25">
      <c r="A3055"/>
      <c r="B3055"/>
    </row>
    <row r="3056" spans="1:2" x14ac:dyDescent="0.25">
      <c r="A3056"/>
      <c r="B3056"/>
    </row>
    <row r="3057" spans="1:2" x14ac:dyDescent="0.25">
      <c r="A3057"/>
      <c r="B3057"/>
    </row>
    <row r="3058" spans="1:2" x14ac:dyDescent="0.25">
      <c r="A3058"/>
      <c r="B3058"/>
    </row>
    <row r="3059" spans="1:2" x14ac:dyDescent="0.25">
      <c r="A3059"/>
      <c r="B3059"/>
    </row>
    <row r="3060" spans="1:2" x14ac:dyDescent="0.25">
      <c r="A3060"/>
      <c r="B3060"/>
    </row>
    <row r="3061" spans="1:2" x14ac:dyDescent="0.25">
      <c r="A3061"/>
      <c r="B3061"/>
    </row>
    <row r="3062" spans="1:2" x14ac:dyDescent="0.25">
      <c r="A3062"/>
      <c r="B3062"/>
    </row>
    <row r="3063" spans="1:2" x14ac:dyDescent="0.25">
      <c r="A3063"/>
      <c r="B3063"/>
    </row>
    <row r="3064" spans="1:2" x14ac:dyDescent="0.25">
      <c r="A3064"/>
      <c r="B3064"/>
    </row>
    <row r="3065" spans="1:2" x14ac:dyDescent="0.25">
      <c r="A3065"/>
      <c r="B3065"/>
    </row>
    <row r="3066" spans="1:2" x14ac:dyDescent="0.25">
      <c r="A3066"/>
      <c r="B3066"/>
    </row>
    <row r="3067" spans="1:2" x14ac:dyDescent="0.25">
      <c r="A3067"/>
      <c r="B3067"/>
    </row>
    <row r="3068" spans="1:2" x14ac:dyDescent="0.25">
      <c r="A3068"/>
      <c r="B3068"/>
    </row>
    <row r="3069" spans="1:2" x14ac:dyDescent="0.25">
      <c r="A3069"/>
      <c r="B3069"/>
    </row>
    <row r="3070" spans="1:2" x14ac:dyDescent="0.25">
      <c r="A3070"/>
      <c r="B3070"/>
    </row>
    <row r="3071" spans="1:2" x14ac:dyDescent="0.25">
      <c r="A3071"/>
      <c r="B3071"/>
    </row>
    <row r="3072" spans="1:2" x14ac:dyDescent="0.25">
      <c r="A3072"/>
      <c r="B3072"/>
    </row>
    <row r="3073" spans="1:2" x14ac:dyDescent="0.25">
      <c r="A3073"/>
      <c r="B3073"/>
    </row>
    <row r="3074" spans="1:2" x14ac:dyDescent="0.25">
      <c r="A3074"/>
      <c r="B3074"/>
    </row>
    <row r="3075" spans="1:2" x14ac:dyDescent="0.25">
      <c r="A3075"/>
      <c r="B3075"/>
    </row>
    <row r="3076" spans="1:2" x14ac:dyDescent="0.25">
      <c r="A3076"/>
      <c r="B3076"/>
    </row>
    <row r="3077" spans="1:2" x14ac:dyDescent="0.25">
      <c r="A3077"/>
      <c r="B3077"/>
    </row>
    <row r="3078" spans="1:2" x14ac:dyDescent="0.25">
      <c r="A3078"/>
      <c r="B3078"/>
    </row>
    <row r="3079" spans="1:2" x14ac:dyDescent="0.25">
      <c r="A3079"/>
      <c r="B3079"/>
    </row>
    <row r="3080" spans="1:2" x14ac:dyDescent="0.25">
      <c r="A3080"/>
      <c r="B3080"/>
    </row>
    <row r="3081" spans="1:2" x14ac:dyDescent="0.25">
      <c r="A3081"/>
      <c r="B3081"/>
    </row>
    <row r="3082" spans="1:2" x14ac:dyDescent="0.25">
      <c r="A3082"/>
      <c r="B3082"/>
    </row>
    <row r="3083" spans="1:2" x14ac:dyDescent="0.25">
      <c r="A3083"/>
      <c r="B3083"/>
    </row>
    <row r="3084" spans="1:2" x14ac:dyDescent="0.25">
      <c r="A3084"/>
      <c r="B3084"/>
    </row>
    <row r="3085" spans="1:2" x14ac:dyDescent="0.25">
      <c r="A3085"/>
      <c r="B3085"/>
    </row>
    <row r="3086" spans="1:2" x14ac:dyDescent="0.25">
      <c r="A3086"/>
      <c r="B3086"/>
    </row>
    <row r="3087" spans="1:2" x14ac:dyDescent="0.25">
      <c r="A3087"/>
      <c r="B3087"/>
    </row>
    <row r="3088" spans="1:2" x14ac:dyDescent="0.25">
      <c r="A3088"/>
      <c r="B3088"/>
    </row>
    <row r="3089" spans="1:2" x14ac:dyDescent="0.25">
      <c r="A3089"/>
      <c r="B3089"/>
    </row>
    <row r="3090" spans="1:2" x14ac:dyDescent="0.25">
      <c r="A3090"/>
      <c r="B3090"/>
    </row>
    <row r="3091" spans="1:2" x14ac:dyDescent="0.25">
      <c r="A3091"/>
      <c r="B3091"/>
    </row>
    <row r="3092" spans="1:2" x14ac:dyDescent="0.25">
      <c r="A3092"/>
      <c r="B3092"/>
    </row>
    <row r="3093" spans="1:2" x14ac:dyDescent="0.25">
      <c r="A3093"/>
      <c r="B3093"/>
    </row>
    <row r="3094" spans="1:2" x14ac:dyDescent="0.25">
      <c r="A3094"/>
      <c r="B3094"/>
    </row>
    <row r="3095" spans="1:2" x14ac:dyDescent="0.25">
      <c r="A3095"/>
      <c r="B3095"/>
    </row>
    <row r="3096" spans="1:2" x14ac:dyDescent="0.25">
      <c r="A3096"/>
      <c r="B3096"/>
    </row>
    <row r="3097" spans="1:2" x14ac:dyDescent="0.25">
      <c r="A3097"/>
      <c r="B3097"/>
    </row>
    <row r="3098" spans="1:2" x14ac:dyDescent="0.25">
      <c r="A3098"/>
      <c r="B3098"/>
    </row>
    <row r="3099" spans="1:2" x14ac:dyDescent="0.25">
      <c r="A3099"/>
      <c r="B3099"/>
    </row>
    <row r="3100" spans="1:2" x14ac:dyDescent="0.25">
      <c r="A3100"/>
      <c r="B3100"/>
    </row>
    <row r="3101" spans="1:2" x14ac:dyDescent="0.25">
      <c r="A3101"/>
      <c r="B3101"/>
    </row>
    <row r="3102" spans="1:2" x14ac:dyDescent="0.25">
      <c r="A3102"/>
      <c r="B3102"/>
    </row>
    <row r="3103" spans="1:2" x14ac:dyDescent="0.25">
      <c r="A3103"/>
      <c r="B3103"/>
    </row>
    <row r="3104" spans="1:2" x14ac:dyDescent="0.25">
      <c r="A3104"/>
      <c r="B3104"/>
    </row>
    <row r="3105" spans="1:2" x14ac:dyDescent="0.25">
      <c r="A3105"/>
      <c r="B3105"/>
    </row>
    <row r="3106" spans="1:2" x14ac:dyDescent="0.25">
      <c r="A3106"/>
      <c r="B3106"/>
    </row>
    <row r="3107" spans="1:2" x14ac:dyDescent="0.25">
      <c r="A3107"/>
      <c r="B3107"/>
    </row>
    <row r="3108" spans="1:2" x14ac:dyDescent="0.25">
      <c r="A3108"/>
      <c r="B3108"/>
    </row>
    <row r="3109" spans="1:2" x14ac:dyDescent="0.25">
      <c r="A3109"/>
      <c r="B3109"/>
    </row>
    <row r="3110" spans="1:2" x14ac:dyDescent="0.25">
      <c r="A3110"/>
      <c r="B3110"/>
    </row>
    <row r="3111" spans="1:2" x14ac:dyDescent="0.25">
      <c r="A3111"/>
      <c r="B3111"/>
    </row>
    <row r="3112" spans="1:2" x14ac:dyDescent="0.25">
      <c r="A3112"/>
      <c r="B3112"/>
    </row>
    <row r="3113" spans="1:2" x14ac:dyDescent="0.25">
      <c r="A3113"/>
      <c r="B3113"/>
    </row>
    <row r="3114" spans="1:2" x14ac:dyDescent="0.25">
      <c r="A3114"/>
      <c r="B3114"/>
    </row>
    <row r="3115" spans="1:2" x14ac:dyDescent="0.25">
      <c r="A3115"/>
      <c r="B3115"/>
    </row>
    <row r="3116" spans="1:2" x14ac:dyDescent="0.25">
      <c r="A3116"/>
      <c r="B3116"/>
    </row>
    <row r="3117" spans="1:2" x14ac:dyDescent="0.25">
      <c r="A3117"/>
      <c r="B3117"/>
    </row>
    <row r="3118" spans="1:2" x14ac:dyDescent="0.25">
      <c r="A3118"/>
      <c r="B3118"/>
    </row>
    <row r="3119" spans="1:2" x14ac:dyDescent="0.25">
      <c r="A3119"/>
      <c r="B3119"/>
    </row>
    <row r="3120" spans="1:2" x14ac:dyDescent="0.25">
      <c r="A3120"/>
      <c r="B3120"/>
    </row>
    <row r="3121" spans="1:2" x14ac:dyDescent="0.25">
      <c r="A3121"/>
      <c r="B3121"/>
    </row>
    <row r="3122" spans="1:2" x14ac:dyDescent="0.25">
      <c r="A3122"/>
      <c r="B3122"/>
    </row>
    <row r="3123" spans="1:2" x14ac:dyDescent="0.25">
      <c r="A3123"/>
      <c r="B3123"/>
    </row>
    <row r="3124" spans="1:2" x14ac:dyDescent="0.25">
      <c r="A3124"/>
      <c r="B3124"/>
    </row>
    <row r="3125" spans="1:2" x14ac:dyDescent="0.25">
      <c r="A3125"/>
      <c r="B3125"/>
    </row>
    <row r="3126" spans="1:2" x14ac:dyDescent="0.25">
      <c r="A3126"/>
      <c r="B3126"/>
    </row>
    <row r="3127" spans="1:2" x14ac:dyDescent="0.25">
      <c r="A3127"/>
      <c r="B3127"/>
    </row>
    <row r="3128" spans="1:2" x14ac:dyDescent="0.25">
      <c r="A3128"/>
      <c r="B3128"/>
    </row>
    <row r="3129" spans="1:2" x14ac:dyDescent="0.25">
      <c r="A3129"/>
      <c r="B3129"/>
    </row>
    <row r="3130" spans="1:2" x14ac:dyDescent="0.25">
      <c r="A3130"/>
      <c r="B3130"/>
    </row>
    <row r="3131" spans="1:2" x14ac:dyDescent="0.25">
      <c r="A3131"/>
      <c r="B3131"/>
    </row>
    <row r="3132" spans="1:2" x14ac:dyDescent="0.25">
      <c r="A3132"/>
      <c r="B3132"/>
    </row>
    <row r="3133" spans="1:2" x14ac:dyDescent="0.25">
      <c r="A3133"/>
      <c r="B3133"/>
    </row>
    <row r="3134" spans="1:2" x14ac:dyDescent="0.25">
      <c r="A3134"/>
      <c r="B3134"/>
    </row>
    <row r="3135" spans="1:2" x14ac:dyDescent="0.25">
      <c r="A3135"/>
      <c r="B3135"/>
    </row>
    <row r="3136" spans="1:2" x14ac:dyDescent="0.25">
      <c r="A3136"/>
      <c r="B3136"/>
    </row>
    <row r="3137" spans="1:2" x14ac:dyDescent="0.25">
      <c r="A3137"/>
      <c r="B3137"/>
    </row>
    <row r="3138" spans="1:2" x14ac:dyDescent="0.25">
      <c r="A3138"/>
      <c r="B3138"/>
    </row>
    <row r="3139" spans="1:2" x14ac:dyDescent="0.25">
      <c r="A3139"/>
      <c r="B3139"/>
    </row>
    <row r="3140" spans="1:2" x14ac:dyDescent="0.25">
      <c r="A3140"/>
      <c r="B3140"/>
    </row>
    <row r="3141" spans="1:2" x14ac:dyDescent="0.25">
      <c r="A3141"/>
      <c r="B3141"/>
    </row>
    <row r="3142" spans="1:2" x14ac:dyDescent="0.25">
      <c r="A3142"/>
      <c r="B3142"/>
    </row>
    <row r="3143" spans="1:2" x14ac:dyDescent="0.25">
      <c r="A3143"/>
      <c r="B3143"/>
    </row>
    <row r="3144" spans="1:2" x14ac:dyDescent="0.25">
      <c r="A3144"/>
      <c r="B3144"/>
    </row>
    <row r="3145" spans="1:2" x14ac:dyDescent="0.25">
      <c r="A3145"/>
      <c r="B3145"/>
    </row>
    <row r="3146" spans="1:2" x14ac:dyDescent="0.25">
      <c r="A3146"/>
      <c r="B3146"/>
    </row>
    <row r="3147" spans="1:2" x14ac:dyDescent="0.25">
      <c r="A3147"/>
      <c r="B3147"/>
    </row>
    <row r="3148" spans="1:2" x14ac:dyDescent="0.25">
      <c r="A3148"/>
      <c r="B3148"/>
    </row>
    <row r="3149" spans="1:2" x14ac:dyDescent="0.25">
      <c r="A3149"/>
      <c r="B3149"/>
    </row>
    <row r="3150" spans="1:2" x14ac:dyDescent="0.25">
      <c r="A3150"/>
      <c r="B3150"/>
    </row>
    <row r="3151" spans="1:2" x14ac:dyDescent="0.25">
      <c r="A3151"/>
      <c r="B3151"/>
    </row>
    <row r="3152" spans="1:2" x14ac:dyDescent="0.25">
      <c r="A3152"/>
      <c r="B3152"/>
    </row>
    <row r="3153" spans="1:2" x14ac:dyDescent="0.25">
      <c r="A3153"/>
      <c r="B3153"/>
    </row>
    <row r="3154" spans="1:2" x14ac:dyDescent="0.25">
      <c r="A3154"/>
      <c r="B3154"/>
    </row>
    <row r="3155" spans="1:2" x14ac:dyDescent="0.25">
      <c r="A3155"/>
      <c r="B3155"/>
    </row>
    <row r="3156" spans="1:2" x14ac:dyDescent="0.25">
      <c r="A3156"/>
      <c r="B3156"/>
    </row>
    <row r="3157" spans="1:2" x14ac:dyDescent="0.25">
      <c r="A3157"/>
      <c r="B3157"/>
    </row>
    <row r="3158" spans="1:2" x14ac:dyDescent="0.25">
      <c r="A3158"/>
      <c r="B3158"/>
    </row>
    <row r="3159" spans="1:2" x14ac:dyDescent="0.25">
      <c r="A3159"/>
      <c r="B3159"/>
    </row>
    <row r="3160" spans="1:2" x14ac:dyDescent="0.25">
      <c r="A3160"/>
      <c r="B3160"/>
    </row>
    <row r="3161" spans="1:2" x14ac:dyDescent="0.25">
      <c r="A3161"/>
      <c r="B3161"/>
    </row>
    <row r="3162" spans="1:2" x14ac:dyDescent="0.25">
      <c r="A3162"/>
      <c r="B3162"/>
    </row>
    <row r="3163" spans="1:2" x14ac:dyDescent="0.25">
      <c r="A3163"/>
      <c r="B3163"/>
    </row>
    <row r="3164" spans="1:2" x14ac:dyDescent="0.25">
      <c r="A3164"/>
      <c r="B3164"/>
    </row>
    <row r="3165" spans="1:2" x14ac:dyDescent="0.25">
      <c r="A3165"/>
      <c r="B3165"/>
    </row>
    <row r="3166" spans="1:2" x14ac:dyDescent="0.25">
      <c r="A3166"/>
      <c r="B3166"/>
    </row>
    <row r="3167" spans="1:2" x14ac:dyDescent="0.25">
      <c r="A3167"/>
      <c r="B3167"/>
    </row>
    <row r="3168" spans="1:2" x14ac:dyDescent="0.25">
      <c r="A3168"/>
      <c r="B3168"/>
    </row>
    <row r="3169" spans="1:2" x14ac:dyDescent="0.25">
      <c r="A3169"/>
      <c r="B3169"/>
    </row>
    <row r="3170" spans="1:2" x14ac:dyDescent="0.25">
      <c r="A3170"/>
      <c r="B3170"/>
    </row>
    <row r="3171" spans="1:2" x14ac:dyDescent="0.25">
      <c r="A3171"/>
      <c r="B3171"/>
    </row>
    <row r="3172" spans="1:2" x14ac:dyDescent="0.25">
      <c r="A3172"/>
      <c r="B3172"/>
    </row>
    <row r="3173" spans="1:2" x14ac:dyDescent="0.25">
      <c r="A3173"/>
      <c r="B3173"/>
    </row>
    <row r="3174" spans="1:2" x14ac:dyDescent="0.25">
      <c r="A3174"/>
      <c r="B3174"/>
    </row>
    <row r="3175" spans="1:2" x14ac:dyDescent="0.25">
      <c r="A3175"/>
      <c r="B3175"/>
    </row>
    <row r="3176" spans="1:2" x14ac:dyDescent="0.25">
      <c r="A3176"/>
      <c r="B3176"/>
    </row>
    <row r="3177" spans="1:2" x14ac:dyDescent="0.25">
      <c r="A3177"/>
      <c r="B3177"/>
    </row>
    <row r="3178" spans="1:2" x14ac:dyDescent="0.25">
      <c r="A3178"/>
      <c r="B3178"/>
    </row>
    <row r="3179" spans="1:2" x14ac:dyDescent="0.25">
      <c r="A3179"/>
      <c r="B3179"/>
    </row>
    <row r="3180" spans="1:2" x14ac:dyDescent="0.25">
      <c r="A3180"/>
      <c r="B3180"/>
    </row>
    <row r="3181" spans="1:2" x14ac:dyDescent="0.25">
      <c r="A3181"/>
      <c r="B3181"/>
    </row>
    <row r="3182" spans="1:2" x14ac:dyDescent="0.25">
      <c r="A3182"/>
      <c r="B3182"/>
    </row>
    <row r="3183" spans="1:2" x14ac:dyDescent="0.25">
      <c r="A3183"/>
      <c r="B3183"/>
    </row>
    <row r="3184" spans="1:2" x14ac:dyDescent="0.25">
      <c r="A3184"/>
      <c r="B3184"/>
    </row>
    <row r="3185" spans="1:2" x14ac:dyDescent="0.25">
      <c r="A3185"/>
      <c r="B3185"/>
    </row>
    <row r="3186" spans="1:2" x14ac:dyDescent="0.25">
      <c r="A3186"/>
      <c r="B3186"/>
    </row>
    <row r="3187" spans="1:2" x14ac:dyDescent="0.25">
      <c r="A3187"/>
      <c r="B3187"/>
    </row>
    <row r="3188" spans="1:2" x14ac:dyDescent="0.25">
      <c r="A3188"/>
      <c r="B3188"/>
    </row>
    <row r="3189" spans="1:2" x14ac:dyDescent="0.25">
      <c r="A3189"/>
      <c r="B3189"/>
    </row>
    <row r="3190" spans="1:2" x14ac:dyDescent="0.25">
      <c r="A3190"/>
      <c r="B3190"/>
    </row>
    <row r="3191" spans="1:2" x14ac:dyDescent="0.25">
      <c r="A3191"/>
      <c r="B3191"/>
    </row>
    <row r="3192" spans="1:2" x14ac:dyDescent="0.25">
      <c r="A3192"/>
      <c r="B3192"/>
    </row>
    <row r="3193" spans="1:2" x14ac:dyDescent="0.25">
      <c r="A3193"/>
      <c r="B3193"/>
    </row>
    <row r="3194" spans="1:2" x14ac:dyDescent="0.25">
      <c r="A3194"/>
      <c r="B3194"/>
    </row>
    <row r="3195" spans="1:2" x14ac:dyDescent="0.25">
      <c r="A3195"/>
      <c r="B3195"/>
    </row>
    <row r="3196" spans="1:2" x14ac:dyDescent="0.25">
      <c r="A3196"/>
      <c r="B3196"/>
    </row>
    <row r="3197" spans="1:2" x14ac:dyDescent="0.25">
      <c r="A3197"/>
      <c r="B3197"/>
    </row>
    <row r="3198" spans="1:2" x14ac:dyDescent="0.25">
      <c r="A3198"/>
      <c r="B3198"/>
    </row>
    <row r="3199" spans="1:2" x14ac:dyDescent="0.25">
      <c r="A3199"/>
      <c r="B3199"/>
    </row>
    <row r="3200" spans="1:2" x14ac:dyDescent="0.25">
      <c r="A3200"/>
      <c r="B3200"/>
    </row>
    <row r="3201" spans="1:2" x14ac:dyDescent="0.25">
      <c r="A3201"/>
      <c r="B3201"/>
    </row>
    <row r="3202" spans="1:2" x14ac:dyDescent="0.25">
      <c r="A3202"/>
      <c r="B3202"/>
    </row>
    <row r="3203" spans="1:2" x14ac:dyDescent="0.25">
      <c r="A3203"/>
      <c r="B3203"/>
    </row>
    <row r="3204" spans="1:2" x14ac:dyDescent="0.25">
      <c r="A3204"/>
      <c r="B3204"/>
    </row>
    <row r="3205" spans="1:2" x14ac:dyDescent="0.25">
      <c r="A3205"/>
      <c r="B3205"/>
    </row>
    <row r="3206" spans="1:2" x14ac:dyDescent="0.25">
      <c r="A3206"/>
      <c r="B3206"/>
    </row>
    <row r="3207" spans="1:2" x14ac:dyDescent="0.25">
      <c r="A3207"/>
      <c r="B3207"/>
    </row>
    <row r="3208" spans="1:2" x14ac:dyDescent="0.25">
      <c r="A3208"/>
      <c r="B3208"/>
    </row>
    <row r="3209" spans="1:2" x14ac:dyDescent="0.25">
      <c r="A3209"/>
      <c r="B3209"/>
    </row>
    <row r="3210" spans="1:2" x14ac:dyDescent="0.25">
      <c r="A3210"/>
      <c r="B3210"/>
    </row>
    <row r="3211" spans="1:2" x14ac:dyDescent="0.25">
      <c r="A3211"/>
      <c r="B3211"/>
    </row>
    <row r="3212" spans="1:2" x14ac:dyDescent="0.25">
      <c r="A3212"/>
      <c r="B3212"/>
    </row>
    <row r="3213" spans="1:2" x14ac:dyDescent="0.25">
      <c r="A3213"/>
      <c r="B3213"/>
    </row>
    <row r="3214" spans="1:2" x14ac:dyDescent="0.25">
      <c r="A3214"/>
      <c r="B3214"/>
    </row>
    <row r="3215" spans="1:2" x14ac:dyDescent="0.25">
      <c r="A3215"/>
      <c r="B3215"/>
    </row>
    <row r="3216" spans="1:2" x14ac:dyDescent="0.25">
      <c r="A3216"/>
      <c r="B3216"/>
    </row>
    <row r="3217" spans="1:2" x14ac:dyDescent="0.25">
      <c r="A3217"/>
      <c r="B3217"/>
    </row>
    <row r="3218" spans="1:2" x14ac:dyDescent="0.25">
      <c r="A3218"/>
      <c r="B3218"/>
    </row>
    <row r="3219" spans="1:2" x14ac:dyDescent="0.25">
      <c r="A3219"/>
      <c r="B3219"/>
    </row>
    <row r="3220" spans="1:2" x14ac:dyDescent="0.25">
      <c r="A3220"/>
      <c r="B3220"/>
    </row>
    <row r="3221" spans="1:2" x14ac:dyDescent="0.25">
      <c r="A3221"/>
      <c r="B3221"/>
    </row>
    <row r="3222" spans="1:2" x14ac:dyDescent="0.25">
      <c r="A3222"/>
      <c r="B3222"/>
    </row>
    <row r="3223" spans="1:2" x14ac:dyDescent="0.25">
      <c r="A3223"/>
      <c r="B3223"/>
    </row>
    <row r="3224" spans="1:2" x14ac:dyDescent="0.25">
      <c r="A3224"/>
      <c r="B3224"/>
    </row>
    <row r="3225" spans="1:2" x14ac:dyDescent="0.25">
      <c r="A3225"/>
      <c r="B3225"/>
    </row>
    <row r="3226" spans="1:2" x14ac:dyDescent="0.25">
      <c r="A3226"/>
      <c r="B3226"/>
    </row>
    <row r="3227" spans="1:2" x14ac:dyDescent="0.25">
      <c r="A3227"/>
      <c r="B3227"/>
    </row>
    <row r="3228" spans="1:2" x14ac:dyDescent="0.25">
      <c r="A3228"/>
      <c r="B3228"/>
    </row>
    <row r="3229" spans="1:2" x14ac:dyDescent="0.25">
      <c r="A3229"/>
      <c r="B3229"/>
    </row>
    <row r="3230" spans="1:2" x14ac:dyDescent="0.25">
      <c r="A3230"/>
      <c r="B3230"/>
    </row>
    <row r="3231" spans="1:2" x14ac:dyDescent="0.25">
      <c r="A3231"/>
      <c r="B3231"/>
    </row>
    <row r="3232" spans="1:2" x14ac:dyDescent="0.25">
      <c r="A3232"/>
      <c r="B3232"/>
    </row>
    <row r="3233" spans="1:2" x14ac:dyDescent="0.25">
      <c r="A3233"/>
      <c r="B3233"/>
    </row>
    <row r="3234" spans="1:2" x14ac:dyDescent="0.25">
      <c r="A3234"/>
      <c r="B3234"/>
    </row>
    <row r="3235" spans="1:2" x14ac:dyDescent="0.25">
      <c r="A3235"/>
      <c r="B3235"/>
    </row>
    <row r="3236" spans="1:2" x14ac:dyDescent="0.25">
      <c r="A3236"/>
      <c r="B3236"/>
    </row>
    <row r="3237" spans="1:2" x14ac:dyDescent="0.25">
      <c r="A3237"/>
      <c r="B3237"/>
    </row>
    <row r="3238" spans="1:2" x14ac:dyDescent="0.25">
      <c r="A3238"/>
      <c r="B3238"/>
    </row>
    <row r="3239" spans="1:2" x14ac:dyDescent="0.25">
      <c r="A3239"/>
      <c r="B3239"/>
    </row>
    <row r="3240" spans="1:2" x14ac:dyDescent="0.25">
      <c r="A3240"/>
      <c r="B3240"/>
    </row>
    <row r="3241" spans="1:2" x14ac:dyDescent="0.25">
      <c r="A3241"/>
      <c r="B3241"/>
    </row>
    <row r="3242" spans="1:2" x14ac:dyDescent="0.25">
      <c r="A3242"/>
      <c r="B3242"/>
    </row>
    <row r="3243" spans="1:2" x14ac:dyDescent="0.25">
      <c r="A3243"/>
      <c r="B3243"/>
    </row>
    <row r="3244" spans="1:2" x14ac:dyDescent="0.25">
      <c r="A3244"/>
      <c r="B3244"/>
    </row>
    <row r="3245" spans="1:2" x14ac:dyDescent="0.25">
      <c r="A3245"/>
      <c r="B3245"/>
    </row>
    <row r="3246" spans="1:2" x14ac:dyDescent="0.25">
      <c r="A3246"/>
      <c r="B3246"/>
    </row>
    <row r="3247" spans="1:2" x14ac:dyDescent="0.25">
      <c r="A3247"/>
      <c r="B3247"/>
    </row>
    <row r="3248" spans="1:2" x14ac:dyDescent="0.25">
      <c r="A3248"/>
      <c r="B3248"/>
    </row>
    <row r="3249" spans="1:2" x14ac:dyDescent="0.25">
      <c r="A3249"/>
      <c r="B3249"/>
    </row>
    <row r="3250" spans="1:2" x14ac:dyDescent="0.25">
      <c r="A3250"/>
      <c r="B3250"/>
    </row>
    <row r="3251" spans="1:2" x14ac:dyDescent="0.25">
      <c r="A3251"/>
      <c r="B3251"/>
    </row>
    <row r="3252" spans="1:2" x14ac:dyDescent="0.25">
      <c r="A3252"/>
      <c r="B3252"/>
    </row>
    <row r="3253" spans="1:2" x14ac:dyDescent="0.25">
      <c r="A3253"/>
      <c r="B3253"/>
    </row>
    <row r="3254" spans="1:2" x14ac:dyDescent="0.25">
      <c r="A3254"/>
      <c r="B3254"/>
    </row>
    <row r="3255" spans="1:2" x14ac:dyDescent="0.25">
      <c r="A3255"/>
      <c r="B3255"/>
    </row>
    <row r="3256" spans="1:2" x14ac:dyDescent="0.25">
      <c r="A3256"/>
      <c r="B3256"/>
    </row>
    <row r="3257" spans="1:2" x14ac:dyDescent="0.25">
      <c r="A3257"/>
      <c r="B3257"/>
    </row>
    <row r="3258" spans="1:2" x14ac:dyDescent="0.25">
      <c r="A3258"/>
      <c r="B3258"/>
    </row>
    <row r="3259" spans="1:2" x14ac:dyDescent="0.25">
      <c r="A3259"/>
      <c r="B3259"/>
    </row>
    <row r="3260" spans="1:2" x14ac:dyDescent="0.25">
      <c r="A3260"/>
      <c r="B3260"/>
    </row>
    <row r="3261" spans="1:2" x14ac:dyDescent="0.25">
      <c r="A3261"/>
      <c r="B3261"/>
    </row>
    <row r="3262" spans="1:2" x14ac:dyDescent="0.25">
      <c r="A3262"/>
      <c r="B3262"/>
    </row>
    <row r="3263" spans="1:2" x14ac:dyDescent="0.25">
      <c r="A3263"/>
      <c r="B3263"/>
    </row>
    <row r="3264" spans="1:2" x14ac:dyDescent="0.25">
      <c r="A3264"/>
      <c r="B3264"/>
    </row>
    <row r="3265" spans="1:2" x14ac:dyDescent="0.25">
      <c r="A3265"/>
      <c r="B3265"/>
    </row>
    <row r="3266" spans="1:2" x14ac:dyDescent="0.25">
      <c r="A3266"/>
      <c r="B3266"/>
    </row>
    <row r="3267" spans="1:2" x14ac:dyDescent="0.25">
      <c r="A3267"/>
      <c r="B3267"/>
    </row>
    <row r="3268" spans="1:2" x14ac:dyDescent="0.25">
      <c r="A3268"/>
      <c r="B3268"/>
    </row>
    <row r="3269" spans="1:2" x14ac:dyDescent="0.25">
      <c r="A3269"/>
      <c r="B3269"/>
    </row>
    <row r="3270" spans="1:2" x14ac:dyDescent="0.25">
      <c r="A3270"/>
      <c r="B3270"/>
    </row>
    <row r="3271" spans="1:2" x14ac:dyDescent="0.25">
      <c r="A3271"/>
      <c r="B3271"/>
    </row>
    <row r="3272" spans="1:2" x14ac:dyDescent="0.25">
      <c r="A3272"/>
      <c r="B3272"/>
    </row>
    <row r="3273" spans="1:2" x14ac:dyDescent="0.25">
      <c r="A3273"/>
      <c r="B3273"/>
    </row>
    <row r="3274" spans="1:2" x14ac:dyDescent="0.25">
      <c r="A3274"/>
      <c r="B3274"/>
    </row>
    <row r="3275" spans="1:2" x14ac:dyDescent="0.25">
      <c r="A3275"/>
      <c r="B3275"/>
    </row>
    <row r="3276" spans="1:2" x14ac:dyDescent="0.25">
      <c r="A3276"/>
      <c r="B3276"/>
    </row>
    <row r="3277" spans="1:2" x14ac:dyDescent="0.25">
      <c r="A3277"/>
      <c r="B3277"/>
    </row>
    <row r="3278" spans="1:2" x14ac:dyDescent="0.25">
      <c r="A3278"/>
      <c r="B3278"/>
    </row>
    <row r="3279" spans="1:2" x14ac:dyDescent="0.25">
      <c r="A3279"/>
      <c r="B3279"/>
    </row>
    <row r="3280" spans="1:2" x14ac:dyDescent="0.25">
      <c r="A3280"/>
      <c r="B3280"/>
    </row>
    <row r="3281" spans="1:2" x14ac:dyDescent="0.25">
      <c r="A3281"/>
      <c r="B3281"/>
    </row>
    <row r="3282" spans="1:2" x14ac:dyDescent="0.25">
      <c r="A3282"/>
      <c r="B3282"/>
    </row>
    <row r="3283" spans="1:2" x14ac:dyDescent="0.25">
      <c r="A3283"/>
      <c r="B3283"/>
    </row>
    <row r="3284" spans="1:2" x14ac:dyDescent="0.25">
      <c r="A3284"/>
      <c r="B3284"/>
    </row>
    <row r="3285" spans="1:2" x14ac:dyDescent="0.25">
      <c r="A3285"/>
      <c r="B3285"/>
    </row>
    <row r="3286" spans="1:2" x14ac:dyDescent="0.25">
      <c r="A3286"/>
      <c r="B3286"/>
    </row>
    <row r="3287" spans="1:2" x14ac:dyDescent="0.25">
      <c r="A3287"/>
      <c r="B3287"/>
    </row>
    <row r="3288" spans="1:2" x14ac:dyDescent="0.25">
      <c r="A3288"/>
      <c r="B3288"/>
    </row>
    <row r="3289" spans="1:2" x14ac:dyDescent="0.25">
      <c r="A3289"/>
      <c r="B3289"/>
    </row>
    <row r="3290" spans="1:2" x14ac:dyDescent="0.25">
      <c r="A3290"/>
      <c r="B3290"/>
    </row>
    <row r="3291" spans="1:2" x14ac:dyDescent="0.25">
      <c r="A3291"/>
      <c r="B3291"/>
    </row>
    <row r="3292" spans="1:2" x14ac:dyDescent="0.25">
      <c r="A3292"/>
      <c r="B3292"/>
    </row>
    <row r="3293" spans="1:2" x14ac:dyDescent="0.25">
      <c r="A3293"/>
      <c r="B3293"/>
    </row>
    <row r="3294" spans="1:2" x14ac:dyDescent="0.25">
      <c r="A3294"/>
      <c r="B3294"/>
    </row>
    <row r="3295" spans="1:2" x14ac:dyDescent="0.25">
      <c r="A3295"/>
      <c r="B3295"/>
    </row>
    <row r="3296" spans="1:2" x14ac:dyDescent="0.25">
      <c r="A3296"/>
      <c r="B3296"/>
    </row>
    <row r="3297" spans="1:2" x14ac:dyDescent="0.25">
      <c r="A3297"/>
      <c r="B3297"/>
    </row>
    <row r="3298" spans="1:2" x14ac:dyDescent="0.25">
      <c r="A3298"/>
      <c r="B3298"/>
    </row>
    <row r="3299" spans="1:2" x14ac:dyDescent="0.25">
      <c r="A3299"/>
      <c r="B3299"/>
    </row>
    <row r="3300" spans="1:2" x14ac:dyDescent="0.25">
      <c r="A3300"/>
      <c r="B3300"/>
    </row>
    <row r="3301" spans="1:2" x14ac:dyDescent="0.25">
      <c r="A3301"/>
      <c r="B3301"/>
    </row>
    <row r="3302" spans="1:2" x14ac:dyDescent="0.25">
      <c r="A3302"/>
      <c r="B3302"/>
    </row>
    <row r="3303" spans="1:2" x14ac:dyDescent="0.25">
      <c r="A3303"/>
      <c r="B3303"/>
    </row>
    <row r="3304" spans="1:2" x14ac:dyDescent="0.25">
      <c r="A3304"/>
      <c r="B3304"/>
    </row>
    <row r="3305" spans="1:2" x14ac:dyDescent="0.25">
      <c r="A3305"/>
      <c r="B3305"/>
    </row>
    <row r="3306" spans="1:2" x14ac:dyDescent="0.25">
      <c r="A3306"/>
      <c r="B3306"/>
    </row>
    <row r="3307" spans="1:2" x14ac:dyDescent="0.25">
      <c r="A3307"/>
      <c r="B3307"/>
    </row>
    <row r="3308" spans="1:2" x14ac:dyDescent="0.25">
      <c r="A3308"/>
      <c r="B3308"/>
    </row>
    <row r="3309" spans="1:2" x14ac:dyDescent="0.25">
      <c r="A3309"/>
      <c r="B3309"/>
    </row>
    <row r="3310" spans="1:2" x14ac:dyDescent="0.25">
      <c r="A3310"/>
      <c r="B3310"/>
    </row>
    <row r="3311" spans="1:2" x14ac:dyDescent="0.25">
      <c r="A3311"/>
      <c r="B3311"/>
    </row>
    <row r="3312" spans="1:2" x14ac:dyDescent="0.25">
      <c r="A3312"/>
      <c r="B3312"/>
    </row>
    <row r="3313" spans="1:2" x14ac:dyDescent="0.25">
      <c r="A3313"/>
      <c r="B3313"/>
    </row>
    <row r="3314" spans="1:2" x14ac:dyDescent="0.25">
      <c r="A3314"/>
      <c r="B3314"/>
    </row>
    <row r="3315" spans="1:2" x14ac:dyDescent="0.25">
      <c r="A3315"/>
      <c r="B3315"/>
    </row>
    <row r="3316" spans="1:2" x14ac:dyDescent="0.25">
      <c r="A3316"/>
      <c r="B3316"/>
    </row>
    <row r="3317" spans="1:2" x14ac:dyDescent="0.25">
      <c r="A3317"/>
      <c r="B3317"/>
    </row>
    <row r="3318" spans="1:2" x14ac:dyDescent="0.25">
      <c r="A3318"/>
      <c r="B3318"/>
    </row>
    <row r="3319" spans="1:2" x14ac:dyDescent="0.25">
      <c r="A3319"/>
      <c r="B3319"/>
    </row>
    <row r="3320" spans="1:2" x14ac:dyDescent="0.25">
      <c r="A3320"/>
      <c r="B3320"/>
    </row>
    <row r="3321" spans="1:2" x14ac:dyDescent="0.25">
      <c r="A3321"/>
      <c r="B3321"/>
    </row>
    <row r="3322" spans="1:2" x14ac:dyDescent="0.25">
      <c r="A3322"/>
      <c r="B3322"/>
    </row>
    <row r="3323" spans="1:2" x14ac:dyDescent="0.25">
      <c r="A3323"/>
      <c r="B3323"/>
    </row>
    <row r="3324" spans="1:2" x14ac:dyDescent="0.25">
      <c r="A3324"/>
      <c r="B3324"/>
    </row>
    <row r="3325" spans="1:2" x14ac:dyDescent="0.25">
      <c r="A3325"/>
      <c r="B3325"/>
    </row>
    <row r="3326" spans="1:2" x14ac:dyDescent="0.25">
      <c r="A3326"/>
      <c r="B3326"/>
    </row>
    <row r="3327" spans="1:2" x14ac:dyDescent="0.25">
      <c r="A3327"/>
      <c r="B3327"/>
    </row>
    <row r="3328" spans="1:2" x14ac:dyDescent="0.25">
      <c r="A3328"/>
      <c r="B3328"/>
    </row>
    <row r="3329" spans="1:2" x14ac:dyDescent="0.25">
      <c r="A3329"/>
      <c r="B3329"/>
    </row>
    <row r="3330" spans="1:2" x14ac:dyDescent="0.25">
      <c r="A3330"/>
      <c r="B3330"/>
    </row>
    <row r="3331" spans="1:2" x14ac:dyDescent="0.25">
      <c r="A3331"/>
      <c r="B3331"/>
    </row>
    <row r="3332" spans="1:2" x14ac:dyDescent="0.25">
      <c r="A3332"/>
      <c r="B3332"/>
    </row>
    <row r="3333" spans="1:2" x14ac:dyDescent="0.25">
      <c r="A3333"/>
      <c r="B3333"/>
    </row>
    <row r="3334" spans="1:2" x14ac:dyDescent="0.25">
      <c r="A3334"/>
      <c r="B3334"/>
    </row>
    <row r="3335" spans="1:2" x14ac:dyDescent="0.25">
      <c r="A3335"/>
      <c r="B3335"/>
    </row>
    <row r="3336" spans="1:2" x14ac:dyDescent="0.25">
      <c r="A3336"/>
      <c r="B3336"/>
    </row>
    <row r="3337" spans="1:2" x14ac:dyDescent="0.25">
      <c r="A3337"/>
      <c r="B3337"/>
    </row>
    <row r="3338" spans="1:2" x14ac:dyDescent="0.25">
      <c r="A3338"/>
      <c r="B3338"/>
    </row>
    <row r="3339" spans="1:2" x14ac:dyDescent="0.25">
      <c r="A3339"/>
      <c r="B3339"/>
    </row>
    <row r="3340" spans="1:2" x14ac:dyDescent="0.25">
      <c r="A3340"/>
      <c r="B3340"/>
    </row>
    <row r="3341" spans="1:2" x14ac:dyDescent="0.25">
      <c r="A3341"/>
      <c r="B3341"/>
    </row>
    <row r="3342" spans="1:2" x14ac:dyDescent="0.25">
      <c r="A3342"/>
      <c r="B3342"/>
    </row>
    <row r="3343" spans="1:2" x14ac:dyDescent="0.25">
      <c r="A3343"/>
      <c r="B3343"/>
    </row>
    <row r="3344" spans="1:2" x14ac:dyDescent="0.25">
      <c r="A3344"/>
      <c r="B3344"/>
    </row>
    <row r="3345" spans="1:2" x14ac:dyDescent="0.25">
      <c r="A3345"/>
      <c r="B3345"/>
    </row>
    <row r="3346" spans="1:2" x14ac:dyDescent="0.25">
      <c r="A3346"/>
      <c r="B3346"/>
    </row>
    <row r="3347" spans="1:2" x14ac:dyDescent="0.25">
      <c r="A3347"/>
      <c r="B3347"/>
    </row>
    <row r="3348" spans="1:2" x14ac:dyDescent="0.25">
      <c r="A3348"/>
      <c r="B3348"/>
    </row>
    <row r="3349" spans="1:2" x14ac:dyDescent="0.25">
      <c r="A3349"/>
      <c r="B3349"/>
    </row>
    <row r="3350" spans="1:2" x14ac:dyDescent="0.25">
      <c r="A3350"/>
      <c r="B3350"/>
    </row>
    <row r="3351" spans="1:2" x14ac:dyDescent="0.25">
      <c r="A3351"/>
      <c r="B3351"/>
    </row>
    <row r="3352" spans="1:2" x14ac:dyDescent="0.25">
      <c r="A3352"/>
      <c r="B3352"/>
    </row>
    <row r="3353" spans="1:2" x14ac:dyDescent="0.25">
      <c r="A3353"/>
      <c r="B3353"/>
    </row>
    <row r="3354" spans="1:2" x14ac:dyDescent="0.25">
      <c r="A3354"/>
      <c r="B3354"/>
    </row>
    <row r="3355" spans="1:2" x14ac:dyDescent="0.25">
      <c r="A3355"/>
      <c r="B3355"/>
    </row>
    <row r="3356" spans="1:2" x14ac:dyDescent="0.25">
      <c r="A3356"/>
      <c r="B3356"/>
    </row>
    <row r="3357" spans="1:2" x14ac:dyDescent="0.25">
      <c r="A3357"/>
      <c r="B3357"/>
    </row>
    <row r="3358" spans="1:2" x14ac:dyDescent="0.25">
      <c r="A3358"/>
      <c r="B3358"/>
    </row>
    <row r="3359" spans="1:2" x14ac:dyDescent="0.25">
      <c r="A3359"/>
      <c r="B3359"/>
    </row>
    <row r="3360" spans="1:2" x14ac:dyDescent="0.25">
      <c r="A3360"/>
      <c r="B3360"/>
    </row>
    <row r="3361" spans="1:2" x14ac:dyDescent="0.25">
      <c r="A3361"/>
      <c r="B3361"/>
    </row>
    <row r="3362" spans="1:2" x14ac:dyDescent="0.25">
      <c r="A3362"/>
      <c r="B3362"/>
    </row>
    <row r="3363" spans="1:2" x14ac:dyDescent="0.25">
      <c r="A3363"/>
      <c r="B3363"/>
    </row>
    <row r="3364" spans="1:2" x14ac:dyDescent="0.25">
      <c r="A3364"/>
      <c r="B3364"/>
    </row>
    <row r="3365" spans="1:2" x14ac:dyDescent="0.25">
      <c r="A3365"/>
      <c r="B3365"/>
    </row>
    <row r="3366" spans="1:2" x14ac:dyDescent="0.25">
      <c r="A3366"/>
      <c r="B3366"/>
    </row>
    <row r="3367" spans="1:2" x14ac:dyDescent="0.25">
      <c r="A3367"/>
      <c r="B3367"/>
    </row>
    <row r="3368" spans="1:2" x14ac:dyDescent="0.25">
      <c r="A3368"/>
      <c r="B3368"/>
    </row>
    <row r="3369" spans="1:2" x14ac:dyDescent="0.25">
      <c r="A3369"/>
      <c r="B3369"/>
    </row>
    <row r="3370" spans="1:2" x14ac:dyDescent="0.25">
      <c r="A3370"/>
      <c r="B3370"/>
    </row>
    <row r="3371" spans="1:2" x14ac:dyDescent="0.25">
      <c r="A3371"/>
      <c r="B3371"/>
    </row>
    <row r="3372" spans="1:2" x14ac:dyDescent="0.25">
      <c r="A3372"/>
      <c r="B3372"/>
    </row>
    <row r="3373" spans="1:2" x14ac:dyDescent="0.25">
      <c r="A3373"/>
      <c r="B3373"/>
    </row>
    <row r="3374" spans="1:2" x14ac:dyDescent="0.25">
      <c r="A3374"/>
      <c r="B3374"/>
    </row>
    <row r="3375" spans="1:2" x14ac:dyDescent="0.25">
      <c r="A3375"/>
      <c r="B3375"/>
    </row>
    <row r="3376" spans="1:2" x14ac:dyDescent="0.25">
      <c r="A3376"/>
      <c r="B3376"/>
    </row>
    <row r="3377" spans="1:2" x14ac:dyDescent="0.25">
      <c r="A3377"/>
      <c r="B3377"/>
    </row>
    <row r="3378" spans="1:2" x14ac:dyDescent="0.25">
      <c r="A3378"/>
      <c r="B3378"/>
    </row>
    <row r="3379" spans="1:2" x14ac:dyDescent="0.25">
      <c r="A3379"/>
      <c r="B3379"/>
    </row>
    <row r="3380" spans="1:2" x14ac:dyDescent="0.25">
      <c r="A3380"/>
      <c r="B3380"/>
    </row>
    <row r="3381" spans="1:2" x14ac:dyDescent="0.25">
      <c r="A3381"/>
      <c r="B3381"/>
    </row>
    <row r="3382" spans="1:2" x14ac:dyDescent="0.25">
      <c r="A3382"/>
      <c r="B3382"/>
    </row>
    <row r="3383" spans="1:2" x14ac:dyDescent="0.25">
      <c r="A3383"/>
      <c r="B3383"/>
    </row>
    <row r="3384" spans="1:2" x14ac:dyDescent="0.25">
      <c r="A3384"/>
      <c r="B3384"/>
    </row>
    <row r="3385" spans="1:2" x14ac:dyDescent="0.25">
      <c r="A3385"/>
      <c r="B3385"/>
    </row>
    <row r="3386" spans="1:2" x14ac:dyDescent="0.25">
      <c r="A3386"/>
      <c r="B3386"/>
    </row>
    <row r="3387" spans="1:2" x14ac:dyDescent="0.25">
      <c r="A3387"/>
      <c r="B3387"/>
    </row>
    <row r="3388" spans="1:2" x14ac:dyDescent="0.25">
      <c r="A3388"/>
      <c r="B3388"/>
    </row>
    <row r="3389" spans="1:2" x14ac:dyDescent="0.25">
      <c r="A3389"/>
      <c r="B3389"/>
    </row>
    <row r="3390" spans="1:2" x14ac:dyDescent="0.25">
      <c r="A3390"/>
      <c r="B3390"/>
    </row>
    <row r="3391" spans="1:2" x14ac:dyDescent="0.25">
      <c r="A3391"/>
      <c r="B3391"/>
    </row>
    <row r="3392" spans="1:2" x14ac:dyDescent="0.25">
      <c r="A3392"/>
      <c r="B3392"/>
    </row>
    <row r="3393" spans="1:2" x14ac:dyDescent="0.25">
      <c r="A3393"/>
      <c r="B3393"/>
    </row>
    <row r="3394" spans="1:2" x14ac:dyDescent="0.25">
      <c r="A3394"/>
      <c r="B3394"/>
    </row>
    <row r="3395" spans="1:2" x14ac:dyDescent="0.25">
      <c r="A3395"/>
      <c r="B3395"/>
    </row>
    <row r="3396" spans="1:2" x14ac:dyDescent="0.25">
      <c r="A3396"/>
      <c r="B3396"/>
    </row>
    <row r="3397" spans="1:2" x14ac:dyDescent="0.25">
      <c r="A3397"/>
      <c r="B3397"/>
    </row>
    <row r="3398" spans="1:2" x14ac:dyDescent="0.25">
      <c r="A3398"/>
      <c r="B3398"/>
    </row>
    <row r="3399" spans="1:2" x14ac:dyDescent="0.25">
      <c r="A3399"/>
      <c r="B3399"/>
    </row>
    <row r="3400" spans="1:2" x14ac:dyDescent="0.25">
      <c r="A3400"/>
      <c r="B3400"/>
    </row>
    <row r="3401" spans="1:2" x14ac:dyDescent="0.25">
      <c r="A3401"/>
      <c r="B3401"/>
    </row>
    <row r="3402" spans="1:2" x14ac:dyDescent="0.25">
      <c r="A3402"/>
      <c r="B3402"/>
    </row>
    <row r="3403" spans="1:2" x14ac:dyDescent="0.25">
      <c r="A3403"/>
      <c r="B3403"/>
    </row>
    <row r="3404" spans="1:2" x14ac:dyDescent="0.25">
      <c r="A3404"/>
      <c r="B3404"/>
    </row>
    <row r="3405" spans="1:2" x14ac:dyDescent="0.25">
      <c r="A3405"/>
      <c r="B3405"/>
    </row>
    <row r="3406" spans="1:2" x14ac:dyDescent="0.25">
      <c r="A3406"/>
      <c r="B3406"/>
    </row>
    <row r="3407" spans="1:2" x14ac:dyDescent="0.25">
      <c r="A3407"/>
      <c r="B3407"/>
    </row>
    <row r="3408" spans="1:2" x14ac:dyDescent="0.25">
      <c r="A3408"/>
      <c r="B3408"/>
    </row>
    <row r="3409" spans="1:2" x14ac:dyDescent="0.25">
      <c r="A3409"/>
      <c r="B3409"/>
    </row>
    <row r="3410" spans="1:2" x14ac:dyDescent="0.25">
      <c r="A3410"/>
      <c r="B3410"/>
    </row>
    <row r="3411" spans="1:2" x14ac:dyDescent="0.25">
      <c r="A3411"/>
      <c r="B3411"/>
    </row>
    <row r="3412" spans="1:2" x14ac:dyDescent="0.25">
      <c r="A3412"/>
      <c r="B3412"/>
    </row>
    <row r="3413" spans="1:2" x14ac:dyDescent="0.25">
      <c r="A3413"/>
      <c r="B3413"/>
    </row>
    <row r="3414" spans="1:2" x14ac:dyDescent="0.25">
      <c r="A3414"/>
      <c r="B3414"/>
    </row>
    <row r="3415" spans="1:2" x14ac:dyDescent="0.25">
      <c r="A3415"/>
      <c r="B3415"/>
    </row>
    <row r="3416" spans="1:2" x14ac:dyDescent="0.25">
      <c r="A3416"/>
      <c r="B3416"/>
    </row>
    <row r="3417" spans="1:2" x14ac:dyDescent="0.25">
      <c r="A3417"/>
      <c r="B3417"/>
    </row>
    <row r="3418" spans="1:2" x14ac:dyDescent="0.25">
      <c r="A3418"/>
      <c r="B3418"/>
    </row>
    <row r="3419" spans="1:2" x14ac:dyDescent="0.25">
      <c r="A3419"/>
      <c r="B3419"/>
    </row>
    <row r="3420" spans="1:2" x14ac:dyDescent="0.25">
      <c r="A3420"/>
      <c r="B3420"/>
    </row>
    <row r="3421" spans="1:2" x14ac:dyDescent="0.25">
      <c r="A3421"/>
      <c r="B3421"/>
    </row>
    <row r="3422" spans="1:2" x14ac:dyDescent="0.25">
      <c r="A3422"/>
      <c r="B3422"/>
    </row>
    <row r="3423" spans="1:2" x14ac:dyDescent="0.25">
      <c r="A3423"/>
      <c r="B3423"/>
    </row>
    <row r="3424" spans="1:2" x14ac:dyDescent="0.25">
      <c r="A3424"/>
      <c r="B3424"/>
    </row>
    <row r="3425" spans="1:2" x14ac:dyDescent="0.25">
      <c r="A3425"/>
      <c r="B3425"/>
    </row>
    <row r="3426" spans="1:2" x14ac:dyDescent="0.25">
      <c r="A3426"/>
      <c r="B3426"/>
    </row>
    <row r="3427" spans="1:2" x14ac:dyDescent="0.25">
      <c r="A3427"/>
      <c r="B3427"/>
    </row>
    <row r="3428" spans="1:2" x14ac:dyDescent="0.25">
      <c r="A3428"/>
      <c r="B3428"/>
    </row>
    <row r="3429" spans="1:2" x14ac:dyDescent="0.25">
      <c r="A3429"/>
      <c r="B3429"/>
    </row>
    <row r="3430" spans="1:2" x14ac:dyDescent="0.25">
      <c r="A3430"/>
      <c r="B3430"/>
    </row>
    <row r="3431" spans="1:2" x14ac:dyDescent="0.25">
      <c r="A3431"/>
      <c r="B3431"/>
    </row>
    <row r="3432" spans="1:2" x14ac:dyDescent="0.25">
      <c r="A3432"/>
      <c r="B3432"/>
    </row>
    <row r="3433" spans="1:2" x14ac:dyDescent="0.25">
      <c r="A3433"/>
      <c r="B3433"/>
    </row>
    <row r="3434" spans="1:2" x14ac:dyDescent="0.25">
      <c r="A3434"/>
      <c r="B3434"/>
    </row>
    <row r="3435" spans="1:2" x14ac:dyDescent="0.25">
      <c r="A3435"/>
      <c r="B3435"/>
    </row>
    <row r="3436" spans="1:2" x14ac:dyDescent="0.25">
      <c r="A3436"/>
      <c r="B3436"/>
    </row>
    <row r="3437" spans="1:2" x14ac:dyDescent="0.25">
      <c r="A3437"/>
      <c r="B3437"/>
    </row>
    <row r="3438" spans="1:2" x14ac:dyDescent="0.25">
      <c r="A3438"/>
      <c r="B3438"/>
    </row>
    <row r="3439" spans="1:2" x14ac:dyDescent="0.25">
      <c r="A3439"/>
      <c r="B3439"/>
    </row>
    <row r="3440" spans="1:2" x14ac:dyDescent="0.25">
      <c r="A3440"/>
      <c r="B3440"/>
    </row>
    <row r="3441" spans="1:2" x14ac:dyDescent="0.25">
      <c r="A3441"/>
      <c r="B3441"/>
    </row>
    <row r="3442" spans="1:2" x14ac:dyDescent="0.25">
      <c r="A3442"/>
      <c r="B3442"/>
    </row>
    <row r="3443" spans="1:2" x14ac:dyDescent="0.25">
      <c r="A3443"/>
      <c r="B3443"/>
    </row>
    <row r="3444" spans="1:2" x14ac:dyDescent="0.25">
      <c r="A3444"/>
      <c r="B3444"/>
    </row>
    <row r="3445" spans="1:2" x14ac:dyDescent="0.25">
      <c r="A3445"/>
      <c r="B3445"/>
    </row>
    <row r="3446" spans="1:2" x14ac:dyDescent="0.25">
      <c r="A3446"/>
      <c r="B3446"/>
    </row>
    <row r="3447" spans="1:2" x14ac:dyDescent="0.25">
      <c r="A3447"/>
      <c r="B3447"/>
    </row>
    <row r="3448" spans="1:2" x14ac:dyDescent="0.25">
      <c r="A3448"/>
      <c r="B3448"/>
    </row>
    <row r="3449" spans="1:2" x14ac:dyDescent="0.25">
      <c r="A3449"/>
      <c r="B3449"/>
    </row>
    <row r="3450" spans="1:2" x14ac:dyDescent="0.25">
      <c r="A3450"/>
      <c r="B3450"/>
    </row>
    <row r="3451" spans="1:2" x14ac:dyDescent="0.25">
      <c r="A3451"/>
      <c r="B3451"/>
    </row>
    <row r="3452" spans="1:2" x14ac:dyDescent="0.25">
      <c r="A3452"/>
      <c r="B3452"/>
    </row>
    <row r="3453" spans="1:2" x14ac:dyDescent="0.25">
      <c r="A3453"/>
      <c r="B3453"/>
    </row>
    <row r="3454" spans="1:2" x14ac:dyDescent="0.25">
      <c r="A3454"/>
      <c r="B3454"/>
    </row>
    <row r="3455" spans="1:2" x14ac:dyDescent="0.25">
      <c r="A3455"/>
      <c r="B3455"/>
    </row>
    <row r="3456" spans="1:2" x14ac:dyDescent="0.25">
      <c r="A3456"/>
      <c r="B3456"/>
    </row>
    <row r="3457" spans="1:2" x14ac:dyDescent="0.25">
      <c r="A3457"/>
      <c r="B3457"/>
    </row>
    <row r="3458" spans="1:2" x14ac:dyDescent="0.25">
      <c r="A3458"/>
      <c r="B3458"/>
    </row>
    <row r="3459" spans="1:2" x14ac:dyDescent="0.25">
      <c r="A3459"/>
      <c r="B3459"/>
    </row>
    <row r="3460" spans="1:2" x14ac:dyDescent="0.25">
      <c r="A3460"/>
      <c r="B3460"/>
    </row>
    <row r="3461" spans="1:2" x14ac:dyDescent="0.25">
      <c r="A3461"/>
      <c r="B3461"/>
    </row>
    <row r="3462" spans="1:2" x14ac:dyDescent="0.25">
      <c r="A3462"/>
      <c r="B3462"/>
    </row>
    <row r="3463" spans="1:2" x14ac:dyDescent="0.25">
      <c r="A3463"/>
      <c r="B3463"/>
    </row>
    <row r="3464" spans="1:2" x14ac:dyDescent="0.25">
      <c r="A3464"/>
      <c r="B3464"/>
    </row>
    <row r="3465" spans="1:2" x14ac:dyDescent="0.25">
      <c r="A3465"/>
      <c r="B3465"/>
    </row>
    <row r="3466" spans="1:2" x14ac:dyDescent="0.25">
      <c r="A3466"/>
      <c r="B3466"/>
    </row>
    <row r="3467" spans="1:2" x14ac:dyDescent="0.25">
      <c r="A3467"/>
      <c r="B3467"/>
    </row>
    <row r="3468" spans="1:2" x14ac:dyDescent="0.25">
      <c r="A3468"/>
      <c r="B3468"/>
    </row>
    <row r="3469" spans="1:2" x14ac:dyDescent="0.25">
      <c r="A3469"/>
      <c r="B3469"/>
    </row>
    <row r="3470" spans="1:2" x14ac:dyDescent="0.25">
      <c r="A3470"/>
      <c r="B3470"/>
    </row>
    <row r="3471" spans="1:2" x14ac:dyDescent="0.25">
      <c r="A3471"/>
      <c r="B3471"/>
    </row>
    <row r="3472" spans="1:2" x14ac:dyDescent="0.25">
      <c r="A3472"/>
      <c r="B3472"/>
    </row>
    <row r="3473" spans="1:2" x14ac:dyDescent="0.25">
      <c r="A3473"/>
      <c r="B3473"/>
    </row>
    <row r="3474" spans="1:2" x14ac:dyDescent="0.25">
      <c r="A3474"/>
      <c r="B3474"/>
    </row>
    <row r="3475" spans="1:2" x14ac:dyDescent="0.25">
      <c r="A3475"/>
      <c r="B3475"/>
    </row>
    <row r="3476" spans="1:2" x14ac:dyDescent="0.25">
      <c r="A3476"/>
      <c r="B3476"/>
    </row>
    <row r="3477" spans="1:2" x14ac:dyDescent="0.25">
      <c r="A3477"/>
      <c r="B3477"/>
    </row>
    <row r="3478" spans="1:2" x14ac:dyDescent="0.25">
      <c r="A3478"/>
      <c r="B3478"/>
    </row>
    <row r="3479" spans="1:2" x14ac:dyDescent="0.25">
      <c r="A3479"/>
      <c r="B3479"/>
    </row>
    <row r="3480" spans="1:2" x14ac:dyDescent="0.25">
      <c r="A3480"/>
      <c r="B3480"/>
    </row>
    <row r="3481" spans="1:2" x14ac:dyDescent="0.25">
      <c r="A3481"/>
      <c r="B3481"/>
    </row>
    <row r="3482" spans="1:2" x14ac:dyDescent="0.25">
      <c r="A3482"/>
      <c r="B3482"/>
    </row>
    <row r="3483" spans="1:2" x14ac:dyDescent="0.25">
      <c r="A3483"/>
      <c r="B3483"/>
    </row>
    <row r="3484" spans="1:2" x14ac:dyDescent="0.25">
      <c r="A3484"/>
      <c r="B3484"/>
    </row>
    <row r="3485" spans="1:2" x14ac:dyDescent="0.25">
      <c r="A3485"/>
      <c r="B3485"/>
    </row>
    <row r="3486" spans="1:2" x14ac:dyDescent="0.25">
      <c r="A3486"/>
      <c r="B3486"/>
    </row>
    <row r="3487" spans="1:2" x14ac:dyDescent="0.25">
      <c r="A3487"/>
      <c r="B3487"/>
    </row>
    <row r="3488" spans="1:2" x14ac:dyDescent="0.25">
      <c r="A3488"/>
      <c r="B3488"/>
    </row>
    <row r="3489" spans="1:2" x14ac:dyDescent="0.25">
      <c r="A3489"/>
      <c r="B3489"/>
    </row>
    <row r="3490" spans="1:2" x14ac:dyDescent="0.25">
      <c r="A3490"/>
      <c r="B3490"/>
    </row>
    <row r="3491" spans="1:2" x14ac:dyDescent="0.25">
      <c r="A3491"/>
      <c r="B3491"/>
    </row>
    <row r="3492" spans="1:2" x14ac:dyDescent="0.25">
      <c r="A3492"/>
      <c r="B3492"/>
    </row>
    <row r="3493" spans="1:2" x14ac:dyDescent="0.25">
      <c r="A3493"/>
      <c r="B3493"/>
    </row>
    <row r="3494" spans="1:2" x14ac:dyDescent="0.25">
      <c r="A3494"/>
      <c r="B3494"/>
    </row>
    <row r="3495" spans="1:2" x14ac:dyDescent="0.25">
      <c r="A3495"/>
      <c r="B3495"/>
    </row>
    <row r="3496" spans="1:2" x14ac:dyDescent="0.25">
      <c r="A3496"/>
      <c r="B3496"/>
    </row>
    <row r="3497" spans="1:2" x14ac:dyDescent="0.25">
      <c r="A3497"/>
      <c r="B3497"/>
    </row>
    <row r="3498" spans="1:2" x14ac:dyDescent="0.25">
      <c r="A3498"/>
      <c r="B3498"/>
    </row>
    <row r="3499" spans="1:2" x14ac:dyDescent="0.25">
      <c r="A3499"/>
      <c r="B3499"/>
    </row>
    <row r="3500" spans="1:2" x14ac:dyDescent="0.25">
      <c r="A3500"/>
      <c r="B3500"/>
    </row>
    <row r="3501" spans="1:2" x14ac:dyDescent="0.25">
      <c r="A3501"/>
      <c r="B3501"/>
    </row>
    <row r="3502" spans="1:2" x14ac:dyDescent="0.25">
      <c r="A3502"/>
      <c r="B3502"/>
    </row>
    <row r="3503" spans="1:2" x14ac:dyDescent="0.25">
      <c r="A3503"/>
      <c r="B3503"/>
    </row>
    <row r="3504" spans="1:2" x14ac:dyDescent="0.25">
      <c r="A3504"/>
      <c r="B3504"/>
    </row>
    <row r="3505" spans="1:2" x14ac:dyDescent="0.25">
      <c r="A3505"/>
      <c r="B3505"/>
    </row>
    <row r="3506" spans="1:2" x14ac:dyDescent="0.25">
      <c r="A3506"/>
      <c r="B3506"/>
    </row>
    <row r="3507" spans="1:2" x14ac:dyDescent="0.25">
      <c r="A3507"/>
      <c r="B3507"/>
    </row>
    <row r="3508" spans="1:2" x14ac:dyDescent="0.25">
      <c r="A3508"/>
      <c r="B3508"/>
    </row>
    <row r="3509" spans="1:2" x14ac:dyDescent="0.25">
      <c r="A3509"/>
      <c r="B3509"/>
    </row>
    <row r="3510" spans="1:2" x14ac:dyDescent="0.25">
      <c r="A3510"/>
      <c r="B3510"/>
    </row>
    <row r="3511" spans="1:2" x14ac:dyDescent="0.25">
      <c r="A3511"/>
      <c r="B3511"/>
    </row>
    <row r="3512" spans="1:2" x14ac:dyDescent="0.25">
      <c r="A3512"/>
      <c r="B3512"/>
    </row>
    <row r="3513" spans="1:2" x14ac:dyDescent="0.25">
      <c r="A3513"/>
      <c r="B3513"/>
    </row>
    <row r="3514" spans="1:2" x14ac:dyDescent="0.25">
      <c r="A3514"/>
      <c r="B3514"/>
    </row>
    <row r="3515" spans="1:2" x14ac:dyDescent="0.25">
      <c r="A3515"/>
      <c r="B3515"/>
    </row>
    <row r="3516" spans="1:2" x14ac:dyDescent="0.25">
      <c r="A3516"/>
      <c r="B3516"/>
    </row>
    <row r="3517" spans="1:2" x14ac:dyDescent="0.25">
      <c r="A3517"/>
      <c r="B3517"/>
    </row>
    <row r="3518" spans="1:2" x14ac:dyDescent="0.25">
      <c r="A3518"/>
      <c r="B3518"/>
    </row>
    <row r="3519" spans="1:2" x14ac:dyDescent="0.25">
      <c r="A3519"/>
      <c r="B3519"/>
    </row>
    <row r="3520" spans="1:2" x14ac:dyDescent="0.25">
      <c r="A3520"/>
      <c r="B3520"/>
    </row>
    <row r="3521" spans="1:2" x14ac:dyDescent="0.25">
      <c r="A3521"/>
      <c r="B3521"/>
    </row>
    <row r="3522" spans="1:2" x14ac:dyDescent="0.25">
      <c r="A3522"/>
      <c r="B3522"/>
    </row>
    <row r="3523" spans="1:2" x14ac:dyDescent="0.25">
      <c r="A3523"/>
      <c r="B3523"/>
    </row>
    <row r="3524" spans="1:2" x14ac:dyDescent="0.25">
      <c r="A3524"/>
      <c r="B3524"/>
    </row>
    <row r="3525" spans="1:2" x14ac:dyDescent="0.25">
      <c r="A3525"/>
      <c r="B3525"/>
    </row>
    <row r="3526" spans="1:2" x14ac:dyDescent="0.25">
      <c r="A3526"/>
      <c r="B3526"/>
    </row>
    <row r="3527" spans="1:2" x14ac:dyDescent="0.25">
      <c r="A3527"/>
      <c r="B3527"/>
    </row>
    <row r="3528" spans="1:2" x14ac:dyDescent="0.25">
      <c r="A3528"/>
      <c r="B3528"/>
    </row>
    <row r="3529" spans="1:2" x14ac:dyDescent="0.25">
      <c r="A3529"/>
      <c r="B3529"/>
    </row>
    <row r="3530" spans="1:2" x14ac:dyDescent="0.25">
      <c r="A3530"/>
      <c r="B3530"/>
    </row>
    <row r="3531" spans="1:2" x14ac:dyDescent="0.25">
      <c r="A3531"/>
      <c r="B3531"/>
    </row>
    <row r="3532" spans="1:2" x14ac:dyDescent="0.25">
      <c r="A3532"/>
      <c r="B3532"/>
    </row>
    <row r="3533" spans="1:2" x14ac:dyDescent="0.25">
      <c r="A3533"/>
      <c r="B3533"/>
    </row>
    <row r="3534" spans="1:2" x14ac:dyDescent="0.25">
      <c r="A3534"/>
      <c r="B3534"/>
    </row>
    <row r="3535" spans="1:2" x14ac:dyDescent="0.25">
      <c r="A3535"/>
      <c r="B3535"/>
    </row>
    <row r="3536" spans="1:2" x14ac:dyDescent="0.25">
      <c r="A3536"/>
      <c r="B3536"/>
    </row>
    <row r="3537" spans="1:2" x14ac:dyDescent="0.25">
      <c r="A3537"/>
      <c r="B3537"/>
    </row>
    <row r="3538" spans="1:2" x14ac:dyDescent="0.25">
      <c r="A3538"/>
      <c r="B3538"/>
    </row>
    <row r="3539" spans="1:2" x14ac:dyDescent="0.25">
      <c r="A3539"/>
      <c r="B3539"/>
    </row>
    <row r="3540" spans="1:2" x14ac:dyDescent="0.25">
      <c r="A3540"/>
      <c r="B3540"/>
    </row>
    <row r="3541" spans="1:2" x14ac:dyDescent="0.25">
      <c r="A3541"/>
      <c r="B3541"/>
    </row>
    <row r="3542" spans="1:2" x14ac:dyDescent="0.25">
      <c r="A3542"/>
      <c r="B3542"/>
    </row>
    <row r="3543" spans="1:2" x14ac:dyDescent="0.25">
      <c r="A3543"/>
      <c r="B3543"/>
    </row>
    <row r="3544" spans="1:2" x14ac:dyDescent="0.25">
      <c r="A3544"/>
      <c r="B3544"/>
    </row>
    <row r="3545" spans="1:2" x14ac:dyDescent="0.25">
      <c r="A3545"/>
      <c r="B3545"/>
    </row>
    <row r="3546" spans="1:2" x14ac:dyDescent="0.25">
      <c r="A3546"/>
      <c r="B3546"/>
    </row>
    <row r="3547" spans="1:2" x14ac:dyDescent="0.25">
      <c r="A3547"/>
      <c r="B3547"/>
    </row>
    <row r="3548" spans="1:2" x14ac:dyDescent="0.25">
      <c r="A3548"/>
      <c r="B3548"/>
    </row>
    <row r="3549" spans="1:2" x14ac:dyDescent="0.25">
      <c r="A3549"/>
      <c r="B3549"/>
    </row>
    <row r="3550" spans="1:2" x14ac:dyDescent="0.25">
      <c r="A3550"/>
      <c r="B3550"/>
    </row>
    <row r="3551" spans="1:2" x14ac:dyDescent="0.25">
      <c r="A3551"/>
      <c r="B3551"/>
    </row>
    <row r="3552" spans="1:2" x14ac:dyDescent="0.25">
      <c r="A3552"/>
      <c r="B3552"/>
    </row>
    <row r="3553" spans="1:2" x14ac:dyDescent="0.25">
      <c r="A3553"/>
      <c r="B3553"/>
    </row>
    <row r="3554" spans="1:2" x14ac:dyDescent="0.25">
      <c r="A3554"/>
      <c r="B3554"/>
    </row>
    <row r="3555" spans="1:2" x14ac:dyDescent="0.25">
      <c r="A3555"/>
      <c r="B3555"/>
    </row>
    <row r="3556" spans="1:2" x14ac:dyDescent="0.25">
      <c r="A3556"/>
      <c r="B3556"/>
    </row>
    <row r="3557" spans="1:2" x14ac:dyDescent="0.25">
      <c r="A3557"/>
      <c r="B3557"/>
    </row>
    <row r="3558" spans="1:2" x14ac:dyDescent="0.25">
      <c r="A3558"/>
      <c r="B3558"/>
    </row>
    <row r="3559" spans="1:2" x14ac:dyDescent="0.25">
      <c r="A3559"/>
      <c r="B3559"/>
    </row>
    <row r="3560" spans="1:2" x14ac:dyDescent="0.25">
      <c r="A3560"/>
      <c r="B3560"/>
    </row>
    <row r="3561" spans="1:2" x14ac:dyDescent="0.25">
      <c r="A3561"/>
      <c r="B3561"/>
    </row>
    <row r="3562" spans="1:2" x14ac:dyDescent="0.25">
      <c r="A3562"/>
      <c r="B3562"/>
    </row>
    <row r="3563" spans="1:2" x14ac:dyDescent="0.25">
      <c r="A3563"/>
      <c r="B3563"/>
    </row>
    <row r="3564" spans="1:2" x14ac:dyDescent="0.25">
      <c r="A3564"/>
      <c r="B3564"/>
    </row>
    <row r="3565" spans="1:2" x14ac:dyDescent="0.25">
      <c r="A3565"/>
      <c r="B3565"/>
    </row>
    <row r="3566" spans="1:2" x14ac:dyDescent="0.25">
      <c r="A3566"/>
      <c r="B3566"/>
    </row>
    <row r="3567" spans="1:2" x14ac:dyDescent="0.25">
      <c r="A3567"/>
      <c r="B3567"/>
    </row>
    <row r="3568" spans="1:2" x14ac:dyDescent="0.25">
      <c r="A3568"/>
      <c r="B3568"/>
    </row>
    <row r="3569" spans="1:2" x14ac:dyDescent="0.25">
      <c r="A3569"/>
      <c r="B3569"/>
    </row>
    <row r="3570" spans="1:2" x14ac:dyDescent="0.25">
      <c r="A3570"/>
      <c r="B3570"/>
    </row>
    <row r="3571" spans="1:2" x14ac:dyDescent="0.25">
      <c r="A3571"/>
      <c r="B3571"/>
    </row>
    <row r="3572" spans="1:2" x14ac:dyDescent="0.25">
      <c r="A3572"/>
      <c r="B3572"/>
    </row>
    <row r="3573" spans="1:2" x14ac:dyDescent="0.25">
      <c r="A3573"/>
      <c r="B3573"/>
    </row>
    <row r="3574" spans="1:2" x14ac:dyDescent="0.25">
      <c r="A3574"/>
      <c r="B3574"/>
    </row>
    <row r="3575" spans="1:2" x14ac:dyDescent="0.25">
      <c r="A3575"/>
      <c r="B3575"/>
    </row>
    <row r="3576" spans="1:2" x14ac:dyDescent="0.25">
      <c r="A3576"/>
      <c r="B3576"/>
    </row>
    <row r="3577" spans="1:2" x14ac:dyDescent="0.25">
      <c r="A3577"/>
      <c r="B3577"/>
    </row>
    <row r="3578" spans="1:2" x14ac:dyDescent="0.25">
      <c r="A3578"/>
      <c r="B3578"/>
    </row>
    <row r="3579" spans="1:2" x14ac:dyDescent="0.25">
      <c r="A3579"/>
      <c r="B3579"/>
    </row>
    <row r="3580" spans="1:2" x14ac:dyDescent="0.25">
      <c r="A3580"/>
      <c r="B3580"/>
    </row>
    <row r="3581" spans="1:2" x14ac:dyDescent="0.25">
      <c r="A3581"/>
      <c r="B3581"/>
    </row>
    <row r="3582" spans="1:2" x14ac:dyDescent="0.25">
      <c r="A3582"/>
      <c r="B3582"/>
    </row>
    <row r="3583" spans="1:2" x14ac:dyDescent="0.25">
      <c r="A3583"/>
      <c r="B3583"/>
    </row>
    <row r="3584" spans="1:2" x14ac:dyDescent="0.25">
      <c r="A3584"/>
      <c r="B3584"/>
    </row>
    <row r="3585" spans="1:2" x14ac:dyDescent="0.25">
      <c r="A3585"/>
      <c r="B3585"/>
    </row>
    <row r="3586" spans="1:2" x14ac:dyDescent="0.25">
      <c r="A3586"/>
      <c r="B3586"/>
    </row>
    <row r="3587" spans="1:2" x14ac:dyDescent="0.25">
      <c r="A3587"/>
      <c r="B3587"/>
    </row>
    <row r="3588" spans="1:2" x14ac:dyDescent="0.25">
      <c r="A3588"/>
      <c r="B3588"/>
    </row>
    <row r="3589" spans="1:2" x14ac:dyDescent="0.25">
      <c r="A3589"/>
      <c r="B3589"/>
    </row>
    <row r="3590" spans="1:2" x14ac:dyDescent="0.25">
      <c r="A3590"/>
      <c r="B3590"/>
    </row>
    <row r="3591" spans="1:2" x14ac:dyDescent="0.25">
      <c r="A3591"/>
      <c r="B3591"/>
    </row>
    <row r="3592" spans="1:2" x14ac:dyDescent="0.25">
      <c r="A3592"/>
      <c r="B3592"/>
    </row>
    <row r="3593" spans="1:2" x14ac:dyDescent="0.25">
      <c r="A3593"/>
      <c r="B3593"/>
    </row>
    <row r="3594" spans="1:2" x14ac:dyDescent="0.25">
      <c r="A3594"/>
      <c r="B3594"/>
    </row>
    <row r="3595" spans="1:2" x14ac:dyDescent="0.25">
      <c r="A3595"/>
      <c r="B3595"/>
    </row>
    <row r="3596" spans="1:2" x14ac:dyDescent="0.25">
      <c r="A3596"/>
      <c r="B3596"/>
    </row>
    <row r="3597" spans="1:2" x14ac:dyDescent="0.25">
      <c r="A3597"/>
      <c r="B3597"/>
    </row>
    <row r="3598" spans="1:2" x14ac:dyDescent="0.25">
      <c r="A3598"/>
      <c r="B3598"/>
    </row>
    <row r="3599" spans="1:2" x14ac:dyDescent="0.25">
      <c r="A3599"/>
      <c r="B3599"/>
    </row>
    <row r="3600" spans="1:2" x14ac:dyDescent="0.25">
      <c r="A3600"/>
      <c r="B3600"/>
    </row>
    <row r="3601" spans="1:2" x14ac:dyDescent="0.25">
      <c r="A3601"/>
      <c r="B3601"/>
    </row>
    <row r="3602" spans="1:2" x14ac:dyDescent="0.25">
      <c r="A3602"/>
      <c r="B3602"/>
    </row>
    <row r="3603" spans="1:2" x14ac:dyDescent="0.25">
      <c r="A3603"/>
      <c r="B3603"/>
    </row>
    <row r="3604" spans="1:2" x14ac:dyDescent="0.25">
      <c r="A3604"/>
      <c r="B3604"/>
    </row>
    <row r="3605" spans="1:2" x14ac:dyDescent="0.25">
      <c r="A3605"/>
      <c r="B3605"/>
    </row>
    <row r="3606" spans="1:2" x14ac:dyDescent="0.25">
      <c r="A3606"/>
      <c r="B3606"/>
    </row>
    <row r="3607" spans="1:2" x14ac:dyDescent="0.25">
      <c r="A3607"/>
      <c r="B3607"/>
    </row>
    <row r="3608" spans="1:2" x14ac:dyDescent="0.25">
      <c r="A3608"/>
      <c r="B3608"/>
    </row>
    <row r="3609" spans="1:2" x14ac:dyDescent="0.25">
      <c r="A3609"/>
      <c r="B3609"/>
    </row>
    <row r="3610" spans="1:2" x14ac:dyDescent="0.25">
      <c r="A3610"/>
      <c r="B3610"/>
    </row>
    <row r="3611" spans="1:2" x14ac:dyDescent="0.25">
      <c r="A3611"/>
      <c r="B3611"/>
    </row>
    <row r="3612" spans="1:2" x14ac:dyDescent="0.25">
      <c r="A3612"/>
      <c r="B3612"/>
    </row>
    <row r="3613" spans="1:2" x14ac:dyDescent="0.25">
      <c r="A3613"/>
      <c r="B3613"/>
    </row>
    <row r="3614" spans="1:2" x14ac:dyDescent="0.25">
      <c r="A3614"/>
      <c r="B3614"/>
    </row>
    <row r="3615" spans="1:2" x14ac:dyDescent="0.25">
      <c r="A3615"/>
      <c r="B3615"/>
    </row>
    <row r="3616" spans="1:2" x14ac:dyDescent="0.25">
      <c r="A3616"/>
      <c r="B3616"/>
    </row>
    <row r="3617" spans="1:2" x14ac:dyDescent="0.25">
      <c r="A3617"/>
      <c r="B3617"/>
    </row>
    <row r="3618" spans="1:2" x14ac:dyDescent="0.25">
      <c r="A3618"/>
      <c r="B3618"/>
    </row>
    <row r="3619" spans="1:2" x14ac:dyDescent="0.25">
      <c r="A3619"/>
      <c r="B3619"/>
    </row>
    <row r="3620" spans="1:2" x14ac:dyDescent="0.25">
      <c r="A3620"/>
      <c r="B3620"/>
    </row>
    <row r="3621" spans="1:2" x14ac:dyDescent="0.25">
      <c r="A3621"/>
      <c r="B3621"/>
    </row>
    <row r="3622" spans="1:2" x14ac:dyDescent="0.25">
      <c r="A3622"/>
      <c r="B3622"/>
    </row>
    <row r="3623" spans="1:2" x14ac:dyDescent="0.25">
      <c r="A3623"/>
      <c r="B3623"/>
    </row>
    <row r="3624" spans="1:2" x14ac:dyDescent="0.25">
      <c r="A3624"/>
      <c r="B3624"/>
    </row>
    <row r="3625" spans="1:2" x14ac:dyDescent="0.25">
      <c r="A3625"/>
      <c r="B3625"/>
    </row>
    <row r="3626" spans="1:2" x14ac:dyDescent="0.25">
      <c r="A3626"/>
      <c r="B3626"/>
    </row>
    <row r="3627" spans="1:2" x14ac:dyDescent="0.25">
      <c r="A3627"/>
      <c r="B3627"/>
    </row>
    <row r="3628" spans="1:2" x14ac:dyDescent="0.25">
      <c r="A3628"/>
      <c r="B3628"/>
    </row>
    <row r="3629" spans="1:2" x14ac:dyDescent="0.25">
      <c r="A3629"/>
      <c r="B3629"/>
    </row>
    <row r="3630" spans="1:2" x14ac:dyDescent="0.25">
      <c r="A3630"/>
      <c r="B3630"/>
    </row>
    <row r="3631" spans="1:2" x14ac:dyDescent="0.25">
      <c r="A3631"/>
      <c r="B3631"/>
    </row>
    <row r="3632" spans="1:2" x14ac:dyDescent="0.25">
      <c r="A3632"/>
      <c r="B3632"/>
    </row>
    <row r="3633" spans="1:2" x14ac:dyDescent="0.25">
      <c r="A3633"/>
      <c r="B3633"/>
    </row>
    <row r="3634" spans="1:2" x14ac:dyDescent="0.25">
      <c r="A3634"/>
      <c r="B3634"/>
    </row>
    <row r="3635" spans="1:2" x14ac:dyDescent="0.25">
      <c r="A3635"/>
      <c r="B3635"/>
    </row>
    <row r="3636" spans="1:2" x14ac:dyDescent="0.25">
      <c r="A3636"/>
      <c r="B3636"/>
    </row>
    <row r="3637" spans="1:2" x14ac:dyDescent="0.25">
      <c r="A3637"/>
      <c r="B3637"/>
    </row>
    <row r="3638" spans="1:2" x14ac:dyDescent="0.25">
      <c r="A3638"/>
      <c r="B3638"/>
    </row>
    <row r="3639" spans="1:2" x14ac:dyDescent="0.25">
      <c r="A3639"/>
      <c r="B3639"/>
    </row>
    <row r="3640" spans="1:2" x14ac:dyDescent="0.25">
      <c r="A3640"/>
      <c r="B3640"/>
    </row>
    <row r="3641" spans="1:2" x14ac:dyDescent="0.25">
      <c r="A3641"/>
      <c r="B3641"/>
    </row>
    <row r="3642" spans="1:2" x14ac:dyDescent="0.25">
      <c r="A3642"/>
      <c r="B3642"/>
    </row>
    <row r="3643" spans="1:2" x14ac:dyDescent="0.25">
      <c r="A3643"/>
      <c r="B3643"/>
    </row>
    <row r="3644" spans="1:2" x14ac:dyDescent="0.25">
      <c r="A3644"/>
      <c r="B3644"/>
    </row>
    <row r="3645" spans="1:2" x14ac:dyDescent="0.25">
      <c r="A3645"/>
      <c r="B3645"/>
    </row>
    <row r="3646" spans="1:2" x14ac:dyDescent="0.25">
      <c r="A3646"/>
      <c r="B3646"/>
    </row>
    <row r="3647" spans="1:2" x14ac:dyDescent="0.25">
      <c r="A3647"/>
      <c r="B3647"/>
    </row>
    <row r="3648" spans="1:2" x14ac:dyDescent="0.25">
      <c r="A3648"/>
      <c r="B3648"/>
    </row>
    <row r="3649" spans="1:2" x14ac:dyDescent="0.25">
      <c r="A3649"/>
      <c r="B3649"/>
    </row>
    <row r="3650" spans="1:2" x14ac:dyDescent="0.25">
      <c r="A3650"/>
      <c r="B3650"/>
    </row>
    <row r="3651" spans="1:2" x14ac:dyDescent="0.25">
      <c r="A3651"/>
      <c r="B3651"/>
    </row>
    <row r="3652" spans="1:2" x14ac:dyDescent="0.25">
      <c r="A3652"/>
      <c r="B3652"/>
    </row>
    <row r="3653" spans="1:2" x14ac:dyDescent="0.25">
      <c r="A3653"/>
      <c r="B3653"/>
    </row>
    <row r="3654" spans="1:2" x14ac:dyDescent="0.25">
      <c r="A3654"/>
      <c r="B3654"/>
    </row>
    <row r="3655" spans="1:2" x14ac:dyDescent="0.25">
      <c r="A3655"/>
      <c r="B3655"/>
    </row>
    <row r="3656" spans="1:2" x14ac:dyDescent="0.25">
      <c r="A3656"/>
      <c r="B3656"/>
    </row>
    <row r="3657" spans="1:2" x14ac:dyDescent="0.25">
      <c r="A3657"/>
      <c r="B3657"/>
    </row>
    <row r="3658" spans="1:2" x14ac:dyDescent="0.25">
      <c r="A3658"/>
      <c r="B3658"/>
    </row>
    <row r="3659" spans="1:2" x14ac:dyDescent="0.25">
      <c r="A3659"/>
      <c r="B3659"/>
    </row>
    <row r="3660" spans="1:2" x14ac:dyDescent="0.25">
      <c r="A3660"/>
      <c r="B3660"/>
    </row>
    <row r="3661" spans="1:2" x14ac:dyDescent="0.25">
      <c r="A3661"/>
      <c r="B3661"/>
    </row>
    <row r="3662" spans="1:2" x14ac:dyDescent="0.25">
      <c r="A3662"/>
      <c r="B3662"/>
    </row>
    <row r="3663" spans="1:2" x14ac:dyDescent="0.25">
      <c r="A3663"/>
      <c r="B3663"/>
    </row>
    <row r="3664" spans="1:2" x14ac:dyDescent="0.25">
      <c r="A3664"/>
      <c r="B3664"/>
    </row>
    <row r="3665" spans="1:2" x14ac:dyDescent="0.25">
      <c r="A3665"/>
      <c r="B3665"/>
    </row>
    <row r="3666" spans="1:2" x14ac:dyDescent="0.25">
      <c r="A3666"/>
      <c r="B3666"/>
    </row>
    <row r="3667" spans="1:2" x14ac:dyDescent="0.25">
      <c r="A3667"/>
      <c r="B3667"/>
    </row>
    <row r="3668" spans="1:2" x14ac:dyDescent="0.25">
      <c r="A3668"/>
      <c r="B3668"/>
    </row>
    <row r="3669" spans="1:2" x14ac:dyDescent="0.25">
      <c r="A3669"/>
      <c r="B3669"/>
    </row>
    <row r="3670" spans="1:2" x14ac:dyDescent="0.25">
      <c r="A3670"/>
      <c r="B3670"/>
    </row>
    <row r="3671" spans="1:2" x14ac:dyDescent="0.25">
      <c r="A3671"/>
      <c r="B3671"/>
    </row>
    <row r="3672" spans="1:2" x14ac:dyDescent="0.25">
      <c r="A3672"/>
      <c r="B3672"/>
    </row>
    <row r="3673" spans="1:2" x14ac:dyDescent="0.25">
      <c r="A3673"/>
      <c r="B3673"/>
    </row>
    <row r="3674" spans="1:2" x14ac:dyDescent="0.25">
      <c r="A3674"/>
      <c r="B3674"/>
    </row>
    <row r="3675" spans="1:2" x14ac:dyDescent="0.25">
      <c r="A3675"/>
      <c r="B3675"/>
    </row>
    <row r="3676" spans="1:2" x14ac:dyDescent="0.25">
      <c r="A3676"/>
      <c r="B3676"/>
    </row>
    <row r="3677" spans="1:2" x14ac:dyDescent="0.25">
      <c r="A3677"/>
      <c r="B3677"/>
    </row>
    <row r="3678" spans="1:2" x14ac:dyDescent="0.25">
      <c r="A3678"/>
      <c r="B3678"/>
    </row>
    <row r="3679" spans="1:2" x14ac:dyDescent="0.25">
      <c r="A3679"/>
      <c r="B3679"/>
    </row>
    <row r="3680" spans="1:2" x14ac:dyDescent="0.25">
      <c r="A3680"/>
      <c r="B3680"/>
    </row>
    <row r="3681" spans="1:2" x14ac:dyDescent="0.25">
      <c r="A3681"/>
      <c r="B3681"/>
    </row>
    <row r="3682" spans="1:2" x14ac:dyDescent="0.25">
      <c r="A3682"/>
      <c r="B3682"/>
    </row>
    <row r="3683" spans="1:2" x14ac:dyDescent="0.25">
      <c r="A3683"/>
      <c r="B3683"/>
    </row>
    <row r="3684" spans="1:2" x14ac:dyDescent="0.25">
      <c r="A3684"/>
      <c r="B3684"/>
    </row>
    <row r="3685" spans="1:2" x14ac:dyDescent="0.25">
      <c r="A3685"/>
      <c r="B3685"/>
    </row>
    <row r="3686" spans="1:2" x14ac:dyDescent="0.25">
      <c r="A3686"/>
      <c r="B3686"/>
    </row>
    <row r="3687" spans="1:2" x14ac:dyDescent="0.25">
      <c r="A3687"/>
      <c r="B3687"/>
    </row>
    <row r="3688" spans="1:2" x14ac:dyDescent="0.25">
      <c r="A3688"/>
      <c r="B3688"/>
    </row>
    <row r="3689" spans="1:2" x14ac:dyDescent="0.25">
      <c r="A3689"/>
      <c r="B3689"/>
    </row>
    <row r="3690" spans="1:2" x14ac:dyDescent="0.25">
      <c r="A3690"/>
      <c r="B3690"/>
    </row>
    <row r="3691" spans="1:2" x14ac:dyDescent="0.25">
      <c r="A3691"/>
      <c r="B3691"/>
    </row>
    <row r="3692" spans="1:2" x14ac:dyDescent="0.25">
      <c r="A3692"/>
      <c r="B3692"/>
    </row>
    <row r="3693" spans="1:2" x14ac:dyDescent="0.25">
      <c r="A3693"/>
      <c r="B3693"/>
    </row>
    <row r="3694" spans="1:2" x14ac:dyDescent="0.25">
      <c r="A3694"/>
      <c r="B3694"/>
    </row>
    <row r="3695" spans="1:2" x14ac:dyDescent="0.25">
      <c r="A3695"/>
      <c r="B3695"/>
    </row>
    <row r="3696" spans="1:2" x14ac:dyDescent="0.25">
      <c r="A3696"/>
      <c r="B3696"/>
    </row>
    <row r="3697" spans="1:2" x14ac:dyDescent="0.25">
      <c r="A3697"/>
      <c r="B3697"/>
    </row>
    <row r="3698" spans="1:2" x14ac:dyDescent="0.25">
      <c r="A3698"/>
      <c r="B3698"/>
    </row>
    <row r="3699" spans="1:2" x14ac:dyDescent="0.25">
      <c r="A3699"/>
      <c r="B3699"/>
    </row>
    <row r="3700" spans="1:2" x14ac:dyDescent="0.25">
      <c r="A3700"/>
      <c r="B3700"/>
    </row>
    <row r="3701" spans="1:2" x14ac:dyDescent="0.25">
      <c r="A3701"/>
      <c r="B3701"/>
    </row>
    <row r="3702" spans="1:2" x14ac:dyDescent="0.25">
      <c r="A3702"/>
      <c r="B3702"/>
    </row>
    <row r="3703" spans="1:2" x14ac:dyDescent="0.25">
      <c r="A3703"/>
      <c r="B3703"/>
    </row>
    <row r="3704" spans="1:2" x14ac:dyDescent="0.25">
      <c r="A3704"/>
      <c r="B3704"/>
    </row>
    <row r="3705" spans="1:2" x14ac:dyDescent="0.25">
      <c r="A3705"/>
      <c r="B3705"/>
    </row>
    <row r="3706" spans="1:2" x14ac:dyDescent="0.25">
      <c r="A3706"/>
      <c r="B3706"/>
    </row>
    <row r="3707" spans="1:2" x14ac:dyDescent="0.25">
      <c r="A3707"/>
      <c r="B3707"/>
    </row>
    <row r="3708" spans="1:2" x14ac:dyDescent="0.25">
      <c r="A3708"/>
      <c r="B3708"/>
    </row>
    <row r="3709" spans="1:2" x14ac:dyDescent="0.25">
      <c r="A3709"/>
      <c r="B3709"/>
    </row>
    <row r="3710" spans="1:2" x14ac:dyDescent="0.25">
      <c r="A3710"/>
      <c r="B3710"/>
    </row>
    <row r="3711" spans="1:2" x14ac:dyDescent="0.25">
      <c r="A3711"/>
      <c r="B3711"/>
    </row>
    <row r="3712" spans="1:2" x14ac:dyDescent="0.25">
      <c r="A3712"/>
      <c r="B3712"/>
    </row>
    <row r="3713" spans="1:2" x14ac:dyDescent="0.25">
      <c r="A3713"/>
      <c r="B3713"/>
    </row>
    <row r="3714" spans="1:2" x14ac:dyDescent="0.25">
      <c r="A3714"/>
      <c r="B3714"/>
    </row>
    <row r="3715" spans="1:2" x14ac:dyDescent="0.25">
      <c r="A3715"/>
      <c r="B3715"/>
    </row>
    <row r="3716" spans="1:2" x14ac:dyDescent="0.25">
      <c r="A3716"/>
      <c r="B3716"/>
    </row>
    <row r="3717" spans="1:2" x14ac:dyDescent="0.25">
      <c r="A3717"/>
      <c r="B3717"/>
    </row>
    <row r="3718" spans="1:2" x14ac:dyDescent="0.25">
      <c r="A3718"/>
      <c r="B3718"/>
    </row>
    <row r="3719" spans="1:2" x14ac:dyDescent="0.25">
      <c r="A3719"/>
      <c r="B3719"/>
    </row>
    <row r="3720" spans="1:2" x14ac:dyDescent="0.25">
      <c r="A3720"/>
      <c r="B3720"/>
    </row>
    <row r="3721" spans="1:2" x14ac:dyDescent="0.25">
      <c r="A3721"/>
      <c r="B3721"/>
    </row>
    <row r="3722" spans="1:2" x14ac:dyDescent="0.25">
      <c r="A3722"/>
      <c r="B3722"/>
    </row>
    <row r="3723" spans="1:2" x14ac:dyDescent="0.25">
      <c r="A3723"/>
      <c r="B3723"/>
    </row>
    <row r="3724" spans="1:2" x14ac:dyDescent="0.25">
      <c r="A3724"/>
      <c r="B3724"/>
    </row>
    <row r="3725" spans="1:2" x14ac:dyDescent="0.25">
      <c r="A3725"/>
      <c r="B3725"/>
    </row>
    <row r="3726" spans="1:2" x14ac:dyDescent="0.25">
      <c r="A3726"/>
      <c r="B3726"/>
    </row>
    <row r="3727" spans="1:2" x14ac:dyDescent="0.25">
      <c r="A3727"/>
      <c r="B3727"/>
    </row>
    <row r="3728" spans="1:2" x14ac:dyDescent="0.25">
      <c r="A3728"/>
      <c r="B3728"/>
    </row>
    <row r="3729" spans="1:2" x14ac:dyDescent="0.25">
      <c r="A3729"/>
      <c r="B3729"/>
    </row>
    <row r="3730" spans="1:2" x14ac:dyDescent="0.25">
      <c r="A3730"/>
      <c r="B3730"/>
    </row>
    <row r="3731" spans="1:2" x14ac:dyDescent="0.25">
      <c r="A3731"/>
      <c r="B3731"/>
    </row>
    <row r="3732" spans="1:2" x14ac:dyDescent="0.25">
      <c r="A3732"/>
      <c r="B3732"/>
    </row>
    <row r="3733" spans="1:2" x14ac:dyDescent="0.25">
      <c r="A3733"/>
      <c r="B3733"/>
    </row>
    <row r="3734" spans="1:2" x14ac:dyDescent="0.25">
      <c r="A3734"/>
      <c r="B3734"/>
    </row>
    <row r="3735" spans="1:2" x14ac:dyDescent="0.25">
      <c r="A3735"/>
      <c r="B3735"/>
    </row>
    <row r="3736" spans="1:2" x14ac:dyDescent="0.25">
      <c r="A3736"/>
      <c r="B3736"/>
    </row>
    <row r="3737" spans="1:2" x14ac:dyDescent="0.25">
      <c r="A3737"/>
      <c r="B3737"/>
    </row>
    <row r="3738" spans="1:2" x14ac:dyDescent="0.25">
      <c r="A3738"/>
      <c r="B3738"/>
    </row>
    <row r="3739" spans="1:2" x14ac:dyDescent="0.25">
      <c r="A3739"/>
      <c r="B3739"/>
    </row>
    <row r="3740" spans="1:2" x14ac:dyDescent="0.25">
      <c r="A3740"/>
      <c r="B3740"/>
    </row>
    <row r="3741" spans="1:2" x14ac:dyDescent="0.25">
      <c r="A3741"/>
      <c r="B3741"/>
    </row>
    <row r="3742" spans="1:2" x14ac:dyDescent="0.25">
      <c r="A3742"/>
      <c r="B3742"/>
    </row>
    <row r="3743" spans="1:2" x14ac:dyDescent="0.25">
      <c r="A3743"/>
      <c r="B3743"/>
    </row>
    <row r="3744" spans="1:2" x14ac:dyDescent="0.25">
      <c r="A3744"/>
      <c r="B3744"/>
    </row>
    <row r="3745" spans="1:2" x14ac:dyDescent="0.25">
      <c r="A3745"/>
      <c r="B3745"/>
    </row>
    <row r="3746" spans="1:2" x14ac:dyDescent="0.25">
      <c r="A3746"/>
      <c r="B3746"/>
    </row>
    <row r="3747" spans="1:2" x14ac:dyDescent="0.25">
      <c r="A3747"/>
      <c r="B3747"/>
    </row>
    <row r="3748" spans="1:2" x14ac:dyDescent="0.25">
      <c r="A3748"/>
      <c r="B3748"/>
    </row>
    <row r="3749" spans="1:2" x14ac:dyDescent="0.25">
      <c r="A3749"/>
      <c r="B3749"/>
    </row>
    <row r="3750" spans="1:2" x14ac:dyDescent="0.25">
      <c r="A3750"/>
      <c r="B3750"/>
    </row>
    <row r="3751" spans="1:2" x14ac:dyDescent="0.25">
      <c r="A3751"/>
      <c r="B3751"/>
    </row>
    <row r="3752" spans="1:2" x14ac:dyDescent="0.25">
      <c r="A3752"/>
      <c r="B3752"/>
    </row>
    <row r="3753" spans="1:2" x14ac:dyDescent="0.25">
      <c r="A3753"/>
      <c r="B3753"/>
    </row>
    <row r="3754" spans="1:2" x14ac:dyDescent="0.25">
      <c r="A3754"/>
      <c r="B3754"/>
    </row>
    <row r="3755" spans="1:2" x14ac:dyDescent="0.25">
      <c r="A3755"/>
      <c r="B3755"/>
    </row>
    <row r="3756" spans="1:2" x14ac:dyDescent="0.25">
      <c r="A3756"/>
      <c r="B3756"/>
    </row>
    <row r="3757" spans="1:2" x14ac:dyDescent="0.25">
      <c r="A3757"/>
      <c r="B3757"/>
    </row>
    <row r="3758" spans="1:2" x14ac:dyDescent="0.25">
      <c r="A3758"/>
      <c r="B3758"/>
    </row>
    <row r="3759" spans="1:2" x14ac:dyDescent="0.25">
      <c r="A3759"/>
      <c r="B3759"/>
    </row>
    <row r="3760" spans="1:2" x14ac:dyDescent="0.25">
      <c r="A3760"/>
      <c r="B3760"/>
    </row>
    <row r="3761" spans="1:2" x14ac:dyDescent="0.25">
      <c r="A3761"/>
      <c r="B3761"/>
    </row>
    <row r="3762" spans="1:2" x14ac:dyDescent="0.25">
      <c r="A3762"/>
      <c r="B3762"/>
    </row>
    <row r="3763" spans="1:2" x14ac:dyDescent="0.25">
      <c r="A3763"/>
      <c r="B3763"/>
    </row>
    <row r="3764" spans="1:2" x14ac:dyDescent="0.25">
      <c r="A3764"/>
      <c r="B3764"/>
    </row>
    <row r="3765" spans="1:2" x14ac:dyDescent="0.25">
      <c r="A3765"/>
      <c r="B3765"/>
    </row>
    <row r="3766" spans="1:2" x14ac:dyDescent="0.25">
      <c r="A3766"/>
      <c r="B3766"/>
    </row>
    <row r="3767" spans="1:2" x14ac:dyDescent="0.25">
      <c r="A3767"/>
      <c r="B3767"/>
    </row>
    <row r="3768" spans="1:2" x14ac:dyDescent="0.25">
      <c r="A3768"/>
      <c r="B3768"/>
    </row>
    <row r="3769" spans="1:2" x14ac:dyDescent="0.25">
      <c r="A3769"/>
      <c r="B3769"/>
    </row>
    <row r="3770" spans="1:2" x14ac:dyDescent="0.25">
      <c r="A3770"/>
      <c r="B3770"/>
    </row>
    <row r="3771" spans="1:2" x14ac:dyDescent="0.25">
      <c r="A3771"/>
      <c r="B3771"/>
    </row>
    <row r="3772" spans="1:2" x14ac:dyDescent="0.25">
      <c r="A3772"/>
      <c r="B3772"/>
    </row>
    <row r="3773" spans="1:2" x14ac:dyDescent="0.25">
      <c r="A3773"/>
      <c r="B3773"/>
    </row>
    <row r="3774" spans="1:2" x14ac:dyDescent="0.25">
      <c r="A3774"/>
      <c r="B3774"/>
    </row>
    <row r="3775" spans="1:2" x14ac:dyDescent="0.25">
      <c r="A3775"/>
      <c r="B3775"/>
    </row>
    <row r="3776" spans="1:2" x14ac:dyDescent="0.25">
      <c r="A3776"/>
      <c r="B3776"/>
    </row>
    <row r="3777" spans="1:2" x14ac:dyDescent="0.25">
      <c r="A3777"/>
      <c r="B3777"/>
    </row>
    <row r="3778" spans="1:2" x14ac:dyDescent="0.25">
      <c r="A3778"/>
      <c r="B3778"/>
    </row>
    <row r="3779" spans="1:2" x14ac:dyDescent="0.25">
      <c r="A3779"/>
      <c r="B3779"/>
    </row>
    <row r="3780" spans="1:2" x14ac:dyDescent="0.25">
      <c r="A3780"/>
      <c r="B3780"/>
    </row>
    <row r="3781" spans="1:2" x14ac:dyDescent="0.25">
      <c r="A3781"/>
      <c r="B3781"/>
    </row>
    <row r="3782" spans="1:2" x14ac:dyDescent="0.25">
      <c r="A3782"/>
      <c r="B3782"/>
    </row>
    <row r="3783" spans="1:2" x14ac:dyDescent="0.25">
      <c r="A3783"/>
      <c r="B3783"/>
    </row>
    <row r="3784" spans="1:2" x14ac:dyDescent="0.25">
      <c r="A3784"/>
      <c r="B3784"/>
    </row>
    <row r="3785" spans="1:2" x14ac:dyDescent="0.25">
      <c r="A3785"/>
      <c r="B3785"/>
    </row>
    <row r="3786" spans="1:2" x14ac:dyDescent="0.25">
      <c r="A3786"/>
      <c r="B3786"/>
    </row>
    <row r="3787" spans="1:2" x14ac:dyDescent="0.25">
      <c r="A3787"/>
      <c r="B3787"/>
    </row>
    <row r="3788" spans="1:2" x14ac:dyDescent="0.25">
      <c r="A3788"/>
      <c r="B3788"/>
    </row>
    <row r="3789" spans="1:2" x14ac:dyDescent="0.25">
      <c r="A3789"/>
      <c r="B3789"/>
    </row>
    <row r="3790" spans="1:2" x14ac:dyDescent="0.25">
      <c r="A3790"/>
      <c r="B3790"/>
    </row>
    <row r="3791" spans="1:2" x14ac:dyDescent="0.25">
      <c r="A3791"/>
      <c r="B3791"/>
    </row>
    <row r="3792" spans="1:2" x14ac:dyDescent="0.25">
      <c r="A3792"/>
      <c r="B3792"/>
    </row>
    <row r="3793" spans="1:2" x14ac:dyDescent="0.25">
      <c r="A3793"/>
      <c r="B3793"/>
    </row>
    <row r="3794" spans="1:2" x14ac:dyDescent="0.25">
      <c r="A3794"/>
      <c r="B3794"/>
    </row>
    <row r="3795" spans="1:2" x14ac:dyDescent="0.25">
      <c r="A3795"/>
      <c r="B3795"/>
    </row>
    <row r="3796" spans="1:2" x14ac:dyDescent="0.25">
      <c r="A3796"/>
      <c r="B3796"/>
    </row>
    <row r="3797" spans="1:2" x14ac:dyDescent="0.25">
      <c r="A3797"/>
      <c r="B3797"/>
    </row>
    <row r="3798" spans="1:2" x14ac:dyDescent="0.25">
      <c r="A3798"/>
      <c r="B3798"/>
    </row>
    <row r="3799" spans="1:2" x14ac:dyDescent="0.25">
      <c r="A3799"/>
      <c r="B3799"/>
    </row>
    <row r="3800" spans="1:2" x14ac:dyDescent="0.25">
      <c r="A3800"/>
      <c r="B3800"/>
    </row>
    <row r="3801" spans="1:2" x14ac:dyDescent="0.25">
      <c r="A3801"/>
      <c r="B3801"/>
    </row>
    <row r="3802" spans="1:2" x14ac:dyDescent="0.25">
      <c r="A3802"/>
      <c r="B3802"/>
    </row>
    <row r="3803" spans="1:2" x14ac:dyDescent="0.25">
      <c r="A3803"/>
      <c r="B3803"/>
    </row>
    <row r="3804" spans="1:2" x14ac:dyDescent="0.25">
      <c r="A3804"/>
      <c r="B3804"/>
    </row>
    <row r="3805" spans="1:2" x14ac:dyDescent="0.25">
      <c r="A3805"/>
      <c r="B3805"/>
    </row>
    <row r="3806" spans="1:2" x14ac:dyDescent="0.25">
      <c r="A3806"/>
      <c r="B3806"/>
    </row>
    <row r="3807" spans="1:2" x14ac:dyDescent="0.25">
      <c r="A3807"/>
      <c r="B3807"/>
    </row>
    <row r="3808" spans="1:2" x14ac:dyDescent="0.25">
      <c r="A3808"/>
      <c r="B3808"/>
    </row>
    <row r="3809" spans="1:2" x14ac:dyDescent="0.25">
      <c r="A3809"/>
      <c r="B3809"/>
    </row>
    <row r="3810" spans="1:2" x14ac:dyDescent="0.25">
      <c r="A3810"/>
      <c r="B3810"/>
    </row>
    <row r="3811" spans="1:2" x14ac:dyDescent="0.25">
      <c r="A3811"/>
      <c r="B3811"/>
    </row>
    <row r="3812" spans="1:2" x14ac:dyDescent="0.25">
      <c r="A3812"/>
      <c r="B3812"/>
    </row>
    <row r="3813" spans="1:2" x14ac:dyDescent="0.25">
      <c r="A3813"/>
      <c r="B3813"/>
    </row>
    <row r="3814" spans="1:2" x14ac:dyDescent="0.25">
      <c r="A3814"/>
      <c r="B3814"/>
    </row>
    <row r="3815" spans="1:2" x14ac:dyDescent="0.25">
      <c r="A3815"/>
      <c r="B3815"/>
    </row>
    <row r="3816" spans="1:2" x14ac:dyDescent="0.25">
      <c r="A3816"/>
      <c r="B3816"/>
    </row>
    <row r="3817" spans="1:2" x14ac:dyDescent="0.25">
      <c r="A3817"/>
      <c r="B3817"/>
    </row>
    <row r="3818" spans="1:2" x14ac:dyDescent="0.25">
      <c r="A3818"/>
      <c r="B3818"/>
    </row>
    <row r="3819" spans="1:2" x14ac:dyDescent="0.25">
      <c r="A3819"/>
      <c r="B3819"/>
    </row>
    <row r="3820" spans="1:2" x14ac:dyDescent="0.25">
      <c r="A3820"/>
      <c r="B3820"/>
    </row>
    <row r="3821" spans="1:2" x14ac:dyDescent="0.25">
      <c r="A3821"/>
      <c r="B3821"/>
    </row>
    <row r="3822" spans="1:2" x14ac:dyDescent="0.25">
      <c r="A3822"/>
      <c r="B3822"/>
    </row>
    <row r="3823" spans="1:2" x14ac:dyDescent="0.25">
      <c r="A3823"/>
      <c r="B3823"/>
    </row>
    <row r="3824" spans="1:2" x14ac:dyDescent="0.25">
      <c r="A3824"/>
      <c r="B3824"/>
    </row>
    <row r="3825" spans="1:2" x14ac:dyDescent="0.25">
      <c r="A3825"/>
      <c r="B3825"/>
    </row>
    <row r="3826" spans="1:2" x14ac:dyDescent="0.25">
      <c r="A3826"/>
      <c r="B3826"/>
    </row>
    <row r="3827" spans="1:2" x14ac:dyDescent="0.25">
      <c r="A3827"/>
      <c r="B3827"/>
    </row>
    <row r="3828" spans="1:2" x14ac:dyDescent="0.25">
      <c r="A3828"/>
      <c r="B3828"/>
    </row>
    <row r="3829" spans="1:2" x14ac:dyDescent="0.25">
      <c r="A3829"/>
      <c r="B3829"/>
    </row>
    <row r="3830" spans="1:2" x14ac:dyDescent="0.25">
      <c r="A3830"/>
      <c r="B3830"/>
    </row>
    <row r="3831" spans="1:2" x14ac:dyDescent="0.25">
      <c r="A3831"/>
      <c r="B3831"/>
    </row>
    <row r="3832" spans="1:2" x14ac:dyDescent="0.25">
      <c r="A3832"/>
      <c r="B3832"/>
    </row>
    <row r="3833" spans="1:2" x14ac:dyDescent="0.25">
      <c r="A3833"/>
      <c r="B3833"/>
    </row>
    <row r="3834" spans="1:2" x14ac:dyDescent="0.25">
      <c r="A3834"/>
      <c r="B3834"/>
    </row>
    <row r="3835" spans="1:2" x14ac:dyDescent="0.25">
      <c r="A3835"/>
      <c r="B3835"/>
    </row>
    <row r="3836" spans="1:2" x14ac:dyDescent="0.25">
      <c r="A3836"/>
      <c r="B3836"/>
    </row>
    <row r="3837" spans="1:2" x14ac:dyDescent="0.25">
      <c r="A3837"/>
      <c r="B3837"/>
    </row>
    <row r="3838" spans="1:2" x14ac:dyDescent="0.25">
      <c r="A3838"/>
      <c r="B3838"/>
    </row>
    <row r="3839" spans="1:2" x14ac:dyDescent="0.25">
      <c r="A3839"/>
      <c r="B3839"/>
    </row>
    <row r="3840" spans="1:2" x14ac:dyDescent="0.25">
      <c r="A3840"/>
      <c r="B3840"/>
    </row>
    <row r="3841" spans="1:2" x14ac:dyDescent="0.25">
      <c r="A3841"/>
      <c r="B3841"/>
    </row>
    <row r="3842" spans="1:2" x14ac:dyDescent="0.25">
      <c r="A3842"/>
      <c r="B3842"/>
    </row>
    <row r="3843" spans="1:2" x14ac:dyDescent="0.25">
      <c r="A3843"/>
      <c r="B3843"/>
    </row>
    <row r="3844" spans="1:2" x14ac:dyDescent="0.25">
      <c r="A3844"/>
      <c r="B3844"/>
    </row>
    <row r="3845" spans="1:2" x14ac:dyDescent="0.25">
      <c r="A3845"/>
      <c r="B3845"/>
    </row>
    <row r="3846" spans="1:2" x14ac:dyDescent="0.25">
      <c r="A3846"/>
      <c r="B3846"/>
    </row>
    <row r="3847" spans="1:2" x14ac:dyDescent="0.25">
      <c r="A3847"/>
      <c r="B3847"/>
    </row>
    <row r="3848" spans="1:2" x14ac:dyDescent="0.25">
      <c r="A3848"/>
      <c r="B3848"/>
    </row>
    <row r="3849" spans="1:2" x14ac:dyDescent="0.25">
      <c r="A3849"/>
      <c r="B3849"/>
    </row>
    <row r="3850" spans="1:2" x14ac:dyDescent="0.25">
      <c r="A3850"/>
      <c r="B3850"/>
    </row>
    <row r="3851" spans="1:2" x14ac:dyDescent="0.25">
      <c r="A3851"/>
      <c r="B3851"/>
    </row>
    <row r="3852" spans="1:2" x14ac:dyDescent="0.25">
      <c r="A3852"/>
      <c r="B3852"/>
    </row>
    <row r="3853" spans="1:2" x14ac:dyDescent="0.25">
      <c r="A3853"/>
      <c r="B3853"/>
    </row>
    <row r="3854" spans="1:2" x14ac:dyDescent="0.25">
      <c r="A3854"/>
      <c r="B3854"/>
    </row>
    <row r="3855" spans="1:2" x14ac:dyDescent="0.25">
      <c r="A3855"/>
      <c r="B3855"/>
    </row>
    <row r="3856" spans="1:2" x14ac:dyDescent="0.25">
      <c r="A3856"/>
      <c r="B3856"/>
    </row>
    <row r="3857" spans="1:2" x14ac:dyDescent="0.25">
      <c r="A3857"/>
      <c r="B3857"/>
    </row>
    <row r="3858" spans="1:2" x14ac:dyDescent="0.25">
      <c r="A3858"/>
      <c r="B3858"/>
    </row>
    <row r="3859" spans="1:2" x14ac:dyDescent="0.25">
      <c r="A3859"/>
      <c r="B3859"/>
    </row>
    <row r="3860" spans="1:2" x14ac:dyDescent="0.25">
      <c r="A3860"/>
      <c r="B3860"/>
    </row>
    <row r="3861" spans="1:2" x14ac:dyDescent="0.25">
      <c r="A3861"/>
      <c r="B3861"/>
    </row>
    <row r="3862" spans="1:2" x14ac:dyDescent="0.25">
      <c r="A3862"/>
      <c r="B3862"/>
    </row>
    <row r="3863" spans="1:2" x14ac:dyDescent="0.25">
      <c r="A3863"/>
      <c r="B3863"/>
    </row>
    <row r="3864" spans="1:2" x14ac:dyDescent="0.25">
      <c r="A3864"/>
      <c r="B3864"/>
    </row>
    <row r="3865" spans="1:2" x14ac:dyDescent="0.25">
      <c r="A3865"/>
      <c r="B3865"/>
    </row>
    <row r="3866" spans="1:2" x14ac:dyDescent="0.25">
      <c r="A3866"/>
      <c r="B3866"/>
    </row>
    <row r="3867" spans="1:2" x14ac:dyDescent="0.25">
      <c r="A3867"/>
      <c r="B3867"/>
    </row>
    <row r="3868" spans="1:2" x14ac:dyDescent="0.25">
      <c r="A3868"/>
      <c r="B3868"/>
    </row>
    <row r="3869" spans="1:2" x14ac:dyDescent="0.25">
      <c r="A3869"/>
      <c r="B3869"/>
    </row>
    <row r="3870" spans="1:2" x14ac:dyDescent="0.25">
      <c r="A3870"/>
      <c r="B3870"/>
    </row>
    <row r="3871" spans="1:2" x14ac:dyDescent="0.25">
      <c r="A3871"/>
      <c r="B3871"/>
    </row>
    <row r="3872" spans="1:2" x14ac:dyDescent="0.25">
      <c r="A3872"/>
      <c r="B3872"/>
    </row>
    <row r="3873" spans="1:2" x14ac:dyDescent="0.25">
      <c r="A3873"/>
      <c r="B3873"/>
    </row>
    <row r="3874" spans="1:2" x14ac:dyDescent="0.25">
      <c r="A3874"/>
      <c r="B3874"/>
    </row>
    <row r="3875" spans="1:2" x14ac:dyDescent="0.25">
      <c r="A3875"/>
      <c r="B3875"/>
    </row>
    <row r="3876" spans="1:2" x14ac:dyDescent="0.25">
      <c r="A3876"/>
      <c r="B3876"/>
    </row>
    <row r="3877" spans="1:2" x14ac:dyDescent="0.25">
      <c r="A3877"/>
      <c r="B3877"/>
    </row>
    <row r="3878" spans="1:2" x14ac:dyDescent="0.25">
      <c r="A3878"/>
      <c r="B3878"/>
    </row>
    <row r="3879" spans="1:2" x14ac:dyDescent="0.25">
      <c r="A3879"/>
      <c r="B3879"/>
    </row>
    <row r="3880" spans="1:2" x14ac:dyDescent="0.25">
      <c r="A3880"/>
      <c r="B3880"/>
    </row>
    <row r="3881" spans="1:2" x14ac:dyDescent="0.25">
      <c r="A3881"/>
      <c r="B3881"/>
    </row>
    <row r="3882" spans="1:2" x14ac:dyDescent="0.25">
      <c r="A3882"/>
      <c r="B3882"/>
    </row>
    <row r="3883" spans="1:2" x14ac:dyDescent="0.25">
      <c r="A3883"/>
      <c r="B3883"/>
    </row>
    <row r="3884" spans="1:2" x14ac:dyDescent="0.25">
      <c r="A3884"/>
      <c r="B3884"/>
    </row>
    <row r="3885" spans="1:2" x14ac:dyDescent="0.25">
      <c r="A3885"/>
      <c r="B3885"/>
    </row>
    <row r="3886" spans="1:2" x14ac:dyDescent="0.25">
      <c r="A3886"/>
      <c r="B3886"/>
    </row>
    <row r="3887" spans="1:2" x14ac:dyDescent="0.25">
      <c r="A3887"/>
      <c r="B3887"/>
    </row>
    <row r="3888" spans="1:2" x14ac:dyDescent="0.25">
      <c r="A3888"/>
      <c r="B3888"/>
    </row>
    <row r="3889" spans="1:2" x14ac:dyDescent="0.25">
      <c r="A3889"/>
      <c r="B3889"/>
    </row>
    <row r="3890" spans="1:2" x14ac:dyDescent="0.25">
      <c r="A3890"/>
      <c r="B3890"/>
    </row>
    <row r="3891" spans="1:2" x14ac:dyDescent="0.25">
      <c r="A3891"/>
      <c r="B3891"/>
    </row>
    <row r="3892" spans="1:2" x14ac:dyDescent="0.25">
      <c r="A3892"/>
      <c r="B3892"/>
    </row>
    <row r="3893" spans="1:2" x14ac:dyDescent="0.25">
      <c r="A3893"/>
      <c r="B3893"/>
    </row>
    <row r="3894" spans="1:2" x14ac:dyDescent="0.25">
      <c r="A3894"/>
      <c r="B3894"/>
    </row>
    <row r="3895" spans="1:2" x14ac:dyDescent="0.25">
      <c r="A3895"/>
      <c r="B3895"/>
    </row>
    <row r="3896" spans="1:2" x14ac:dyDescent="0.25">
      <c r="A3896"/>
      <c r="B3896"/>
    </row>
    <row r="3897" spans="1:2" x14ac:dyDescent="0.25">
      <c r="A3897"/>
      <c r="B3897"/>
    </row>
    <row r="3898" spans="1:2" x14ac:dyDescent="0.25">
      <c r="A3898"/>
      <c r="B3898"/>
    </row>
    <row r="3899" spans="1:2" x14ac:dyDescent="0.25">
      <c r="A3899"/>
      <c r="B3899"/>
    </row>
    <row r="3900" spans="1:2" x14ac:dyDescent="0.25">
      <c r="A3900"/>
      <c r="B3900"/>
    </row>
    <row r="3901" spans="1:2" x14ac:dyDescent="0.25">
      <c r="A3901"/>
      <c r="B3901"/>
    </row>
    <row r="3902" spans="1:2" x14ac:dyDescent="0.25">
      <c r="A3902"/>
      <c r="B3902"/>
    </row>
    <row r="3903" spans="1:2" x14ac:dyDescent="0.25">
      <c r="A3903"/>
      <c r="B3903"/>
    </row>
    <row r="3904" spans="1:2" x14ac:dyDescent="0.25">
      <c r="A3904"/>
      <c r="B3904"/>
    </row>
    <row r="3905" spans="1:2" x14ac:dyDescent="0.25">
      <c r="A3905"/>
      <c r="B3905"/>
    </row>
    <row r="3906" spans="1:2" x14ac:dyDescent="0.25">
      <c r="A3906"/>
      <c r="B3906"/>
    </row>
    <row r="3907" spans="1:2" x14ac:dyDescent="0.25">
      <c r="A3907"/>
      <c r="B3907"/>
    </row>
    <row r="3908" spans="1:2" x14ac:dyDescent="0.25">
      <c r="A3908"/>
      <c r="B3908"/>
    </row>
    <row r="3909" spans="1:2" x14ac:dyDescent="0.25">
      <c r="A3909"/>
      <c r="B3909"/>
    </row>
    <row r="3910" spans="1:2" x14ac:dyDescent="0.25">
      <c r="A3910"/>
      <c r="B3910"/>
    </row>
    <row r="3911" spans="1:2" x14ac:dyDescent="0.25">
      <c r="A3911"/>
      <c r="B3911"/>
    </row>
    <row r="3912" spans="1:2" x14ac:dyDescent="0.25">
      <c r="A3912"/>
      <c r="B3912"/>
    </row>
    <row r="3913" spans="1:2" x14ac:dyDescent="0.25">
      <c r="A3913"/>
      <c r="B3913"/>
    </row>
    <row r="3914" spans="1:2" x14ac:dyDescent="0.25">
      <c r="A3914"/>
      <c r="B3914"/>
    </row>
    <row r="3915" spans="1:2" x14ac:dyDescent="0.25">
      <c r="A3915"/>
      <c r="B3915"/>
    </row>
    <row r="3916" spans="1:2" x14ac:dyDescent="0.25">
      <c r="A3916"/>
      <c r="B3916"/>
    </row>
    <row r="3917" spans="1:2" x14ac:dyDescent="0.25">
      <c r="A3917"/>
      <c r="B3917"/>
    </row>
    <row r="3918" spans="1:2" x14ac:dyDescent="0.25">
      <c r="A3918"/>
      <c r="B3918"/>
    </row>
    <row r="3919" spans="1:2" x14ac:dyDescent="0.25">
      <c r="A3919"/>
      <c r="B3919"/>
    </row>
    <row r="3920" spans="1:2" x14ac:dyDescent="0.25">
      <c r="A3920"/>
      <c r="B3920"/>
    </row>
    <row r="3921" spans="1:2" x14ac:dyDescent="0.25">
      <c r="A3921"/>
      <c r="B3921"/>
    </row>
    <row r="3922" spans="1:2" x14ac:dyDescent="0.25">
      <c r="A3922"/>
      <c r="B3922"/>
    </row>
    <row r="3923" spans="1:2" x14ac:dyDescent="0.25">
      <c r="A3923"/>
      <c r="B3923"/>
    </row>
    <row r="3924" spans="1:2" x14ac:dyDescent="0.25">
      <c r="A3924"/>
      <c r="B3924"/>
    </row>
    <row r="3925" spans="1:2" x14ac:dyDescent="0.25">
      <c r="A3925"/>
      <c r="B3925"/>
    </row>
    <row r="3926" spans="1:2" x14ac:dyDescent="0.25">
      <c r="A3926"/>
      <c r="B3926"/>
    </row>
    <row r="3927" spans="1:2" x14ac:dyDescent="0.25">
      <c r="A3927"/>
      <c r="B3927"/>
    </row>
    <row r="3928" spans="1:2" x14ac:dyDescent="0.25">
      <c r="A3928"/>
      <c r="B3928"/>
    </row>
    <row r="3929" spans="1:2" x14ac:dyDescent="0.25">
      <c r="A3929"/>
      <c r="B3929"/>
    </row>
    <row r="3930" spans="1:2" x14ac:dyDescent="0.25">
      <c r="A3930"/>
      <c r="B3930"/>
    </row>
    <row r="3931" spans="1:2" x14ac:dyDescent="0.25">
      <c r="A3931"/>
      <c r="B3931"/>
    </row>
    <row r="3932" spans="1:2" x14ac:dyDescent="0.25">
      <c r="A3932"/>
      <c r="B3932"/>
    </row>
    <row r="3933" spans="1:2" x14ac:dyDescent="0.25">
      <c r="A3933"/>
      <c r="B3933"/>
    </row>
    <row r="3934" spans="1:2" x14ac:dyDescent="0.25">
      <c r="A3934"/>
      <c r="B3934"/>
    </row>
    <row r="3935" spans="1:2" x14ac:dyDescent="0.25">
      <c r="A3935"/>
      <c r="B3935"/>
    </row>
    <row r="3936" spans="1:2" x14ac:dyDescent="0.25">
      <c r="A3936"/>
      <c r="B3936"/>
    </row>
    <row r="3937" spans="1:2" x14ac:dyDescent="0.25">
      <c r="A3937"/>
      <c r="B3937"/>
    </row>
    <row r="3938" spans="1:2" x14ac:dyDescent="0.25">
      <c r="A3938"/>
      <c r="B3938"/>
    </row>
    <row r="3939" spans="1:2" x14ac:dyDescent="0.25">
      <c r="A3939"/>
      <c r="B3939"/>
    </row>
    <row r="3940" spans="1:2" x14ac:dyDescent="0.25">
      <c r="A3940"/>
      <c r="B3940"/>
    </row>
    <row r="3941" spans="1:2" x14ac:dyDescent="0.25">
      <c r="A3941"/>
      <c r="B3941"/>
    </row>
    <row r="3942" spans="1:2" x14ac:dyDescent="0.25">
      <c r="A3942"/>
      <c r="B3942"/>
    </row>
    <row r="3943" spans="1:2" x14ac:dyDescent="0.25">
      <c r="A3943"/>
      <c r="B3943"/>
    </row>
    <row r="3944" spans="1:2" x14ac:dyDescent="0.25">
      <c r="A3944"/>
      <c r="B3944"/>
    </row>
    <row r="3945" spans="1:2" x14ac:dyDescent="0.25">
      <c r="A3945"/>
      <c r="B3945"/>
    </row>
    <row r="3946" spans="1:2" x14ac:dyDescent="0.25">
      <c r="A3946"/>
      <c r="B3946"/>
    </row>
    <row r="3947" spans="1:2" x14ac:dyDescent="0.25">
      <c r="A3947"/>
      <c r="B3947"/>
    </row>
    <row r="3948" spans="1:2" x14ac:dyDescent="0.25">
      <c r="A3948"/>
      <c r="B3948"/>
    </row>
    <row r="3949" spans="1:2" x14ac:dyDescent="0.25">
      <c r="A3949"/>
      <c r="B3949"/>
    </row>
    <row r="3950" spans="1:2" x14ac:dyDescent="0.25">
      <c r="A3950"/>
      <c r="B3950"/>
    </row>
    <row r="3951" spans="1:2" x14ac:dyDescent="0.25">
      <c r="A3951"/>
      <c r="B3951"/>
    </row>
    <row r="3952" spans="1:2" x14ac:dyDescent="0.25">
      <c r="A3952"/>
      <c r="B3952"/>
    </row>
    <row r="3953" spans="1:2" x14ac:dyDescent="0.25">
      <c r="A3953"/>
      <c r="B3953"/>
    </row>
    <row r="3954" spans="1:2" x14ac:dyDescent="0.25">
      <c r="A3954"/>
      <c r="B3954"/>
    </row>
    <row r="3955" spans="1:2" x14ac:dyDescent="0.25">
      <c r="A3955"/>
      <c r="B3955"/>
    </row>
    <row r="3956" spans="1:2" x14ac:dyDescent="0.25">
      <c r="A3956"/>
      <c r="B3956"/>
    </row>
    <row r="3957" spans="1:2" x14ac:dyDescent="0.25">
      <c r="A3957"/>
      <c r="B3957"/>
    </row>
    <row r="3958" spans="1:2" x14ac:dyDescent="0.25">
      <c r="A3958"/>
      <c r="B3958"/>
    </row>
    <row r="3959" spans="1:2" x14ac:dyDescent="0.25">
      <c r="A3959"/>
      <c r="B3959"/>
    </row>
    <row r="3960" spans="1:2" x14ac:dyDescent="0.25">
      <c r="A3960"/>
      <c r="B3960"/>
    </row>
    <row r="3961" spans="1:2" x14ac:dyDescent="0.25">
      <c r="A3961"/>
      <c r="B3961"/>
    </row>
    <row r="3962" spans="1:2" x14ac:dyDescent="0.25">
      <c r="A3962"/>
      <c r="B3962"/>
    </row>
    <row r="3963" spans="1:2" x14ac:dyDescent="0.25">
      <c r="A3963"/>
      <c r="B3963"/>
    </row>
    <row r="3964" spans="1:2" x14ac:dyDescent="0.25">
      <c r="A3964"/>
      <c r="B3964"/>
    </row>
    <row r="3965" spans="1:2" x14ac:dyDescent="0.25">
      <c r="A3965"/>
      <c r="B3965"/>
    </row>
    <row r="3966" spans="1:2" x14ac:dyDescent="0.25">
      <c r="A3966"/>
      <c r="B3966"/>
    </row>
    <row r="3967" spans="1:2" x14ac:dyDescent="0.25">
      <c r="A3967"/>
      <c r="B3967"/>
    </row>
    <row r="3968" spans="1:2" x14ac:dyDescent="0.25">
      <c r="A3968"/>
      <c r="B3968"/>
    </row>
    <row r="3969" spans="1:2" x14ac:dyDescent="0.25">
      <c r="A3969"/>
      <c r="B3969"/>
    </row>
    <row r="3970" spans="1:2" x14ac:dyDescent="0.25">
      <c r="A3970"/>
      <c r="B3970"/>
    </row>
    <row r="3971" spans="1:2" x14ac:dyDescent="0.25">
      <c r="A3971"/>
      <c r="B3971"/>
    </row>
    <row r="3972" spans="1:2" x14ac:dyDescent="0.25">
      <c r="A3972"/>
      <c r="B3972"/>
    </row>
    <row r="3973" spans="1:2" x14ac:dyDescent="0.25">
      <c r="A3973"/>
      <c r="B3973"/>
    </row>
    <row r="3974" spans="1:2" x14ac:dyDescent="0.25">
      <c r="A3974"/>
      <c r="B3974"/>
    </row>
    <row r="3975" spans="1:2" x14ac:dyDescent="0.25">
      <c r="A3975"/>
      <c r="B3975"/>
    </row>
    <row r="3976" spans="1:2" x14ac:dyDescent="0.25">
      <c r="A3976"/>
      <c r="B3976"/>
    </row>
    <row r="3977" spans="1:2" x14ac:dyDescent="0.25">
      <c r="A3977"/>
      <c r="B3977"/>
    </row>
    <row r="3978" spans="1:2" x14ac:dyDescent="0.25">
      <c r="A3978"/>
      <c r="B3978"/>
    </row>
    <row r="3979" spans="1:2" x14ac:dyDescent="0.25">
      <c r="A3979"/>
      <c r="B3979"/>
    </row>
    <row r="3980" spans="1:2" x14ac:dyDescent="0.25">
      <c r="A3980"/>
      <c r="B3980"/>
    </row>
    <row r="3981" spans="1:2" x14ac:dyDescent="0.25">
      <c r="A3981"/>
      <c r="B3981"/>
    </row>
    <row r="3982" spans="1:2" x14ac:dyDescent="0.25">
      <c r="A3982"/>
      <c r="B3982"/>
    </row>
    <row r="3983" spans="1:2" x14ac:dyDescent="0.25">
      <c r="A3983"/>
      <c r="B3983"/>
    </row>
    <row r="3984" spans="1:2" x14ac:dyDescent="0.25">
      <c r="A3984"/>
      <c r="B3984"/>
    </row>
    <row r="3985" spans="1:2" x14ac:dyDescent="0.25">
      <c r="A3985"/>
      <c r="B3985"/>
    </row>
    <row r="3986" spans="1:2" x14ac:dyDescent="0.25">
      <c r="A3986"/>
      <c r="B3986"/>
    </row>
    <row r="3987" spans="1:2" x14ac:dyDescent="0.25">
      <c r="A3987"/>
      <c r="B3987"/>
    </row>
    <row r="3988" spans="1:2" x14ac:dyDescent="0.25">
      <c r="A3988"/>
      <c r="B3988"/>
    </row>
    <row r="3989" spans="1:2" x14ac:dyDescent="0.25">
      <c r="A3989"/>
      <c r="B3989"/>
    </row>
    <row r="3990" spans="1:2" x14ac:dyDescent="0.25">
      <c r="A3990"/>
      <c r="B3990"/>
    </row>
    <row r="3991" spans="1:2" x14ac:dyDescent="0.25">
      <c r="A3991"/>
      <c r="B3991"/>
    </row>
    <row r="3992" spans="1:2" x14ac:dyDescent="0.25">
      <c r="A3992"/>
      <c r="B3992"/>
    </row>
    <row r="3993" spans="1:2" x14ac:dyDescent="0.25">
      <c r="A3993"/>
      <c r="B3993"/>
    </row>
    <row r="3994" spans="1:2" x14ac:dyDescent="0.25">
      <c r="A3994"/>
      <c r="B3994"/>
    </row>
    <row r="3995" spans="1:2" x14ac:dyDescent="0.25">
      <c r="A3995"/>
      <c r="B3995"/>
    </row>
    <row r="3996" spans="1:2" x14ac:dyDescent="0.25">
      <c r="A3996"/>
      <c r="B3996"/>
    </row>
    <row r="3997" spans="1:2" x14ac:dyDescent="0.25">
      <c r="A3997"/>
      <c r="B3997"/>
    </row>
    <row r="3998" spans="1:2" x14ac:dyDescent="0.25">
      <c r="A3998"/>
      <c r="B3998"/>
    </row>
    <row r="3999" spans="1:2" x14ac:dyDescent="0.25">
      <c r="A3999"/>
      <c r="B3999"/>
    </row>
    <row r="4000" spans="1:2" x14ac:dyDescent="0.25">
      <c r="A4000"/>
      <c r="B4000"/>
    </row>
    <row r="4001" spans="1:2" x14ac:dyDescent="0.25">
      <c r="A4001"/>
      <c r="B4001"/>
    </row>
    <row r="4002" spans="1:2" x14ac:dyDescent="0.25">
      <c r="A4002"/>
      <c r="B4002"/>
    </row>
    <row r="4003" spans="1:2" x14ac:dyDescent="0.25">
      <c r="A4003"/>
      <c r="B4003"/>
    </row>
    <row r="4004" spans="1:2" x14ac:dyDescent="0.25">
      <c r="A4004"/>
      <c r="B4004"/>
    </row>
    <row r="4005" spans="1:2" x14ac:dyDescent="0.25">
      <c r="A4005"/>
      <c r="B4005"/>
    </row>
    <row r="4006" spans="1:2" x14ac:dyDescent="0.25">
      <c r="A4006"/>
      <c r="B4006"/>
    </row>
    <row r="4007" spans="1:2" x14ac:dyDescent="0.25">
      <c r="A4007"/>
      <c r="B4007"/>
    </row>
    <row r="4008" spans="1:2" x14ac:dyDescent="0.25">
      <c r="A4008"/>
      <c r="B4008"/>
    </row>
    <row r="4009" spans="1:2" x14ac:dyDescent="0.25">
      <c r="A4009"/>
      <c r="B4009"/>
    </row>
    <row r="4010" spans="1:2" x14ac:dyDescent="0.25">
      <c r="A4010"/>
      <c r="B4010"/>
    </row>
    <row r="4011" spans="1:2" x14ac:dyDescent="0.25">
      <c r="A4011"/>
      <c r="B4011"/>
    </row>
    <row r="4012" spans="1:2" x14ac:dyDescent="0.25">
      <c r="A4012"/>
      <c r="B4012"/>
    </row>
    <row r="4013" spans="1:2" x14ac:dyDescent="0.25">
      <c r="A4013"/>
      <c r="B4013"/>
    </row>
    <row r="4014" spans="1:2" x14ac:dyDescent="0.25">
      <c r="A4014"/>
      <c r="B4014"/>
    </row>
    <row r="4015" spans="1:2" x14ac:dyDescent="0.25">
      <c r="A4015"/>
      <c r="B4015"/>
    </row>
    <row r="4016" spans="1:2" x14ac:dyDescent="0.25">
      <c r="A4016"/>
      <c r="B4016"/>
    </row>
    <row r="4017" spans="1:2" x14ac:dyDescent="0.25">
      <c r="A4017"/>
      <c r="B4017"/>
    </row>
    <row r="4018" spans="1:2" x14ac:dyDescent="0.25">
      <c r="A4018"/>
      <c r="B4018"/>
    </row>
    <row r="4019" spans="1:2" x14ac:dyDescent="0.25">
      <c r="A4019"/>
      <c r="B4019"/>
    </row>
    <row r="4020" spans="1:2" x14ac:dyDescent="0.25">
      <c r="A4020"/>
      <c r="B4020"/>
    </row>
    <row r="4021" spans="1:2" x14ac:dyDescent="0.25">
      <c r="A4021"/>
      <c r="B4021"/>
    </row>
    <row r="4022" spans="1:2" x14ac:dyDescent="0.25">
      <c r="A4022"/>
      <c r="B4022"/>
    </row>
    <row r="4023" spans="1:2" x14ac:dyDescent="0.25">
      <c r="A4023"/>
      <c r="B4023"/>
    </row>
    <row r="4024" spans="1:2" x14ac:dyDescent="0.25">
      <c r="A4024"/>
      <c r="B4024"/>
    </row>
    <row r="4025" spans="1:2" x14ac:dyDescent="0.25">
      <c r="A4025"/>
      <c r="B4025"/>
    </row>
    <row r="4026" spans="1:2" x14ac:dyDescent="0.25">
      <c r="A4026"/>
      <c r="B4026"/>
    </row>
    <row r="4027" spans="1:2" x14ac:dyDescent="0.25">
      <c r="A4027"/>
      <c r="B4027"/>
    </row>
    <row r="4028" spans="1:2" x14ac:dyDescent="0.25">
      <c r="A4028"/>
      <c r="B4028"/>
    </row>
    <row r="4029" spans="1:2" x14ac:dyDescent="0.25">
      <c r="A4029"/>
      <c r="B4029"/>
    </row>
    <row r="4030" spans="1:2" x14ac:dyDescent="0.25">
      <c r="A4030"/>
      <c r="B4030"/>
    </row>
    <row r="4031" spans="1:2" x14ac:dyDescent="0.25">
      <c r="A4031"/>
      <c r="B4031"/>
    </row>
    <row r="4032" spans="1:2" x14ac:dyDescent="0.25">
      <c r="A4032"/>
      <c r="B4032"/>
    </row>
    <row r="4033" spans="1:2" x14ac:dyDescent="0.25">
      <c r="A4033"/>
      <c r="B4033"/>
    </row>
    <row r="4034" spans="1:2" x14ac:dyDescent="0.25">
      <c r="A4034"/>
      <c r="B4034"/>
    </row>
    <row r="4035" spans="1:2" x14ac:dyDescent="0.25">
      <c r="A4035"/>
      <c r="B4035"/>
    </row>
    <row r="4036" spans="1:2" x14ac:dyDescent="0.25">
      <c r="A4036"/>
      <c r="B4036"/>
    </row>
    <row r="4037" spans="1:2" x14ac:dyDescent="0.25">
      <c r="A4037"/>
      <c r="B4037"/>
    </row>
    <row r="4038" spans="1:2" x14ac:dyDescent="0.25">
      <c r="A4038"/>
      <c r="B4038"/>
    </row>
    <row r="4039" spans="1:2" x14ac:dyDescent="0.25">
      <c r="A4039"/>
      <c r="B4039"/>
    </row>
    <row r="4040" spans="1:2" x14ac:dyDescent="0.25">
      <c r="A4040"/>
      <c r="B4040"/>
    </row>
    <row r="4041" spans="1:2" x14ac:dyDescent="0.25">
      <c r="A4041"/>
      <c r="B4041"/>
    </row>
    <row r="4042" spans="1:2" x14ac:dyDescent="0.25">
      <c r="A4042"/>
      <c r="B4042"/>
    </row>
    <row r="4043" spans="1:2" x14ac:dyDescent="0.25">
      <c r="A4043"/>
      <c r="B4043"/>
    </row>
    <row r="4044" spans="1:2" x14ac:dyDescent="0.25">
      <c r="A4044"/>
      <c r="B4044"/>
    </row>
    <row r="4045" spans="1:2" x14ac:dyDescent="0.25">
      <c r="A4045"/>
      <c r="B4045"/>
    </row>
    <row r="4046" spans="1:2" x14ac:dyDescent="0.25">
      <c r="A4046"/>
      <c r="B4046"/>
    </row>
    <row r="4047" spans="1:2" x14ac:dyDescent="0.25">
      <c r="A4047"/>
      <c r="B4047"/>
    </row>
    <row r="4048" spans="1:2" x14ac:dyDescent="0.25">
      <c r="A4048"/>
      <c r="B4048"/>
    </row>
    <row r="4049" spans="1:2" x14ac:dyDescent="0.25">
      <c r="A4049"/>
      <c r="B4049"/>
    </row>
    <row r="4050" spans="1:2" x14ac:dyDescent="0.25">
      <c r="A4050"/>
      <c r="B4050"/>
    </row>
    <row r="4051" spans="1:2" x14ac:dyDescent="0.25">
      <c r="A4051"/>
      <c r="B4051"/>
    </row>
    <row r="4052" spans="1:2" x14ac:dyDescent="0.25">
      <c r="A4052"/>
      <c r="B4052"/>
    </row>
    <row r="4053" spans="1:2" x14ac:dyDescent="0.25">
      <c r="A4053"/>
      <c r="B4053"/>
    </row>
    <row r="4054" spans="1:2" x14ac:dyDescent="0.25">
      <c r="A4054"/>
      <c r="B4054"/>
    </row>
    <row r="4055" spans="1:2" x14ac:dyDescent="0.25">
      <c r="A4055"/>
      <c r="B4055"/>
    </row>
    <row r="4056" spans="1:2" x14ac:dyDescent="0.25">
      <c r="A4056"/>
      <c r="B4056"/>
    </row>
    <row r="4057" spans="1:2" x14ac:dyDescent="0.25">
      <c r="A4057"/>
      <c r="B4057"/>
    </row>
    <row r="4058" spans="1:2" x14ac:dyDescent="0.25">
      <c r="A4058"/>
      <c r="B4058"/>
    </row>
    <row r="4059" spans="1:2" x14ac:dyDescent="0.25">
      <c r="A4059"/>
      <c r="B4059"/>
    </row>
    <row r="4060" spans="1:2" x14ac:dyDescent="0.25">
      <c r="A4060"/>
      <c r="B4060"/>
    </row>
    <row r="4061" spans="1:2" x14ac:dyDescent="0.25">
      <c r="A4061"/>
      <c r="B4061"/>
    </row>
    <row r="4062" spans="1:2" x14ac:dyDescent="0.25">
      <c r="A4062"/>
      <c r="B4062"/>
    </row>
    <row r="4063" spans="1:2" x14ac:dyDescent="0.25">
      <c r="A4063"/>
      <c r="B4063"/>
    </row>
    <row r="4064" spans="1:2" x14ac:dyDescent="0.25">
      <c r="A4064"/>
      <c r="B4064"/>
    </row>
    <row r="4065" spans="1:2" x14ac:dyDescent="0.25">
      <c r="A4065"/>
      <c r="B4065"/>
    </row>
    <row r="4066" spans="1:2" x14ac:dyDescent="0.25">
      <c r="A4066"/>
      <c r="B4066"/>
    </row>
    <row r="4067" spans="1:2" x14ac:dyDescent="0.25">
      <c r="A4067"/>
      <c r="B4067"/>
    </row>
    <row r="4068" spans="1:2" x14ac:dyDescent="0.25">
      <c r="A4068"/>
      <c r="B4068"/>
    </row>
    <row r="4069" spans="1:2" x14ac:dyDescent="0.25">
      <c r="A4069"/>
      <c r="B4069"/>
    </row>
    <row r="4070" spans="1:2" x14ac:dyDescent="0.25">
      <c r="A4070"/>
      <c r="B4070"/>
    </row>
    <row r="4071" spans="1:2" x14ac:dyDescent="0.25">
      <c r="A4071"/>
      <c r="B4071"/>
    </row>
    <row r="4072" spans="1:2" x14ac:dyDescent="0.25">
      <c r="A4072"/>
      <c r="B4072"/>
    </row>
    <row r="4073" spans="1:2" x14ac:dyDescent="0.25">
      <c r="A4073"/>
      <c r="B4073"/>
    </row>
    <row r="4074" spans="1:2" x14ac:dyDescent="0.25">
      <c r="A4074"/>
      <c r="B4074"/>
    </row>
    <row r="4075" spans="1:2" x14ac:dyDescent="0.25">
      <c r="A4075"/>
      <c r="B4075"/>
    </row>
    <row r="4076" spans="1:2" x14ac:dyDescent="0.25">
      <c r="A4076"/>
      <c r="B4076"/>
    </row>
    <row r="4077" spans="1:2" x14ac:dyDescent="0.25">
      <c r="A4077"/>
      <c r="B4077"/>
    </row>
    <row r="4078" spans="1:2" x14ac:dyDescent="0.25">
      <c r="A4078"/>
      <c r="B4078"/>
    </row>
    <row r="4079" spans="1:2" x14ac:dyDescent="0.25">
      <c r="A4079"/>
      <c r="B4079"/>
    </row>
    <row r="4080" spans="1:2" x14ac:dyDescent="0.25">
      <c r="A4080"/>
      <c r="B4080"/>
    </row>
    <row r="4081" spans="1:2" x14ac:dyDescent="0.25">
      <c r="A4081"/>
      <c r="B4081"/>
    </row>
    <row r="4082" spans="1:2" x14ac:dyDescent="0.25">
      <c r="A4082"/>
      <c r="B4082"/>
    </row>
    <row r="4083" spans="1:2" x14ac:dyDescent="0.25">
      <c r="A4083"/>
      <c r="B4083"/>
    </row>
    <row r="4084" spans="1:2" x14ac:dyDescent="0.25">
      <c r="A4084"/>
      <c r="B4084"/>
    </row>
    <row r="4085" spans="1:2" x14ac:dyDescent="0.25">
      <c r="A4085"/>
      <c r="B4085"/>
    </row>
    <row r="4086" spans="1:2" x14ac:dyDescent="0.25">
      <c r="A4086"/>
      <c r="B4086"/>
    </row>
    <row r="4087" spans="1:2" x14ac:dyDescent="0.25">
      <c r="A4087"/>
      <c r="B4087"/>
    </row>
    <row r="4088" spans="1:2" x14ac:dyDescent="0.25">
      <c r="A4088"/>
      <c r="B4088"/>
    </row>
    <row r="4089" spans="1:2" x14ac:dyDescent="0.25">
      <c r="A4089"/>
      <c r="B4089"/>
    </row>
    <row r="4090" spans="1:2" x14ac:dyDescent="0.25">
      <c r="A4090"/>
      <c r="B4090"/>
    </row>
    <row r="4091" spans="1:2" x14ac:dyDescent="0.25">
      <c r="A4091"/>
      <c r="B4091"/>
    </row>
    <row r="4092" spans="1:2" x14ac:dyDescent="0.25">
      <c r="A4092"/>
      <c r="B4092"/>
    </row>
    <row r="4093" spans="1:2" x14ac:dyDescent="0.25">
      <c r="A4093"/>
      <c r="B4093"/>
    </row>
    <row r="4094" spans="1:2" x14ac:dyDescent="0.25">
      <c r="A4094"/>
      <c r="B4094"/>
    </row>
    <row r="4095" spans="1:2" x14ac:dyDescent="0.25">
      <c r="A4095"/>
      <c r="B4095"/>
    </row>
    <row r="4096" spans="1:2" x14ac:dyDescent="0.25">
      <c r="A4096"/>
      <c r="B4096"/>
    </row>
    <row r="4097" spans="1:2" x14ac:dyDescent="0.25">
      <c r="A4097"/>
      <c r="B4097"/>
    </row>
    <row r="4098" spans="1:2" x14ac:dyDescent="0.25">
      <c r="A4098"/>
      <c r="B4098"/>
    </row>
    <row r="4099" spans="1:2" x14ac:dyDescent="0.25">
      <c r="A4099"/>
      <c r="B4099"/>
    </row>
    <row r="4100" spans="1:2" x14ac:dyDescent="0.25">
      <c r="A4100"/>
      <c r="B4100"/>
    </row>
    <row r="4101" spans="1:2" x14ac:dyDescent="0.25">
      <c r="A4101"/>
      <c r="B4101"/>
    </row>
    <row r="4102" spans="1:2" x14ac:dyDescent="0.25">
      <c r="A4102"/>
      <c r="B4102"/>
    </row>
    <row r="4103" spans="1:2" x14ac:dyDescent="0.25">
      <c r="A4103"/>
      <c r="B4103"/>
    </row>
    <row r="4104" spans="1:2" x14ac:dyDescent="0.25">
      <c r="A4104"/>
      <c r="B4104"/>
    </row>
    <row r="4105" spans="1:2" x14ac:dyDescent="0.25">
      <c r="A4105"/>
      <c r="B4105"/>
    </row>
    <row r="4106" spans="1:2" x14ac:dyDescent="0.25">
      <c r="A4106"/>
      <c r="B4106"/>
    </row>
    <row r="4107" spans="1:2" x14ac:dyDescent="0.25">
      <c r="A4107"/>
      <c r="B4107"/>
    </row>
    <row r="4108" spans="1:2" x14ac:dyDescent="0.25">
      <c r="A4108"/>
      <c r="B4108"/>
    </row>
    <row r="4109" spans="1:2" x14ac:dyDescent="0.25">
      <c r="A4109"/>
      <c r="B4109"/>
    </row>
    <row r="4110" spans="1:2" x14ac:dyDescent="0.25">
      <c r="A4110"/>
      <c r="B4110"/>
    </row>
    <row r="4111" spans="1:2" x14ac:dyDescent="0.25">
      <c r="A4111"/>
      <c r="B4111"/>
    </row>
    <row r="4112" spans="1:2" x14ac:dyDescent="0.25">
      <c r="A4112"/>
      <c r="B4112"/>
    </row>
    <row r="4113" spans="1:2" x14ac:dyDescent="0.25">
      <c r="A4113"/>
      <c r="B4113"/>
    </row>
    <row r="4114" spans="1:2" x14ac:dyDescent="0.25">
      <c r="A4114"/>
      <c r="B4114"/>
    </row>
    <row r="4115" spans="1:2" x14ac:dyDescent="0.25">
      <c r="A4115"/>
      <c r="B4115"/>
    </row>
    <row r="4116" spans="1:2" x14ac:dyDescent="0.25">
      <c r="A4116"/>
      <c r="B4116"/>
    </row>
    <row r="4117" spans="1:2" x14ac:dyDescent="0.25">
      <c r="A4117"/>
      <c r="B4117"/>
    </row>
    <row r="4118" spans="1:2" x14ac:dyDescent="0.25">
      <c r="A4118"/>
      <c r="B4118"/>
    </row>
    <row r="4119" spans="1:2" x14ac:dyDescent="0.25">
      <c r="A4119"/>
      <c r="B4119"/>
    </row>
    <row r="4120" spans="1:2" x14ac:dyDescent="0.25">
      <c r="A4120"/>
      <c r="B4120"/>
    </row>
    <row r="4121" spans="1:2" x14ac:dyDescent="0.25">
      <c r="A4121"/>
      <c r="B4121"/>
    </row>
    <row r="4122" spans="1:2" x14ac:dyDescent="0.25">
      <c r="A4122"/>
      <c r="B4122"/>
    </row>
    <row r="4123" spans="1:2" x14ac:dyDescent="0.25">
      <c r="A4123"/>
      <c r="B4123"/>
    </row>
    <row r="4124" spans="1:2" x14ac:dyDescent="0.25">
      <c r="A4124"/>
      <c r="B4124"/>
    </row>
    <row r="4125" spans="1:2" x14ac:dyDescent="0.25">
      <c r="A4125"/>
      <c r="B4125"/>
    </row>
    <row r="4126" spans="1:2" x14ac:dyDescent="0.25">
      <c r="A4126"/>
      <c r="B4126"/>
    </row>
    <row r="4127" spans="1:2" x14ac:dyDescent="0.25">
      <c r="A4127"/>
      <c r="B4127"/>
    </row>
    <row r="4128" spans="1:2" x14ac:dyDescent="0.25">
      <c r="A4128"/>
      <c r="B4128"/>
    </row>
    <row r="4129" spans="1:2" x14ac:dyDescent="0.25">
      <c r="A4129"/>
      <c r="B4129"/>
    </row>
    <row r="4130" spans="1:2" x14ac:dyDescent="0.25">
      <c r="A4130"/>
      <c r="B4130"/>
    </row>
    <row r="4131" spans="1:2" x14ac:dyDescent="0.25">
      <c r="A4131"/>
      <c r="B4131"/>
    </row>
    <row r="4132" spans="1:2" x14ac:dyDescent="0.25">
      <c r="A4132"/>
      <c r="B4132"/>
    </row>
    <row r="4133" spans="1:2" x14ac:dyDescent="0.25">
      <c r="A4133"/>
      <c r="B4133"/>
    </row>
    <row r="4134" spans="1:2" x14ac:dyDescent="0.25">
      <c r="A4134"/>
      <c r="B4134"/>
    </row>
    <row r="4135" spans="1:2" x14ac:dyDescent="0.25">
      <c r="A4135"/>
      <c r="B4135"/>
    </row>
    <row r="4136" spans="1:2" x14ac:dyDescent="0.25">
      <c r="A4136"/>
      <c r="B4136"/>
    </row>
    <row r="4137" spans="1:2" x14ac:dyDescent="0.25">
      <c r="A4137"/>
      <c r="B4137"/>
    </row>
    <row r="4138" spans="1:2" x14ac:dyDescent="0.25">
      <c r="A4138"/>
      <c r="B4138"/>
    </row>
    <row r="4139" spans="1:2" x14ac:dyDescent="0.25">
      <c r="A4139"/>
      <c r="B4139"/>
    </row>
    <row r="4140" spans="1:2" x14ac:dyDescent="0.25">
      <c r="A4140"/>
      <c r="B4140"/>
    </row>
    <row r="4141" spans="1:2" x14ac:dyDescent="0.25">
      <c r="A4141"/>
      <c r="B4141"/>
    </row>
    <row r="4142" spans="1:2" x14ac:dyDescent="0.25">
      <c r="A4142"/>
      <c r="B4142"/>
    </row>
    <row r="4143" spans="1:2" x14ac:dyDescent="0.25">
      <c r="A4143"/>
      <c r="B4143"/>
    </row>
    <row r="4144" spans="1:2" x14ac:dyDescent="0.25">
      <c r="A4144"/>
      <c r="B4144"/>
    </row>
    <row r="4145" spans="1:2" x14ac:dyDescent="0.25">
      <c r="A4145"/>
      <c r="B4145"/>
    </row>
    <row r="4146" spans="1:2" x14ac:dyDescent="0.25">
      <c r="A4146"/>
      <c r="B4146"/>
    </row>
    <row r="4147" spans="1:2" x14ac:dyDescent="0.25">
      <c r="A4147"/>
      <c r="B4147"/>
    </row>
    <row r="4148" spans="1:2" x14ac:dyDescent="0.25">
      <c r="A4148"/>
      <c r="B4148"/>
    </row>
    <row r="4149" spans="1:2" x14ac:dyDescent="0.25">
      <c r="A4149"/>
      <c r="B4149"/>
    </row>
    <row r="4150" spans="1:2" x14ac:dyDescent="0.25">
      <c r="A4150"/>
      <c r="B4150"/>
    </row>
    <row r="4151" spans="1:2" x14ac:dyDescent="0.25">
      <c r="A4151"/>
      <c r="B4151"/>
    </row>
    <row r="4152" spans="1:2" x14ac:dyDescent="0.25">
      <c r="A4152"/>
      <c r="B4152"/>
    </row>
    <row r="4153" spans="1:2" x14ac:dyDescent="0.25">
      <c r="A4153"/>
      <c r="B4153"/>
    </row>
    <row r="4154" spans="1:2" x14ac:dyDescent="0.25">
      <c r="A4154"/>
      <c r="B4154"/>
    </row>
    <row r="4155" spans="1:2" x14ac:dyDescent="0.25">
      <c r="A4155"/>
      <c r="B4155"/>
    </row>
    <row r="4156" spans="1:2" x14ac:dyDescent="0.25">
      <c r="A4156"/>
      <c r="B4156"/>
    </row>
    <row r="4157" spans="1:2" x14ac:dyDescent="0.25">
      <c r="A4157"/>
      <c r="B4157"/>
    </row>
    <row r="4158" spans="1:2" x14ac:dyDescent="0.25">
      <c r="A4158"/>
      <c r="B4158"/>
    </row>
    <row r="4159" spans="1:2" x14ac:dyDescent="0.25">
      <c r="A4159"/>
      <c r="B4159"/>
    </row>
    <row r="4160" spans="1:2" x14ac:dyDescent="0.25">
      <c r="A4160"/>
      <c r="B4160"/>
    </row>
    <row r="4161" spans="1:2" x14ac:dyDescent="0.25">
      <c r="A4161"/>
      <c r="B4161"/>
    </row>
    <row r="4162" spans="1:2" x14ac:dyDescent="0.25">
      <c r="A4162"/>
      <c r="B4162"/>
    </row>
    <row r="4163" spans="1:2" x14ac:dyDescent="0.25">
      <c r="A4163"/>
      <c r="B4163"/>
    </row>
    <row r="4164" spans="1:2" x14ac:dyDescent="0.25">
      <c r="A4164"/>
      <c r="B4164"/>
    </row>
    <row r="4165" spans="1:2" x14ac:dyDescent="0.25">
      <c r="A4165"/>
      <c r="B4165"/>
    </row>
    <row r="4166" spans="1:2" x14ac:dyDescent="0.25">
      <c r="A4166"/>
      <c r="B4166"/>
    </row>
    <row r="4167" spans="1:2" x14ac:dyDescent="0.25">
      <c r="A4167"/>
      <c r="B4167"/>
    </row>
    <row r="4168" spans="1:2" x14ac:dyDescent="0.25">
      <c r="A4168"/>
      <c r="B4168"/>
    </row>
    <row r="4169" spans="1:2" x14ac:dyDescent="0.25">
      <c r="A4169"/>
      <c r="B4169"/>
    </row>
    <row r="4170" spans="1:2" x14ac:dyDescent="0.25">
      <c r="A4170"/>
      <c r="B4170"/>
    </row>
    <row r="4171" spans="1:2" x14ac:dyDescent="0.25">
      <c r="A4171"/>
      <c r="B4171"/>
    </row>
    <row r="4172" spans="1:2" x14ac:dyDescent="0.25">
      <c r="A4172"/>
      <c r="B4172"/>
    </row>
    <row r="4173" spans="1:2" x14ac:dyDescent="0.25">
      <c r="A4173"/>
      <c r="B4173"/>
    </row>
    <row r="4174" spans="1:2" x14ac:dyDescent="0.25">
      <c r="A4174"/>
      <c r="B4174"/>
    </row>
    <row r="4175" spans="1:2" x14ac:dyDescent="0.25">
      <c r="A4175"/>
      <c r="B4175"/>
    </row>
    <row r="4176" spans="1:2" x14ac:dyDescent="0.25">
      <c r="A4176"/>
      <c r="B4176"/>
    </row>
    <row r="4177" spans="1:2" x14ac:dyDescent="0.25">
      <c r="A4177"/>
      <c r="B4177"/>
    </row>
    <row r="4178" spans="1:2" x14ac:dyDescent="0.25">
      <c r="A4178"/>
      <c r="B4178"/>
    </row>
    <row r="4179" spans="1:2" x14ac:dyDescent="0.25">
      <c r="A4179"/>
      <c r="B4179"/>
    </row>
    <row r="4180" spans="1:2" x14ac:dyDescent="0.25">
      <c r="A4180"/>
      <c r="B4180"/>
    </row>
    <row r="4181" spans="1:2" x14ac:dyDescent="0.25">
      <c r="A4181"/>
      <c r="B4181"/>
    </row>
    <row r="4182" spans="1:2" x14ac:dyDescent="0.25">
      <c r="A4182"/>
      <c r="B4182"/>
    </row>
    <row r="4183" spans="1:2" x14ac:dyDescent="0.25">
      <c r="A4183"/>
      <c r="B4183"/>
    </row>
    <row r="4184" spans="1:2" x14ac:dyDescent="0.25">
      <c r="A4184"/>
      <c r="B4184"/>
    </row>
    <row r="4185" spans="1:2" x14ac:dyDescent="0.25">
      <c r="A4185"/>
      <c r="B4185"/>
    </row>
    <row r="4186" spans="1:2" x14ac:dyDescent="0.25">
      <c r="A4186"/>
      <c r="B4186"/>
    </row>
    <row r="4187" spans="1:2" x14ac:dyDescent="0.25">
      <c r="A4187"/>
      <c r="B4187"/>
    </row>
    <row r="4188" spans="1:2" x14ac:dyDescent="0.25">
      <c r="A4188"/>
      <c r="B4188"/>
    </row>
    <row r="4189" spans="1:2" x14ac:dyDescent="0.25">
      <c r="A4189"/>
      <c r="B4189"/>
    </row>
    <row r="4190" spans="1:2" x14ac:dyDescent="0.25">
      <c r="A4190"/>
      <c r="B4190"/>
    </row>
    <row r="4191" spans="1:2" x14ac:dyDescent="0.25">
      <c r="A4191"/>
      <c r="B4191"/>
    </row>
    <row r="4192" spans="1:2" x14ac:dyDescent="0.25">
      <c r="A4192"/>
      <c r="B4192"/>
    </row>
    <row r="4193" spans="1:2" x14ac:dyDescent="0.25">
      <c r="A4193"/>
      <c r="B4193"/>
    </row>
    <row r="4194" spans="1:2" x14ac:dyDescent="0.25">
      <c r="A4194"/>
      <c r="B4194"/>
    </row>
    <row r="4195" spans="1:2" x14ac:dyDescent="0.25">
      <c r="A4195"/>
      <c r="B4195"/>
    </row>
    <row r="4196" spans="1:2" x14ac:dyDescent="0.25">
      <c r="A4196"/>
      <c r="B4196"/>
    </row>
    <row r="4197" spans="1:2" x14ac:dyDescent="0.25">
      <c r="A4197"/>
      <c r="B4197"/>
    </row>
    <row r="4198" spans="1:2" x14ac:dyDescent="0.25">
      <c r="A4198"/>
      <c r="B4198"/>
    </row>
    <row r="4199" spans="1:2" x14ac:dyDescent="0.25">
      <c r="A4199"/>
      <c r="B4199"/>
    </row>
    <row r="4200" spans="1:2" x14ac:dyDescent="0.25">
      <c r="A4200"/>
      <c r="B4200"/>
    </row>
    <row r="4201" spans="1:2" x14ac:dyDescent="0.25">
      <c r="A4201"/>
      <c r="B4201"/>
    </row>
    <row r="4202" spans="1:2" x14ac:dyDescent="0.25">
      <c r="A4202"/>
      <c r="B4202"/>
    </row>
    <row r="4203" spans="1:2" x14ac:dyDescent="0.25">
      <c r="A4203"/>
      <c r="B4203"/>
    </row>
    <row r="4204" spans="1:2" x14ac:dyDescent="0.25">
      <c r="A4204"/>
      <c r="B4204"/>
    </row>
    <row r="4205" spans="1:2" x14ac:dyDescent="0.25">
      <c r="A4205"/>
      <c r="B4205"/>
    </row>
    <row r="4206" spans="1:2" x14ac:dyDescent="0.25">
      <c r="A4206"/>
      <c r="B4206"/>
    </row>
    <row r="4207" spans="1:2" x14ac:dyDescent="0.25">
      <c r="A4207"/>
      <c r="B4207"/>
    </row>
    <row r="4208" spans="1:2" x14ac:dyDescent="0.25">
      <c r="A4208"/>
      <c r="B4208"/>
    </row>
    <row r="4209" spans="1:2" x14ac:dyDescent="0.25">
      <c r="A4209"/>
      <c r="B4209"/>
    </row>
    <row r="4210" spans="1:2" x14ac:dyDescent="0.25">
      <c r="A4210"/>
      <c r="B4210"/>
    </row>
    <row r="4211" spans="1:2" x14ac:dyDescent="0.25">
      <c r="A4211"/>
      <c r="B4211"/>
    </row>
    <row r="4212" spans="1:2" x14ac:dyDescent="0.25">
      <c r="A4212"/>
      <c r="B4212"/>
    </row>
    <row r="4213" spans="1:2" x14ac:dyDescent="0.25">
      <c r="A4213"/>
      <c r="B4213"/>
    </row>
    <row r="4214" spans="1:2" x14ac:dyDescent="0.25">
      <c r="A4214"/>
      <c r="B4214"/>
    </row>
    <row r="4215" spans="1:2" x14ac:dyDescent="0.25">
      <c r="A4215"/>
      <c r="B4215"/>
    </row>
    <row r="4216" spans="1:2" x14ac:dyDescent="0.25">
      <c r="A4216"/>
      <c r="B4216"/>
    </row>
    <row r="4217" spans="1:2" x14ac:dyDescent="0.25">
      <c r="A4217"/>
      <c r="B4217"/>
    </row>
    <row r="4218" spans="1:2" x14ac:dyDescent="0.25">
      <c r="A4218"/>
      <c r="B4218"/>
    </row>
    <row r="4219" spans="1:2" x14ac:dyDescent="0.25">
      <c r="A4219"/>
      <c r="B4219"/>
    </row>
    <row r="4220" spans="1:2" x14ac:dyDescent="0.25">
      <c r="A4220"/>
      <c r="B4220"/>
    </row>
    <row r="4221" spans="1:2" x14ac:dyDescent="0.25">
      <c r="A4221"/>
      <c r="B4221"/>
    </row>
    <row r="4222" spans="1:2" x14ac:dyDescent="0.25">
      <c r="A4222"/>
      <c r="B4222"/>
    </row>
    <row r="4223" spans="1:2" x14ac:dyDescent="0.25">
      <c r="A4223"/>
      <c r="B4223"/>
    </row>
    <row r="4224" spans="1:2" x14ac:dyDescent="0.25">
      <c r="A4224"/>
      <c r="B4224"/>
    </row>
    <row r="4225" spans="1:2" x14ac:dyDescent="0.25">
      <c r="A4225"/>
      <c r="B4225"/>
    </row>
    <row r="4226" spans="1:2" x14ac:dyDescent="0.25">
      <c r="A4226"/>
      <c r="B4226"/>
    </row>
    <row r="4227" spans="1:2" x14ac:dyDescent="0.25">
      <c r="A4227"/>
      <c r="B4227"/>
    </row>
    <row r="4228" spans="1:2" x14ac:dyDescent="0.25">
      <c r="A4228"/>
      <c r="B4228"/>
    </row>
    <row r="4229" spans="1:2" x14ac:dyDescent="0.25">
      <c r="A4229"/>
      <c r="B4229"/>
    </row>
    <row r="4230" spans="1:2" x14ac:dyDescent="0.25">
      <c r="A4230"/>
      <c r="B4230"/>
    </row>
    <row r="4231" spans="1:2" x14ac:dyDescent="0.25">
      <c r="A4231"/>
      <c r="B4231"/>
    </row>
    <row r="4232" spans="1:2" x14ac:dyDescent="0.25">
      <c r="A4232"/>
      <c r="B4232"/>
    </row>
    <row r="4233" spans="1:2" x14ac:dyDescent="0.25">
      <c r="A4233"/>
      <c r="B4233"/>
    </row>
    <row r="4234" spans="1:2" x14ac:dyDescent="0.25">
      <c r="A4234"/>
      <c r="B4234"/>
    </row>
    <row r="4235" spans="1:2" x14ac:dyDescent="0.25">
      <c r="A4235"/>
      <c r="B4235"/>
    </row>
    <row r="4236" spans="1:2" x14ac:dyDescent="0.25">
      <c r="A4236"/>
      <c r="B4236"/>
    </row>
    <row r="4237" spans="1:2" x14ac:dyDescent="0.25">
      <c r="A4237"/>
      <c r="B4237"/>
    </row>
    <row r="4238" spans="1:2" x14ac:dyDescent="0.25">
      <c r="A4238"/>
      <c r="B4238"/>
    </row>
    <row r="4239" spans="1:2" x14ac:dyDescent="0.25">
      <c r="A4239"/>
      <c r="B4239"/>
    </row>
    <row r="4240" spans="1:2" x14ac:dyDescent="0.25">
      <c r="A4240"/>
      <c r="B4240"/>
    </row>
    <row r="4241" spans="1:2" x14ac:dyDescent="0.25">
      <c r="A4241"/>
      <c r="B4241"/>
    </row>
    <row r="4242" spans="1:2" x14ac:dyDescent="0.25">
      <c r="A4242"/>
      <c r="B4242"/>
    </row>
    <row r="4243" spans="1:2" x14ac:dyDescent="0.25">
      <c r="A4243"/>
      <c r="B4243"/>
    </row>
    <row r="4244" spans="1:2" x14ac:dyDescent="0.25">
      <c r="A4244"/>
      <c r="B4244"/>
    </row>
    <row r="4245" spans="1:2" x14ac:dyDescent="0.25">
      <c r="A4245"/>
      <c r="B4245"/>
    </row>
    <row r="4246" spans="1:2" x14ac:dyDescent="0.25">
      <c r="A4246"/>
      <c r="B4246"/>
    </row>
    <row r="4247" spans="1:2" x14ac:dyDescent="0.25">
      <c r="A4247"/>
      <c r="B4247"/>
    </row>
    <row r="4248" spans="1:2" x14ac:dyDescent="0.25">
      <c r="A4248"/>
      <c r="B4248"/>
    </row>
    <row r="4249" spans="1:2" x14ac:dyDescent="0.25">
      <c r="A4249"/>
      <c r="B4249"/>
    </row>
    <row r="4250" spans="1:2" x14ac:dyDescent="0.25">
      <c r="A4250"/>
      <c r="B4250"/>
    </row>
    <row r="4251" spans="1:2" x14ac:dyDescent="0.25">
      <c r="A4251"/>
      <c r="B4251"/>
    </row>
    <row r="4252" spans="1:2" x14ac:dyDescent="0.25">
      <c r="A4252"/>
      <c r="B4252"/>
    </row>
    <row r="4253" spans="1:2" x14ac:dyDescent="0.25">
      <c r="A4253"/>
      <c r="B4253"/>
    </row>
    <row r="4254" spans="1:2" x14ac:dyDescent="0.25">
      <c r="A4254"/>
      <c r="B4254"/>
    </row>
    <row r="4255" spans="1:2" x14ac:dyDescent="0.25">
      <c r="A4255"/>
      <c r="B4255"/>
    </row>
    <row r="4256" spans="1:2" x14ac:dyDescent="0.25">
      <c r="A4256"/>
      <c r="B4256"/>
    </row>
    <row r="4257" spans="1:2" x14ac:dyDescent="0.25">
      <c r="A4257"/>
      <c r="B4257"/>
    </row>
    <row r="4258" spans="1:2" x14ac:dyDescent="0.25">
      <c r="A4258"/>
      <c r="B4258"/>
    </row>
    <row r="4259" spans="1:2" x14ac:dyDescent="0.25">
      <c r="A4259"/>
      <c r="B4259"/>
    </row>
    <row r="4260" spans="1:2" x14ac:dyDescent="0.25">
      <c r="A4260"/>
      <c r="B4260"/>
    </row>
    <row r="4261" spans="1:2" x14ac:dyDescent="0.25">
      <c r="A4261"/>
      <c r="B4261"/>
    </row>
    <row r="4262" spans="1:2" x14ac:dyDescent="0.25">
      <c r="A4262"/>
      <c r="B4262"/>
    </row>
    <row r="4263" spans="1:2" x14ac:dyDescent="0.25">
      <c r="A4263"/>
      <c r="B4263"/>
    </row>
    <row r="4264" spans="1:2" x14ac:dyDescent="0.25">
      <c r="A4264"/>
      <c r="B4264"/>
    </row>
    <row r="4265" spans="1:2" x14ac:dyDescent="0.25">
      <c r="A4265"/>
      <c r="B4265"/>
    </row>
    <row r="4266" spans="1:2" x14ac:dyDescent="0.25">
      <c r="A4266"/>
      <c r="B4266"/>
    </row>
    <row r="4267" spans="1:2" x14ac:dyDescent="0.25">
      <c r="A4267"/>
      <c r="B4267"/>
    </row>
    <row r="4268" spans="1:2" x14ac:dyDescent="0.25">
      <c r="A4268"/>
      <c r="B4268"/>
    </row>
    <row r="4269" spans="1:2" x14ac:dyDescent="0.25">
      <c r="A4269"/>
      <c r="B4269"/>
    </row>
    <row r="4270" spans="1:2" x14ac:dyDescent="0.25">
      <c r="A4270"/>
      <c r="B4270"/>
    </row>
    <row r="4271" spans="1:2" x14ac:dyDescent="0.25">
      <c r="A4271"/>
      <c r="B4271"/>
    </row>
    <row r="4272" spans="1:2" x14ac:dyDescent="0.25">
      <c r="A4272"/>
      <c r="B4272"/>
    </row>
    <row r="4273" spans="1:2" x14ac:dyDescent="0.25">
      <c r="A4273"/>
      <c r="B4273"/>
    </row>
    <row r="4274" spans="1:2" x14ac:dyDescent="0.25">
      <c r="A4274"/>
      <c r="B4274"/>
    </row>
    <row r="4275" spans="1:2" x14ac:dyDescent="0.25">
      <c r="A4275"/>
      <c r="B4275"/>
    </row>
    <row r="4276" spans="1:2" x14ac:dyDescent="0.25">
      <c r="A4276"/>
      <c r="B4276"/>
    </row>
    <row r="4277" spans="1:2" x14ac:dyDescent="0.25">
      <c r="A4277"/>
      <c r="B4277"/>
    </row>
    <row r="4278" spans="1:2" x14ac:dyDescent="0.25">
      <c r="A4278"/>
      <c r="B4278"/>
    </row>
    <row r="4279" spans="1:2" x14ac:dyDescent="0.25">
      <c r="A4279"/>
      <c r="B4279"/>
    </row>
    <row r="4280" spans="1:2" x14ac:dyDescent="0.25">
      <c r="A4280"/>
      <c r="B4280"/>
    </row>
    <row r="4281" spans="1:2" x14ac:dyDescent="0.25">
      <c r="A4281"/>
      <c r="B4281"/>
    </row>
    <row r="4282" spans="1:2" x14ac:dyDescent="0.25">
      <c r="A4282"/>
      <c r="B4282"/>
    </row>
    <row r="4283" spans="1:2" x14ac:dyDescent="0.25">
      <c r="A4283"/>
      <c r="B4283"/>
    </row>
    <row r="4284" spans="1:2" x14ac:dyDescent="0.25">
      <c r="A4284"/>
      <c r="B4284"/>
    </row>
    <row r="4285" spans="1:2" x14ac:dyDescent="0.25">
      <c r="A4285"/>
      <c r="B4285"/>
    </row>
    <row r="4286" spans="1:2" x14ac:dyDescent="0.25">
      <c r="A4286"/>
      <c r="B4286"/>
    </row>
    <row r="4287" spans="1:2" x14ac:dyDescent="0.25">
      <c r="A4287"/>
      <c r="B4287"/>
    </row>
    <row r="4288" spans="1:2" x14ac:dyDescent="0.25">
      <c r="A4288"/>
      <c r="B4288"/>
    </row>
    <row r="4289" spans="1:2" x14ac:dyDescent="0.25">
      <c r="A4289"/>
      <c r="B4289"/>
    </row>
    <row r="4290" spans="1:2" x14ac:dyDescent="0.25">
      <c r="A4290"/>
      <c r="B4290"/>
    </row>
    <row r="4291" spans="1:2" x14ac:dyDescent="0.25">
      <c r="A4291"/>
      <c r="B4291"/>
    </row>
    <row r="4292" spans="1:2" x14ac:dyDescent="0.25">
      <c r="A4292"/>
      <c r="B4292"/>
    </row>
    <row r="4293" spans="1:2" x14ac:dyDescent="0.25">
      <c r="A4293"/>
      <c r="B4293"/>
    </row>
    <row r="4294" spans="1:2" x14ac:dyDescent="0.25">
      <c r="A4294"/>
      <c r="B4294"/>
    </row>
    <row r="4295" spans="1:2" x14ac:dyDescent="0.25">
      <c r="A4295"/>
      <c r="B4295"/>
    </row>
    <row r="4296" spans="1:2" x14ac:dyDescent="0.25">
      <c r="A4296"/>
      <c r="B4296"/>
    </row>
    <row r="4297" spans="1:2" x14ac:dyDescent="0.25">
      <c r="A4297"/>
      <c r="B4297"/>
    </row>
    <row r="4298" spans="1:2" x14ac:dyDescent="0.25">
      <c r="A4298"/>
      <c r="B4298"/>
    </row>
    <row r="4299" spans="1:2" x14ac:dyDescent="0.25">
      <c r="A4299"/>
      <c r="B4299"/>
    </row>
    <row r="4300" spans="1:2" x14ac:dyDescent="0.25">
      <c r="A4300"/>
      <c r="B4300"/>
    </row>
    <row r="4301" spans="1:2" x14ac:dyDescent="0.25">
      <c r="A4301"/>
      <c r="B4301"/>
    </row>
    <row r="4302" spans="1:2" x14ac:dyDescent="0.25">
      <c r="A4302"/>
      <c r="B4302"/>
    </row>
    <row r="4303" spans="1:2" x14ac:dyDescent="0.25">
      <c r="A4303"/>
      <c r="B4303"/>
    </row>
    <row r="4304" spans="1:2" x14ac:dyDescent="0.25">
      <c r="A4304"/>
      <c r="B4304"/>
    </row>
    <row r="4305" spans="1:2" x14ac:dyDescent="0.25">
      <c r="A4305"/>
      <c r="B4305"/>
    </row>
    <row r="4306" spans="1:2" x14ac:dyDescent="0.25">
      <c r="A4306"/>
      <c r="B4306"/>
    </row>
    <row r="4307" spans="1:2" x14ac:dyDescent="0.25">
      <c r="A4307"/>
      <c r="B4307"/>
    </row>
    <row r="4308" spans="1:2" x14ac:dyDescent="0.25">
      <c r="A4308"/>
      <c r="B4308"/>
    </row>
    <row r="4309" spans="1:2" x14ac:dyDescent="0.25">
      <c r="A4309"/>
      <c r="B4309"/>
    </row>
    <row r="4310" spans="1:2" x14ac:dyDescent="0.25">
      <c r="A4310"/>
      <c r="B4310"/>
    </row>
    <row r="4311" spans="1:2" x14ac:dyDescent="0.25">
      <c r="A4311"/>
      <c r="B4311"/>
    </row>
    <row r="4312" spans="1:2" x14ac:dyDescent="0.25">
      <c r="A4312"/>
      <c r="B4312"/>
    </row>
    <row r="4313" spans="1:2" x14ac:dyDescent="0.25">
      <c r="A4313"/>
      <c r="B4313"/>
    </row>
    <row r="4314" spans="1:2" x14ac:dyDescent="0.25">
      <c r="A4314"/>
      <c r="B4314"/>
    </row>
    <row r="4315" spans="1:2" x14ac:dyDescent="0.25">
      <c r="A4315"/>
      <c r="B4315"/>
    </row>
    <row r="4316" spans="1:2" x14ac:dyDescent="0.25">
      <c r="A4316"/>
      <c r="B4316"/>
    </row>
    <row r="4317" spans="1:2" x14ac:dyDescent="0.25">
      <c r="A4317"/>
      <c r="B4317"/>
    </row>
    <row r="4318" spans="1:2" x14ac:dyDescent="0.25">
      <c r="A4318"/>
      <c r="B4318"/>
    </row>
    <row r="4319" spans="1:2" x14ac:dyDescent="0.25">
      <c r="A4319"/>
      <c r="B4319"/>
    </row>
    <row r="4320" spans="1:2" x14ac:dyDescent="0.25">
      <c r="A4320"/>
      <c r="B4320"/>
    </row>
    <row r="4321" spans="1:2" x14ac:dyDescent="0.25">
      <c r="A4321"/>
      <c r="B4321"/>
    </row>
    <row r="4322" spans="1:2" x14ac:dyDescent="0.25">
      <c r="A4322"/>
      <c r="B4322"/>
    </row>
    <row r="4323" spans="1:2" x14ac:dyDescent="0.25">
      <c r="A4323"/>
      <c r="B4323"/>
    </row>
    <row r="4324" spans="1:2" x14ac:dyDescent="0.25">
      <c r="A4324"/>
      <c r="B4324"/>
    </row>
    <row r="4325" spans="1:2" x14ac:dyDescent="0.25">
      <c r="A4325"/>
      <c r="B4325"/>
    </row>
    <row r="4326" spans="1:2" x14ac:dyDescent="0.25">
      <c r="A4326"/>
      <c r="B4326"/>
    </row>
    <row r="4327" spans="1:2" x14ac:dyDescent="0.25">
      <c r="A4327"/>
      <c r="B4327"/>
    </row>
    <row r="4328" spans="1:2" x14ac:dyDescent="0.25">
      <c r="A4328"/>
      <c r="B4328"/>
    </row>
    <row r="4329" spans="1:2" x14ac:dyDescent="0.25">
      <c r="A4329"/>
      <c r="B4329"/>
    </row>
    <row r="4330" spans="1:2" x14ac:dyDescent="0.25">
      <c r="A4330"/>
      <c r="B4330"/>
    </row>
    <row r="4331" spans="1:2" x14ac:dyDescent="0.25">
      <c r="A4331"/>
      <c r="B4331"/>
    </row>
    <row r="4332" spans="1:2" x14ac:dyDescent="0.25">
      <c r="A4332"/>
      <c r="B4332"/>
    </row>
    <row r="4333" spans="1:2" x14ac:dyDescent="0.25">
      <c r="A4333"/>
      <c r="B4333"/>
    </row>
    <row r="4334" spans="1:2" x14ac:dyDescent="0.25">
      <c r="A4334"/>
      <c r="B4334"/>
    </row>
    <row r="4335" spans="1:2" x14ac:dyDescent="0.25">
      <c r="A4335"/>
      <c r="B4335"/>
    </row>
    <row r="4336" spans="1:2" x14ac:dyDescent="0.25">
      <c r="A4336"/>
      <c r="B4336"/>
    </row>
    <row r="4337" spans="1:2" x14ac:dyDescent="0.25">
      <c r="A4337"/>
      <c r="B4337"/>
    </row>
    <row r="4338" spans="1:2" x14ac:dyDescent="0.25">
      <c r="A4338"/>
      <c r="B4338"/>
    </row>
    <row r="4339" spans="1:2" x14ac:dyDescent="0.25">
      <c r="A4339"/>
      <c r="B4339"/>
    </row>
    <row r="4340" spans="1:2" x14ac:dyDescent="0.25">
      <c r="A4340"/>
      <c r="B4340"/>
    </row>
    <row r="4341" spans="1:2" x14ac:dyDescent="0.25">
      <c r="A4341"/>
      <c r="B4341"/>
    </row>
    <row r="4342" spans="1:2" x14ac:dyDescent="0.25">
      <c r="A4342"/>
      <c r="B4342"/>
    </row>
    <row r="4343" spans="1:2" x14ac:dyDescent="0.25">
      <c r="A4343"/>
      <c r="B4343"/>
    </row>
    <row r="4344" spans="1:2" x14ac:dyDescent="0.25">
      <c r="A4344"/>
      <c r="B4344"/>
    </row>
    <row r="4345" spans="1:2" x14ac:dyDescent="0.25">
      <c r="A4345"/>
      <c r="B4345"/>
    </row>
    <row r="4346" spans="1:2" x14ac:dyDescent="0.25">
      <c r="A4346"/>
      <c r="B4346"/>
    </row>
    <row r="4347" spans="1:2" x14ac:dyDescent="0.25">
      <c r="A4347"/>
      <c r="B4347"/>
    </row>
    <row r="4348" spans="1:2" x14ac:dyDescent="0.25">
      <c r="A4348"/>
      <c r="B4348"/>
    </row>
    <row r="4349" spans="1:2" x14ac:dyDescent="0.25">
      <c r="A4349"/>
      <c r="B4349"/>
    </row>
    <row r="4350" spans="1:2" x14ac:dyDescent="0.25">
      <c r="A4350"/>
      <c r="B4350"/>
    </row>
    <row r="4351" spans="1:2" x14ac:dyDescent="0.25">
      <c r="A4351"/>
      <c r="B4351"/>
    </row>
    <row r="4352" spans="1:2" x14ac:dyDescent="0.25">
      <c r="A4352"/>
      <c r="B4352"/>
    </row>
    <row r="4353" spans="1:2" x14ac:dyDescent="0.25">
      <c r="A4353"/>
      <c r="B4353"/>
    </row>
    <row r="4354" spans="1:2" x14ac:dyDescent="0.25">
      <c r="A4354"/>
      <c r="B4354"/>
    </row>
    <row r="4355" spans="1:2" x14ac:dyDescent="0.25">
      <c r="A4355"/>
      <c r="B4355"/>
    </row>
    <row r="4356" spans="1:2" x14ac:dyDescent="0.25">
      <c r="A4356"/>
      <c r="B4356"/>
    </row>
    <row r="4357" spans="1:2" x14ac:dyDescent="0.25">
      <c r="A4357"/>
      <c r="B4357"/>
    </row>
    <row r="4358" spans="1:2" x14ac:dyDescent="0.25">
      <c r="A4358"/>
      <c r="B4358"/>
    </row>
    <row r="4359" spans="1:2" x14ac:dyDescent="0.25">
      <c r="A4359"/>
      <c r="B4359"/>
    </row>
    <row r="4360" spans="1:2" x14ac:dyDescent="0.25">
      <c r="A4360"/>
      <c r="B4360"/>
    </row>
    <row r="4361" spans="1:2" x14ac:dyDescent="0.25">
      <c r="A4361"/>
      <c r="B4361"/>
    </row>
    <row r="4362" spans="1:2" x14ac:dyDescent="0.25">
      <c r="A4362"/>
      <c r="B4362"/>
    </row>
    <row r="4363" spans="1:2" x14ac:dyDescent="0.25">
      <c r="A4363"/>
      <c r="B4363"/>
    </row>
    <row r="4364" spans="1:2" x14ac:dyDescent="0.25">
      <c r="A4364"/>
      <c r="B4364"/>
    </row>
    <row r="4365" spans="1:2" x14ac:dyDescent="0.25">
      <c r="A4365"/>
      <c r="B4365"/>
    </row>
    <row r="4366" spans="1:2" x14ac:dyDescent="0.25">
      <c r="A4366"/>
      <c r="B4366"/>
    </row>
    <row r="4367" spans="1:2" x14ac:dyDescent="0.25">
      <c r="A4367"/>
      <c r="B4367"/>
    </row>
    <row r="4368" spans="1:2" x14ac:dyDescent="0.25">
      <c r="A4368"/>
      <c r="B4368"/>
    </row>
    <row r="4369" spans="1:2" x14ac:dyDescent="0.25">
      <c r="A4369"/>
      <c r="B4369"/>
    </row>
    <row r="4370" spans="1:2" x14ac:dyDescent="0.25">
      <c r="A4370"/>
      <c r="B4370"/>
    </row>
    <row r="4371" spans="1:2" x14ac:dyDescent="0.25">
      <c r="A4371"/>
      <c r="B4371"/>
    </row>
    <row r="4372" spans="1:2" x14ac:dyDescent="0.25">
      <c r="A4372"/>
      <c r="B4372"/>
    </row>
    <row r="4373" spans="1:2" x14ac:dyDescent="0.25">
      <c r="A4373"/>
      <c r="B4373"/>
    </row>
    <row r="4374" spans="1:2" x14ac:dyDescent="0.25">
      <c r="A4374"/>
      <c r="B4374"/>
    </row>
    <row r="4375" spans="1:2" x14ac:dyDescent="0.25">
      <c r="A4375"/>
      <c r="B4375"/>
    </row>
    <row r="4376" spans="1:2" x14ac:dyDescent="0.25">
      <c r="A4376"/>
      <c r="B4376"/>
    </row>
    <row r="4377" spans="1:2" x14ac:dyDescent="0.25">
      <c r="A4377"/>
      <c r="B4377"/>
    </row>
    <row r="4378" spans="1:2" x14ac:dyDescent="0.25">
      <c r="A4378"/>
      <c r="B4378"/>
    </row>
    <row r="4379" spans="1:2" x14ac:dyDescent="0.25">
      <c r="A4379"/>
      <c r="B4379"/>
    </row>
    <row r="4380" spans="1:2" x14ac:dyDescent="0.25">
      <c r="A4380"/>
      <c r="B4380"/>
    </row>
    <row r="4381" spans="1:2" x14ac:dyDescent="0.25">
      <c r="A4381"/>
      <c r="B4381"/>
    </row>
    <row r="4382" spans="1:2" x14ac:dyDescent="0.25">
      <c r="A4382"/>
      <c r="B4382"/>
    </row>
    <row r="4383" spans="1:2" x14ac:dyDescent="0.25">
      <c r="A4383"/>
      <c r="B4383"/>
    </row>
    <row r="4384" spans="1:2" x14ac:dyDescent="0.25">
      <c r="A4384"/>
      <c r="B4384"/>
    </row>
    <row r="4385" spans="1:2" x14ac:dyDescent="0.25">
      <c r="A4385"/>
      <c r="B4385"/>
    </row>
    <row r="4386" spans="1:2" x14ac:dyDescent="0.25">
      <c r="A4386"/>
      <c r="B4386"/>
    </row>
    <row r="4387" spans="1:2" x14ac:dyDescent="0.25">
      <c r="A4387"/>
      <c r="B4387"/>
    </row>
    <row r="4388" spans="1:2" x14ac:dyDescent="0.25">
      <c r="A4388"/>
      <c r="B4388"/>
    </row>
    <row r="4389" spans="1:2" x14ac:dyDescent="0.25">
      <c r="A4389"/>
      <c r="B4389"/>
    </row>
    <row r="4390" spans="1:2" x14ac:dyDescent="0.25">
      <c r="A4390"/>
      <c r="B4390"/>
    </row>
    <row r="4391" spans="1:2" x14ac:dyDescent="0.25">
      <c r="A4391"/>
      <c r="B4391"/>
    </row>
    <row r="4392" spans="1:2" x14ac:dyDescent="0.25">
      <c r="A4392"/>
      <c r="B4392"/>
    </row>
    <row r="4393" spans="1:2" x14ac:dyDescent="0.25">
      <c r="A4393"/>
      <c r="B4393"/>
    </row>
    <row r="4394" spans="1:2" x14ac:dyDescent="0.25">
      <c r="A4394"/>
      <c r="B4394"/>
    </row>
    <row r="4395" spans="1:2" x14ac:dyDescent="0.25">
      <c r="A4395"/>
      <c r="B4395"/>
    </row>
    <row r="4396" spans="1:2" x14ac:dyDescent="0.25">
      <c r="A4396"/>
      <c r="B4396"/>
    </row>
    <row r="4397" spans="1:2" x14ac:dyDescent="0.25">
      <c r="A4397"/>
      <c r="B4397"/>
    </row>
    <row r="4398" spans="1:2" x14ac:dyDescent="0.25">
      <c r="A4398"/>
      <c r="B4398"/>
    </row>
    <row r="4399" spans="1:2" x14ac:dyDescent="0.25">
      <c r="A4399"/>
      <c r="B4399"/>
    </row>
    <row r="4400" spans="1:2" x14ac:dyDescent="0.25">
      <c r="A4400"/>
      <c r="B4400"/>
    </row>
    <row r="4401" spans="1:2" x14ac:dyDescent="0.25">
      <c r="A4401"/>
      <c r="B4401"/>
    </row>
    <row r="4402" spans="1:2" x14ac:dyDescent="0.25">
      <c r="A4402"/>
      <c r="B4402"/>
    </row>
    <row r="4403" spans="1:2" x14ac:dyDescent="0.25">
      <c r="A4403"/>
      <c r="B4403"/>
    </row>
    <row r="4404" spans="1:2" x14ac:dyDescent="0.25">
      <c r="A4404"/>
      <c r="B4404"/>
    </row>
    <row r="4405" spans="1:2" x14ac:dyDescent="0.25">
      <c r="A4405"/>
      <c r="B4405"/>
    </row>
    <row r="4406" spans="1:2" x14ac:dyDescent="0.25">
      <c r="A4406"/>
      <c r="B4406"/>
    </row>
    <row r="4407" spans="1:2" x14ac:dyDescent="0.25">
      <c r="A4407"/>
      <c r="B4407"/>
    </row>
    <row r="4408" spans="1:2" x14ac:dyDescent="0.25">
      <c r="A4408"/>
      <c r="B4408"/>
    </row>
    <row r="4409" spans="1:2" x14ac:dyDescent="0.25">
      <c r="A4409"/>
      <c r="B4409"/>
    </row>
    <row r="4410" spans="1:2" x14ac:dyDescent="0.25">
      <c r="A4410"/>
      <c r="B4410"/>
    </row>
    <row r="4411" spans="1:2" x14ac:dyDescent="0.25">
      <c r="A4411"/>
      <c r="B4411"/>
    </row>
    <row r="4412" spans="1:2" x14ac:dyDescent="0.25">
      <c r="A4412"/>
      <c r="B4412"/>
    </row>
    <row r="4413" spans="1:2" x14ac:dyDescent="0.25">
      <c r="A4413"/>
      <c r="B4413"/>
    </row>
    <row r="4414" spans="1:2" x14ac:dyDescent="0.25">
      <c r="A4414"/>
      <c r="B4414"/>
    </row>
    <row r="4415" spans="1:2" x14ac:dyDescent="0.25">
      <c r="A4415"/>
      <c r="B4415"/>
    </row>
    <row r="4416" spans="1:2" x14ac:dyDescent="0.25">
      <c r="A4416"/>
      <c r="B4416"/>
    </row>
    <row r="4417" spans="1:2" x14ac:dyDescent="0.25">
      <c r="A4417"/>
      <c r="B4417"/>
    </row>
    <row r="4418" spans="1:2" x14ac:dyDescent="0.25">
      <c r="A4418"/>
      <c r="B4418"/>
    </row>
    <row r="4419" spans="1:2" x14ac:dyDescent="0.25">
      <c r="A4419"/>
      <c r="B4419"/>
    </row>
    <row r="4420" spans="1:2" x14ac:dyDescent="0.25">
      <c r="A4420"/>
      <c r="B4420"/>
    </row>
    <row r="4421" spans="1:2" x14ac:dyDescent="0.25">
      <c r="A4421"/>
      <c r="B4421"/>
    </row>
    <row r="4422" spans="1:2" x14ac:dyDescent="0.25">
      <c r="A4422"/>
      <c r="B4422"/>
    </row>
    <row r="4423" spans="1:2" x14ac:dyDescent="0.25">
      <c r="A4423"/>
      <c r="B4423"/>
    </row>
    <row r="4424" spans="1:2" x14ac:dyDescent="0.25">
      <c r="A4424"/>
      <c r="B4424"/>
    </row>
    <row r="4425" spans="1:2" x14ac:dyDescent="0.25">
      <c r="A4425"/>
      <c r="B4425"/>
    </row>
    <row r="4426" spans="1:2" x14ac:dyDescent="0.25">
      <c r="A4426"/>
      <c r="B4426"/>
    </row>
    <row r="4427" spans="1:2" x14ac:dyDescent="0.25">
      <c r="A4427"/>
      <c r="B4427"/>
    </row>
    <row r="4428" spans="1:2" x14ac:dyDescent="0.25">
      <c r="A4428"/>
      <c r="B4428"/>
    </row>
    <row r="4429" spans="1:2" x14ac:dyDescent="0.25">
      <c r="A4429"/>
      <c r="B4429"/>
    </row>
    <row r="4430" spans="1:2" x14ac:dyDescent="0.25">
      <c r="A4430"/>
      <c r="B4430"/>
    </row>
    <row r="4431" spans="1:2" x14ac:dyDescent="0.25">
      <c r="A4431"/>
      <c r="B4431"/>
    </row>
    <row r="4432" spans="1:2" x14ac:dyDescent="0.25">
      <c r="A4432"/>
      <c r="B4432"/>
    </row>
    <row r="4433" spans="1:2" x14ac:dyDescent="0.25">
      <c r="A4433"/>
      <c r="B4433"/>
    </row>
    <row r="4434" spans="1:2" x14ac:dyDescent="0.25">
      <c r="A4434"/>
      <c r="B4434"/>
    </row>
    <row r="4435" spans="1:2" x14ac:dyDescent="0.25">
      <c r="A4435"/>
      <c r="B4435"/>
    </row>
    <row r="4436" spans="1:2" x14ac:dyDescent="0.25">
      <c r="A4436"/>
      <c r="B4436"/>
    </row>
    <row r="4437" spans="1:2" x14ac:dyDescent="0.25">
      <c r="A4437"/>
      <c r="B4437"/>
    </row>
    <row r="4438" spans="1:2" x14ac:dyDescent="0.25">
      <c r="A4438"/>
      <c r="B4438"/>
    </row>
    <row r="4439" spans="1:2" x14ac:dyDescent="0.25">
      <c r="A4439"/>
      <c r="B4439"/>
    </row>
    <row r="4440" spans="1:2" x14ac:dyDescent="0.25">
      <c r="A4440"/>
      <c r="B4440"/>
    </row>
    <row r="4441" spans="1:2" x14ac:dyDescent="0.25">
      <c r="A4441"/>
      <c r="B4441"/>
    </row>
    <row r="4442" spans="1:2" x14ac:dyDescent="0.25">
      <c r="A4442"/>
      <c r="B4442"/>
    </row>
    <row r="4443" spans="1:2" x14ac:dyDescent="0.25">
      <c r="A4443"/>
      <c r="B4443"/>
    </row>
    <row r="4444" spans="1:2" x14ac:dyDescent="0.25">
      <c r="A4444"/>
      <c r="B4444"/>
    </row>
    <row r="4445" spans="1:2" x14ac:dyDescent="0.25">
      <c r="A4445"/>
      <c r="B4445"/>
    </row>
    <row r="4446" spans="1:2" x14ac:dyDescent="0.25">
      <c r="A4446"/>
      <c r="B4446"/>
    </row>
    <row r="4447" spans="1:2" x14ac:dyDescent="0.25">
      <c r="A4447"/>
      <c r="B4447"/>
    </row>
    <row r="4448" spans="1:2" x14ac:dyDescent="0.25">
      <c r="A4448"/>
      <c r="B4448"/>
    </row>
    <row r="4449" spans="1:2" x14ac:dyDescent="0.25">
      <c r="A4449"/>
      <c r="B4449"/>
    </row>
    <row r="4450" spans="1:2" x14ac:dyDescent="0.25">
      <c r="A4450"/>
      <c r="B4450"/>
    </row>
    <row r="4451" spans="1:2" x14ac:dyDescent="0.25">
      <c r="A4451"/>
      <c r="B4451"/>
    </row>
    <row r="4452" spans="1:2" x14ac:dyDescent="0.25">
      <c r="A4452"/>
      <c r="B4452"/>
    </row>
    <row r="4453" spans="1:2" x14ac:dyDescent="0.25">
      <c r="A4453"/>
      <c r="B4453"/>
    </row>
    <row r="4454" spans="1:2" x14ac:dyDescent="0.25">
      <c r="A4454"/>
      <c r="B4454"/>
    </row>
    <row r="4455" spans="1:2" x14ac:dyDescent="0.25">
      <c r="A4455"/>
      <c r="B4455"/>
    </row>
    <row r="4456" spans="1:2" x14ac:dyDescent="0.25">
      <c r="A4456"/>
      <c r="B4456"/>
    </row>
    <row r="4457" spans="1:2" x14ac:dyDescent="0.25">
      <c r="A4457"/>
      <c r="B4457"/>
    </row>
    <row r="4458" spans="1:2" x14ac:dyDescent="0.25">
      <c r="A4458"/>
      <c r="B4458"/>
    </row>
    <row r="4459" spans="1:2" x14ac:dyDescent="0.25">
      <c r="A4459"/>
      <c r="B4459"/>
    </row>
    <row r="4460" spans="1:2" x14ac:dyDescent="0.25">
      <c r="A4460"/>
      <c r="B4460"/>
    </row>
    <row r="4461" spans="1:2" x14ac:dyDescent="0.25">
      <c r="A4461"/>
      <c r="B4461"/>
    </row>
    <row r="4462" spans="1:2" x14ac:dyDescent="0.25">
      <c r="A4462"/>
      <c r="B4462"/>
    </row>
    <row r="4463" spans="1:2" x14ac:dyDescent="0.25">
      <c r="A4463"/>
      <c r="B4463"/>
    </row>
    <row r="4464" spans="1:2" x14ac:dyDescent="0.25">
      <c r="A4464"/>
      <c r="B4464"/>
    </row>
    <row r="4465" spans="1:2" x14ac:dyDescent="0.25">
      <c r="A4465"/>
      <c r="B4465"/>
    </row>
    <row r="4466" spans="1:2" x14ac:dyDescent="0.25">
      <c r="A4466"/>
      <c r="B4466"/>
    </row>
    <row r="4467" spans="1:2" x14ac:dyDescent="0.25">
      <c r="A4467"/>
      <c r="B4467"/>
    </row>
    <row r="4468" spans="1:2" x14ac:dyDescent="0.25">
      <c r="A4468"/>
      <c r="B4468"/>
    </row>
    <row r="4469" spans="1:2" x14ac:dyDescent="0.25">
      <c r="A4469"/>
      <c r="B4469"/>
    </row>
    <row r="4470" spans="1:2" x14ac:dyDescent="0.25">
      <c r="A4470"/>
      <c r="B4470"/>
    </row>
    <row r="4471" spans="1:2" x14ac:dyDescent="0.25">
      <c r="A4471"/>
      <c r="B4471"/>
    </row>
    <row r="4472" spans="1:2" x14ac:dyDescent="0.25">
      <c r="A4472"/>
      <c r="B4472"/>
    </row>
    <row r="4473" spans="1:2" x14ac:dyDescent="0.25">
      <c r="A4473"/>
      <c r="B4473"/>
    </row>
    <row r="4474" spans="1:2" x14ac:dyDescent="0.25">
      <c r="A4474"/>
      <c r="B4474"/>
    </row>
    <row r="4475" spans="1:2" x14ac:dyDescent="0.25">
      <c r="A4475"/>
      <c r="B4475"/>
    </row>
    <row r="4476" spans="1:2" x14ac:dyDescent="0.25">
      <c r="A4476"/>
      <c r="B4476"/>
    </row>
    <row r="4477" spans="1:2" x14ac:dyDescent="0.25">
      <c r="A4477"/>
      <c r="B4477"/>
    </row>
    <row r="4478" spans="1:2" x14ac:dyDescent="0.25">
      <c r="A4478"/>
      <c r="B4478"/>
    </row>
    <row r="4479" spans="1:2" x14ac:dyDescent="0.25">
      <c r="A4479"/>
      <c r="B4479"/>
    </row>
    <row r="4480" spans="1:2" x14ac:dyDescent="0.25">
      <c r="A4480"/>
      <c r="B4480"/>
    </row>
    <row r="4481" spans="1:2" x14ac:dyDescent="0.25">
      <c r="A4481"/>
      <c r="B4481"/>
    </row>
    <row r="4482" spans="1:2" x14ac:dyDescent="0.25">
      <c r="A4482"/>
      <c r="B4482"/>
    </row>
    <row r="4483" spans="1:2" x14ac:dyDescent="0.25">
      <c r="A4483"/>
      <c r="B4483"/>
    </row>
    <row r="4484" spans="1:2" x14ac:dyDescent="0.25">
      <c r="A4484"/>
      <c r="B4484"/>
    </row>
    <row r="4485" spans="1:2" x14ac:dyDescent="0.25">
      <c r="A4485"/>
      <c r="B4485"/>
    </row>
    <row r="4486" spans="1:2" x14ac:dyDescent="0.25">
      <c r="A4486"/>
      <c r="B4486"/>
    </row>
    <row r="4487" spans="1:2" x14ac:dyDescent="0.25">
      <c r="A4487"/>
      <c r="B4487"/>
    </row>
    <row r="4488" spans="1:2" x14ac:dyDescent="0.25">
      <c r="A4488"/>
      <c r="B4488"/>
    </row>
    <row r="4489" spans="1:2" x14ac:dyDescent="0.25">
      <c r="A4489"/>
      <c r="B4489"/>
    </row>
    <row r="4490" spans="1:2" x14ac:dyDescent="0.25">
      <c r="A4490"/>
      <c r="B4490"/>
    </row>
    <row r="4491" spans="1:2" x14ac:dyDescent="0.25">
      <c r="A4491"/>
      <c r="B4491"/>
    </row>
    <row r="4492" spans="1:2" x14ac:dyDescent="0.25">
      <c r="A4492"/>
      <c r="B4492"/>
    </row>
    <row r="4493" spans="1:2" x14ac:dyDescent="0.25">
      <c r="A4493"/>
      <c r="B4493"/>
    </row>
    <row r="4494" spans="1:2" x14ac:dyDescent="0.25">
      <c r="A4494"/>
      <c r="B4494"/>
    </row>
    <row r="4495" spans="1:2" x14ac:dyDescent="0.25">
      <c r="A4495"/>
      <c r="B4495"/>
    </row>
    <row r="4496" spans="1:2" x14ac:dyDescent="0.25">
      <c r="A4496"/>
      <c r="B4496"/>
    </row>
    <row r="4497" spans="1:2" x14ac:dyDescent="0.25">
      <c r="A4497"/>
      <c r="B4497"/>
    </row>
    <row r="4498" spans="1:2" x14ac:dyDescent="0.25">
      <c r="A4498"/>
      <c r="B4498"/>
    </row>
    <row r="4499" spans="1:2" x14ac:dyDescent="0.25">
      <c r="A4499"/>
      <c r="B4499"/>
    </row>
    <row r="4500" spans="1:2" x14ac:dyDescent="0.25">
      <c r="A4500"/>
      <c r="B4500"/>
    </row>
    <row r="4501" spans="1:2" x14ac:dyDescent="0.25">
      <c r="A4501"/>
      <c r="B4501"/>
    </row>
    <row r="4502" spans="1:2" x14ac:dyDescent="0.25">
      <c r="A4502"/>
      <c r="B4502"/>
    </row>
    <row r="4503" spans="1:2" x14ac:dyDescent="0.25">
      <c r="A4503"/>
      <c r="B4503"/>
    </row>
    <row r="4504" spans="1:2" x14ac:dyDescent="0.25">
      <c r="A4504"/>
      <c r="B4504"/>
    </row>
    <row r="4505" spans="1:2" x14ac:dyDescent="0.25">
      <c r="A4505"/>
      <c r="B4505"/>
    </row>
    <row r="4506" spans="1:2" x14ac:dyDescent="0.25">
      <c r="A4506"/>
      <c r="B4506"/>
    </row>
    <row r="4507" spans="1:2" x14ac:dyDescent="0.25">
      <c r="A4507"/>
      <c r="B4507"/>
    </row>
    <row r="4508" spans="1:2" x14ac:dyDescent="0.25">
      <c r="A4508"/>
      <c r="B4508"/>
    </row>
    <row r="4509" spans="1:2" x14ac:dyDescent="0.25">
      <c r="A4509"/>
      <c r="B4509"/>
    </row>
    <row r="4510" spans="1:2" x14ac:dyDescent="0.25">
      <c r="A4510"/>
      <c r="B4510"/>
    </row>
    <row r="4511" spans="1:2" x14ac:dyDescent="0.25">
      <c r="A4511"/>
      <c r="B4511"/>
    </row>
    <row r="4512" spans="1:2" x14ac:dyDescent="0.25">
      <c r="A4512"/>
      <c r="B4512"/>
    </row>
    <row r="4513" spans="1:2" x14ac:dyDescent="0.25">
      <c r="A4513"/>
      <c r="B4513"/>
    </row>
    <row r="4514" spans="1:2" x14ac:dyDescent="0.25">
      <c r="A4514"/>
      <c r="B4514"/>
    </row>
    <row r="4515" spans="1:2" x14ac:dyDescent="0.25">
      <c r="A4515"/>
      <c r="B4515"/>
    </row>
    <row r="4516" spans="1:2" x14ac:dyDescent="0.25">
      <c r="A4516"/>
      <c r="B4516"/>
    </row>
    <row r="4517" spans="1:2" x14ac:dyDescent="0.25">
      <c r="A4517"/>
      <c r="B4517"/>
    </row>
    <row r="4518" spans="1:2" x14ac:dyDescent="0.25">
      <c r="A4518"/>
      <c r="B4518"/>
    </row>
    <row r="4519" spans="1:2" x14ac:dyDescent="0.25">
      <c r="A4519"/>
      <c r="B4519"/>
    </row>
    <row r="4520" spans="1:2" x14ac:dyDescent="0.25">
      <c r="A4520"/>
      <c r="B4520"/>
    </row>
    <row r="4521" spans="1:2" x14ac:dyDescent="0.25">
      <c r="A4521"/>
      <c r="B4521"/>
    </row>
    <row r="4522" spans="1:2" x14ac:dyDescent="0.25">
      <c r="A4522"/>
      <c r="B4522"/>
    </row>
    <row r="4523" spans="1:2" x14ac:dyDescent="0.25">
      <c r="A4523"/>
      <c r="B4523"/>
    </row>
    <row r="4524" spans="1:2" x14ac:dyDescent="0.25">
      <c r="A4524"/>
      <c r="B4524"/>
    </row>
    <row r="4525" spans="1:2" x14ac:dyDescent="0.25">
      <c r="A4525"/>
      <c r="B4525"/>
    </row>
    <row r="4526" spans="1:2" x14ac:dyDescent="0.25">
      <c r="A4526"/>
      <c r="B4526"/>
    </row>
    <row r="4527" spans="1:2" x14ac:dyDescent="0.25">
      <c r="A4527"/>
      <c r="B4527"/>
    </row>
    <row r="4528" spans="1:2" x14ac:dyDescent="0.25">
      <c r="A4528"/>
      <c r="B4528"/>
    </row>
    <row r="4529" spans="1:2" x14ac:dyDescent="0.25">
      <c r="A4529"/>
      <c r="B4529"/>
    </row>
    <row r="4530" spans="1:2" x14ac:dyDescent="0.25">
      <c r="A4530"/>
      <c r="B4530"/>
    </row>
    <row r="4531" spans="1:2" x14ac:dyDescent="0.25">
      <c r="A4531"/>
      <c r="B4531"/>
    </row>
    <row r="4532" spans="1:2" x14ac:dyDescent="0.25">
      <c r="A4532"/>
      <c r="B4532"/>
    </row>
    <row r="4533" spans="1:2" x14ac:dyDescent="0.25">
      <c r="A4533"/>
      <c r="B4533"/>
    </row>
    <row r="4534" spans="1:2" x14ac:dyDescent="0.25">
      <c r="A4534"/>
      <c r="B4534"/>
    </row>
    <row r="4535" spans="1:2" x14ac:dyDescent="0.25">
      <c r="A4535"/>
      <c r="B4535"/>
    </row>
    <row r="4536" spans="1:2" x14ac:dyDescent="0.25">
      <c r="A4536"/>
      <c r="B4536"/>
    </row>
    <row r="4537" spans="1:2" x14ac:dyDescent="0.25">
      <c r="A4537"/>
      <c r="B4537"/>
    </row>
    <row r="4538" spans="1:2" x14ac:dyDescent="0.25">
      <c r="A4538"/>
      <c r="B4538"/>
    </row>
    <row r="4539" spans="1:2" x14ac:dyDescent="0.25">
      <c r="A4539"/>
      <c r="B4539"/>
    </row>
    <row r="4540" spans="1:2" x14ac:dyDescent="0.25">
      <c r="A4540"/>
      <c r="B4540"/>
    </row>
    <row r="4541" spans="1:2" x14ac:dyDescent="0.25">
      <c r="A4541"/>
      <c r="B4541"/>
    </row>
    <row r="4542" spans="1:2" x14ac:dyDescent="0.25">
      <c r="A4542"/>
      <c r="B4542"/>
    </row>
    <row r="4543" spans="1:2" x14ac:dyDescent="0.25">
      <c r="A4543"/>
      <c r="B4543"/>
    </row>
    <row r="4544" spans="1:2" x14ac:dyDescent="0.25">
      <c r="A4544"/>
      <c r="B4544"/>
    </row>
    <row r="4545" spans="1:2" x14ac:dyDescent="0.25">
      <c r="A4545"/>
      <c r="B4545"/>
    </row>
    <row r="4546" spans="1:2" x14ac:dyDescent="0.25">
      <c r="A4546"/>
      <c r="B4546"/>
    </row>
    <row r="4547" spans="1:2" x14ac:dyDescent="0.25">
      <c r="A4547"/>
      <c r="B4547"/>
    </row>
    <row r="4548" spans="1:2" x14ac:dyDescent="0.25">
      <c r="A4548"/>
      <c r="B4548"/>
    </row>
    <row r="4549" spans="1:2" x14ac:dyDescent="0.25">
      <c r="A4549"/>
      <c r="B4549"/>
    </row>
    <row r="4550" spans="1:2" x14ac:dyDescent="0.25">
      <c r="A4550"/>
      <c r="B4550"/>
    </row>
    <row r="4551" spans="1:2" x14ac:dyDescent="0.25">
      <c r="A4551"/>
      <c r="B4551"/>
    </row>
    <row r="4552" spans="1:2" x14ac:dyDescent="0.25">
      <c r="A4552"/>
      <c r="B4552"/>
    </row>
    <row r="4553" spans="1:2" x14ac:dyDescent="0.25">
      <c r="A4553"/>
      <c r="B4553"/>
    </row>
    <row r="4554" spans="1:2" x14ac:dyDescent="0.25">
      <c r="A4554"/>
      <c r="B4554"/>
    </row>
    <row r="4555" spans="1:2" x14ac:dyDescent="0.25">
      <c r="A4555"/>
      <c r="B4555"/>
    </row>
    <row r="4556" spans="1:2" x14ac:dyDescent="0.25">
      <c r="A4556"/>
      <c r="B4556"/>
    </row>
    <row r="4557" spans="1:2" x14ac:dyDescent="0.25">
      <c r="A4557"/>
      <c r="B4557"/>
    </row>
    <row r="4558" spans="1:2" x14ac:dyDescent="0.25">
      <c r="A4558"/>
      <c r="B4558"/>
    </row>
    <row r="4559" spans="1:2" x14ac:dyDescent="0.25">
      <c r="A4559"/>
      <c r="B4559"/>
    </row>
    <row r="4560" spans="1:2" x14ac:dyDescent="0.25">
      <c r="A4560"/>
      <c r="B4560"/>
    </row>
    <row r="4561" spans="1:2" x14ac:dyDescent="0.25">
      <c r="A4561"/>
      <c r="B4561"/>
    </row>
    <row r="4562" spans="1:2" x14ac:dyDescent="0.25">
      <c r="A4562"/>
      <c r="B4562"/>
    </row>
    <row r="4563" spans="1:2" x14ac:dyDescent="0.25">
      <c r="A4563"/>
      <c r="B4563"/>
    </row>
    <row r="4564" spans="1:2" x14ac:dyDescent="0.25">
      <c r="A4564"/>
      <c r="B4564"/>
    </row>
    <row r="4565" spans="1:2" x14ac:dyDescent="0.25">
      <c r="A4565"/>
      <c r="B4565"/>
    </row>
    <row r="4566" spans="1:2" x14ac:dyDescent="0.25">
      <c r="A4566"/>
      <c r="B4566"/>
    </row>
    <row r="4567" spans="1:2" x14ac:dyDescent="0.25">
      <c r="A4567"/>
      <c r="B4567"/>
    </row>
    <row r="4568" spans="1:2" x14ac:dyDescent="0.25">
      <c r="A4568"/>
      <c r="B4568"/>
    </row>
    <row r="4569" spans="1:2" x14ac:dyDescent="0.25">
      <c r="A4569"/>
      <c r="B4569"/>
    </row>
    <row r="4570" spans="1:2" x14ac:dyDescent="0.25">
      <c r="A4570"/>
      <c r="B4570"/>
    </row>
    <row r="4571" spans="1:2" x14ac:dyDescent="0.25">
      <c r="A4571"/>
      <c r="B4571"/>
    </row>
    <row r="4572" spans="1:2" x14ac:dyDescent="0.25">
      <c r="A4572"/>
      <c r="B4572"/>
    </row>
    <row r="4573" spans="1:2" x14ac:dyDescent="0.25">
      <c r="A4573"/>
      <c r="B4573"/>
    </row>
    <row r="4574" spans="1:2" x14ac:dyDescent="0.25">
      <c r="A4574"/>
      <c r="B4574"/>
    </row>
    <row r="4575" spans="1:2" x14ac:dyDescent="0.25">
      <c r="A4575"/>
      <c r="B4575"/>
    </row>
    <row r="4576" spans="1:2" x14ac:dyDescent="0.25">
      <c r="A4576"/>
      <c r="B4576"/>
    </row>
    <row r="4577" spans="1:2" x14ac:dyDescent="0.25">
      <c r="A4577"/>
      <c r="B4577"/>
    </row>
    <row r="4578" spans="1:2" x14ac:dyDescent="0.25">
      <c r="A4578"/>
      <c r="B4578"/>
    </row>
    <row r="4579" spans="1:2" x14ac:dyDescent="0.25">
      <c r="A4579"/>
      <c r="B4579"/>
    </row>
    <row r="4580" spans="1:2" x14ac:dyDescent="0.25">
      <c r="A4580"/>
      <c r="B4580"/>
    </row>
    <row r="4581" spans="1:2" x14ac:dyDescent="0.25">
      <c r="A4581"/>
      <c r="B4581"/>
    </row>
    <row r="4582" spans="1:2" x14ac:dyDescent="0.25">
      <c r="A4582"/>
      <c r="B4582"/>
    </row>
    <row r="4583" spans="1:2" x14ac:dyDescent="0.25">
      <c r="A4583"/>
      <c r="B4583"/>
    </row>
    <row r="4584" spans="1:2" x14ac:dyDescent="0.25">
      <c r="A4584"/>
      <c r="B4584"/>
    </row>
    <row r="4585" spans="1:2" x14ac:dyDescent="0.25">
      <c r="A4585"/>
      <c r="B4585"/>
    </row>
    <row r="4586" spans="1:2" x14ac:dyDescent="0.25">
      <c r="A4586"/>
      <c r="B4586"/>
    </row>
    <row r="4587" spans="1:2" x14ac:dyDescent="0.25">
      <c r="A4587"/>
      <c r="B4587"/>
    </row>
    <row r="4588" spans="1:2" x14ac:dyDescent="0.25">
      <c r="A4588"/>
      <c r="B4588"/>
    </row>
    <row r="4589" spans="1:2" x14ac:dyDescent="0.25">
      <c r="A4589"/>
      <c r="B4589"/>
    </row>
    <row r="4590" spans="1:2" x14ac:dyDescent="0.25">
      <c r="A4590"/>
      <c r="B4590"/>
    </row>
    <row r="4591" spans="1:2" x14ac:dyDescent="0.25">
      <c r="A4591"/>
      <c r="B4591"/>
    </row>
    <row r="4592" spans="1:2" x14ac:dyDescent="0.25">
      <c r="A4592"/>
      <c r="B4592"/>
    </row>
    <row r="4593" spans="1:2" x14ac:dyDescent="0.25">
      <c r="A4593"/>
      <c r="B4593"/>
    </row>
    <row r="4594" spans="1:2" x14ac:dyDescent="0.25">
      <c r="A4594"/>
      <c r="B4594"/>
    </row>
    <row r="4595" spans="1:2" x14ac:dyDescent="0.25">
      <c r="A4595"/>
      <c r="B4595"/>
    </row>
    <row r="4596" spans="1:2" x14ac:dyDescent="0.25">
      <c r="A4596"/>
      <c r="B4596"/>
    </row>
    <row r="4597" spans="1:2" x14ac:dyDescent="0.25">
      <c r="A4597"/>
      <c r="B4597"/>
    </row>
    <row r="4598" spans="1:2" x14ac:dyDescent="0.25">
      <c r="A4598"/>
      <c r="B4598"/>
    </row>
    <row r="4599" spans="1:2" x14ac:dyDescent="0.25">
      <c r="A4599"/>
      <c r="B4599"/>
    </row>
    <row r="4600" spans="1:2" x14ac:dyDescent="0.25">
      <c r="A4600"/>
      <c r="B4600"/>
    </row>
    <row r="4601" spans="1:2" x14ac:dyDescent="0.25">
      <c r="A4601"/>
      <c r="B4601"/>
    </row>
    <row r="4602" spans="1:2" x14ac:dyDescent="0.25">
      <c r="A4602"/>
      <c r="B4602"/>
    </row>
    <row r="4603" spans="1:2" x14ac:dyDescent="0.25">
      <c r="A4603"/>
      <c r="B4603"/>
    </row>
    <row r="4604" spans="1:2" x14ac:dyDescent="0.25">
      <c r="A4604"/>
      <c r="B4604"/>
    </row>
    <row r="4605" spans="1:2" x14ac:dyDescent="0.25">
      <c r="A4605"/>
      <c r="B4605"/>
    </row>
    <row r="4606" spans="1:2" x14ac:dyDescent="0.25">
      <c r="A4606"/>
      <c r="B4606"/>
    </row>
    <row r="4607" spans="1:2" x14ac:dyDescent="0.25">
      <c r="A4607"/>
      <c r="B4607"/>
    </row>
    <row r="4608" spans="1:2" x14ac:dyDescent="0.25">
      <c r="A4608"/>
      <c r="B4608"/>
    </row>
    <row r="4609" spans="1:2" x14ac:dyDescent="0.25">
      <c r="A4609"/>
      <c r="B4609"/>
    </row>
    <row r="4610" spans="1:2" x14ac:dyDescent="0.25">
      <c r="A4610"/>
      <c r="B4610"/>
    </row>
    <row r="4611" spans="1:2" x14ac:dyDescent="0.25">
      <c r="A4611"/>
      <c r="B4611"/>
    </row>
    <row r="4612" spans="1:2" x14ac:dyDescent="0.25">
      <c r="A4612"/>
      <c r="B4612"/>
    </row>
    <row r="4613" spans="1:2" x14ac:dyDescent="0.25">
      <c r="A4613"/>
      <c r="B4613"/>
    </row>
    <row r="4614" spans="1:2" x14ac:dyDescent="0.25">
      <c r="A4614"/>
      <c r="B4614"/>
    </row>
    <row r="4615" spans="1:2" x14ac:dyDescent="0.25">
      <c r="A4615"/>
      <c r="B4615"/>
    </row>
    <row r="4616" spans="1:2" x14ac:dyDescent="0.25">
      <c r="A4616"/>
      <c r="B4616"/>
    </row>
    <row r="4617" spans="1:2" x14ac:dyDescent="0.25">
      <c r="A4617"/>
      <c r="B4617"/>
    </row>
    <row r="4618" spans="1:2" x14ac:dyDescent="0.25">
      <c r="A4618"/>
      <c r="B4618"/>
    </row>
    <row r="4619" spans="1:2" x14ac:dyDescent="0.25">
      <c r="A4619"/>
      <c r="B4619"/>
    </row>
    <row r="4620" spans="1:2" x14ac:dyDescent="0.25">
      <c r="A4620"/>
      <c r="B4620"/>
    </row>
    <row r="4621" spans="1:2" x14ac:dyDescent="0.25">
      <c r="A4621"/>
      <c r="B4621"/>
    </row>
    <row r="4622" spans="1:2" x14ac:dyDescent="0.25">
      <c r="A4622"/>
      <c r="B4622"/>
    </row>
    <row r="4623" spans="1:2" x14ac:dyDescent="0.25">
      <c r="A4623"/>
      <c r="B4623"/>
    </row>
    <row r="4624" spans="1:2" x14ac:dyDescent="0.25">
      <c r="A4624"/>
      <c r="B4624"/>
    </row>
    <row r="4625" spans="1:2" x14ac:dyDescent="0.25">
      <c r="A4625"/>
      <c r="B4625"/>
    </row>
    <row r="4626" spans="1:2" x14ac:dyDescent="0.25">
      <c r="A4626"/>
      <c r="B4626"/>
    </row>
    <row r="4627" spans="1:2" x14ac:dyDescent="0.25">
      <c r="A4627"/>
      <c r="B4627"/>
    </row>
    <row r="4628" spans="1:2" x14ac:dyDescent="0.25">
      <c r="A4628"/>
      <c r="B4628"/>
    </row>
    <row r="4629" spans="1:2" x14ac:dyDescent="0.25">
      <c r="A4629"/>
      <c r="B4629"/>
    </row>
    <row r="4630" spans="1:2" x14ac:dyDescent="0.25">
      <c r="A4630"/>
      <c r="B4630"/>
    </row>
    <row r="4631" spans="1:2" x14ac:dyDescent="0.25">
      <c r="A4631"/>
      <c r="B4631"/>
    </row>
    <row r="4632" spans="1:2" x14ac:dyDescent="0.25">
      <c r="A4632"/>
      <c r="B4632"/>
    </row>
    <row r="4633" spans="1:2" x14ac:dyDescent="0.25">
      <c r="A4633"/>
      <c r="B4633"/>
    </row>
    <row r="4634" spans="1:2" x14ac:dyDescent="0.25">
      <c r="A4634"/>
      <c r="B4634"/>
    </row>
    <row r="4635" spans="1:2" x14ac:dyDescent="0.25">
      <c r="A4635"/>
      <c r="B4635"/>
    </row>
    <row r="4636" spans="1:2" x14ac:dyDescent="0.25">
      <c r="A4636"/>
      <c r="B4636"/>
    </row>
    <row r="4637" spans="1:2" x14ac:dyDescent="0.25">
      <c r="A4637"/>
      <c r="B4637"/>
    </row>
    <row r="4638" spans="1:2" x14ac:dyDescent="0.25">
      <c r="A4638"/>
      <c r="B4638"/>
    </row>
    <row r="4639" spans="1:2" x14ac:dyDescent="0.25">
      <c r="A4639"/>
      <c r="B4639"/>
    </row>
    <row r="4640" spans="1:2" x14ac:dyDescent="0.25">
      <c r="A4640"/>
      <c r="B4640"/>
    </row>
    <row r="4641" spans="1:2" x14ac:dyDescent="0.25">
      <c r="A4641"/>
      <c r="B4641"/>
    </row>
    <row r="4642" spans="1:2" x14ac:dyDescent="0.25">
      <c r="A4642"/>
      <c r="B4642"/>
    </row>
    <row r="4643" spans="1:2" x14ac:dyDescent="0.25">
      <c r="A4643"/>
      <c r="B4643"/>
    </row>
    <row r="4644" spans="1:2" x14ac:dyDescent="0.25">
      <c r="A4644"/>
      <c r="B4644"/>
    </row>
    <row r="4645" spans="1:2" x14ac:dyDescent="0.25">
      <c r="A4645"/>
      <c r="B4645"/>
    </row>
    <row r="4646" spans="1:2" x14ac:dyDescent="0.25">
      <c r="A4646"/>
      <c r="B4646"/>
    </row>
    <row r="4647" spans="1:2" x14ac:dyDescent="0.25">
      <c r="A4647"/>
      <c r="B4647"/>
    </row>
    <row r="4648" spans="1:2" x14ac:dyDescent="0.25">
      <c r="A4648"/>
      <c r="B4648"/>
    </row>
    <row r="4649" spans="1:2" x14ac:dyDescent="0.25">
      <c r="A4649"/>
      <c r="B4649"/>
    </row>
    <row r="4650" spans="1:2" x14ac:dyDescent="0.25">
      <c r="A4650"/>
      <c r="B4650"/>
    </row>
    <row r="4651" spans="1:2" x14ac:dyDescent="0.25">
      <c r="A4651"/>
      <c r="B4651"/>
    </row>
    <row r="4652" spans="1:2" x14ac:dyDescent="0.25">
      <c r="A4652"/>
      <c r="B4652"/>
    </row>
    <row r="4653" spans="1:2" x14ac:dyDescent="0.25">
      <c r="A4653"/>
      <c r="B4653"/>
    </row>
    <row r="4654" spans="1:2" x14ac:dyDescent="0.25">
      <c r="A4654"/>
      <c r="B4654"/>
    </row>
    <row r="4655" spans="1:2" x14ac:dyDescent="0.25">
      <c r="A4655"/>
      <c r="B4655"/>
    </row>
    <row r="4656" spans="1:2" x14ac:dyDescent="0.25">
      <c r="A4656"/>
      <c r="B4656"/>
    </row>
    <row r="4657" spans="1:2" x14ac:dyDescent="0.25">
      <c r="A4657"/>
      <c r="B4657"/>
    </row>
    <row r="4658" spans="1:2" x14ac:dyDescent="0.25">
      <c r="A4658"/>
      <c r="B4658"/>
    </row>
    <row r="4659" spans="1:2" x14ac:dyDescent="0.25">
      <c r="A4659"/>
      <c r="B4659"/>
    </row>
    <row r="4660" spans="1:2" x14ac:dyDescent="0.25">
      <c r="A4660"/>
      <c r="B4660"/>
    </row>
    <row r="4661" spans="1:2" x14ac:dyDescent="0.25">
      <c r="A4661"/>
      <c r="B4661"/>
    </row>
    <row r="4662" spans="1:2" x14ac:dyDescent="0.25">
      <c r="A4662"/>
      <c r="B4662"/>
    </row>
    <row r="4663" spans="1:2" x14ac:dyDescent="0.25">
      <c r="A4663"/>
      <c r="B4663"/>
    </row>
    <row r="4664" spans="1:2" x14ac:dyDescent="0.25">
      <c r="A4664"/>
      <c r="B4664"/>
    </row>
    <row r="4665" spans="1:2" x14ac:dyDescent="0.25">
      <c r="A4665"/>
      <c r="B4665"/>
    </row>
    <row r="4666" spans="1:2" x14ac:dyDescent="0.25">
      <c r="A4666"/>
      <c r="B4666"/>
    </row>
    <row r="4667" spans="1:2" x14ac:dyDescent="0.25">
      <c r="A4667"/>
      <c r="B4667"/>
    </row>
    <row r="4668" spans="1:2" x14ac:dyDescent="0.25">
      <c r="A4668"/>
      <c r="B4668"/>
    </row>
    <row r="4669" spans="1:2" x14ac:dyDescent="0.25">
      <c r="A4669"/>
      <c r="B4669"/>
    </row>
    <row r="4670" spans="1:2" x14ac:dyDescent="0.25">
      <c r="A4670"/>
      <c r="B4670"/>
    </row>
    <row r="4671" spans="1:2" x14ac:dyDescent="0.25">
      <c r="A4671"/>
      <c r="B4671"/>
    </row>
    <row r="4672" spans="1:2" x14ac:dyDescent="0.25">
      <c r="A4672"/>
      <c r="B4672"/>
    </row>
    <row r="4673" spans="1:2" x14ac:dyDescent="0.25">
      <c r="A4673"/>
      <c r="B4673"/>
    </row>
    <row r="4674" spans="1:2" x14ac:dyDescent="0.25">
      <c r="A4674"/>
      <c r="B4674"/>
    </row>
    <row r="4675" spans="1:2" x14ac:dyDescent="0.25">
      <c r="A4675"/>
      <c r="B4675"/>
    </row>
    <row r="4676" spans="1:2" x14ac:dyDescent="0.25">
      <c r="A4676"/>
      <c r="B4676"/>
    </row>
    <row r="4677" spans="1:2" x14ac:dyDescent="0.25">
      <c r="A4677"/>
      <c r="B4677"/>
    </row>
    <row r="4678" spans="1:2" x14ac:dyDescent="0.25">
      <c r="A4678"/>
      <c r="B4678"/>
    </row>
    <row r="4679" spans="1:2" x14ac:dyDescent="0.25">
      <c r="A4679"/>
      <c r="B4679"/>
    </row>
    <row r="4680" spans="1:2" x14ac:dyDescent="0.25">
      <c r="A4680"/>
      <c r="B4680"/>
    </row>
    <row r="4681" spans="1:2" x14ac:dyDescent="0.25">
      <c r="A4681"/>
      <c r="B4681"/>
    </row>
    <row r="4682" spans="1:2" x14ac:dyDescent="0.25">
      <c r="A4682"/>
      <c r="B4682"/>
    </row>
    <row r="4683" spans="1:2" x14ac:dyDescent="0.25">
      <c r="A4683"/>
      <c r="B4683"/>
    </row>
    <row r="4684" spans="1:2" x14ac:dyDescent="0.25">
      <c r="A4684"/>
      <c r="B4684"/>
    </row>
    <row r="4685" spans="1:2" x14ac:dyDescent="0.25">
      <c r="A4685"/>
      <c r="B4685"/>
    </row>
    <row r="4686" spans="1:2" x14ac:dyDescent="0.25">
      <c r="A4686"/>
      <c r="B4686"/>
    </row>
    <row r="4687" spans="1:2" x14ac:dyDescent="0.25">
      <c r="A4687"/>
      <c r="B4687"/>
    </row>
    <row r="4688" spans="1:2" x14ac:dyDescent="0.25">
      <c r="A4688"/>
      <c r="B4688"/>
    </row>
    <row r="4689" spans="1:2" x14ac:dyDescent="0.25">
      <c r="A4689"/>
      <c r="B4689"/>
    </row>
    <row r="4690" spans="1:2" x14ac:dyDescent="0.25">
      <c r="A4690"/>
      <c r="B4690"/>
    </row>
    <row r="4691" spans="1:2" x14ac:dyDescent="0.25">
      <c r="A4691"/>
      <c r="B4691"/>
    </row>
    <row r="4692" spans="1:2" x14ac:dyDescent="0.25">
      <c r="A4692"/>
      <c r="B4692"/>
    </row>
    <row r="4693" spans="1:2" x14ac:dyDescent="0.25">
      <c r="A4693"/>
      <c r="B4693"/>
    </row>
    <row r="4694" spans="1:2" x14ac:dyDescent="0.25">
      <c r="A4694"/>
      <c r="B4694"/>
    </row>
    <row r="4695" spans="1:2" x14ac:dyDescent="0.25">
      <c r="A4695"/>
      <c r="B4695"/>
    </row>
    <row r="4696" spans="1:2" x14ac:dyDescent="0.25">
      <c r="A4696"/>
      <c r="B4696"/>
    </row>
    <row r="4697" spans="1:2" x14ac:dyDescent="0.25">
      <c r="A4697"/>
      <c r="B4697"/>
    </row>
    <row r="4698" spans="1:2" x14ac:dyDescent="0.25">
      <c r="A4698"/>
      <c r="B4698"/>
    </row>
    <row r="4699" spans="1:2" x14ac:dyDescent="0.25">
      <c r="A4699"/>
      <c r="B4699"/>
    </row>
    <row r="4700" spans="1:2" x14ac:dyDescent="0.25">
      <c r="A4700"/>
      <c r="B4700"/>
    </row>
    <row r="4701" spans="1:2" x14ac:dyDescent="0.25">
      <c r="A4701"/>
      <c r="B4701"/>
    </row>
    <row r="4702" spans="1:2" x14ac:dyDescent="0.25">
      <c r="A4702"/>
      <c r="B4702"/>
    </row>
    <row r="4703" spans="1:2" x14ac:dyDescent="0.25">
      <c r="A4703"/>
      <c r="B4703"/>
    </row>
    <row r="4704" spans="1:2" x14ac:dyDescent="0.25">
      <c r="A4704"/>
      <c r="B4704"/>
    </row>
    <row r="4705" spans="1:2" x14ac:dyDescent="0.25">
      <c r="A4705"/>
      <c r="B4705"/>
    </row>
    <row r="4706" spans="1:2" x14ac:dyDescent="0.25">
      <c r="A4706"/>
      <c r="B4706"/>
    </row>
    <row r="4707" spans="1:2" x14ac:dyDescent="0.25">
      <c r="A4707"/>
      <c r="B4707"/>
    </row>
    <row r="4708" spans="1:2" x14ac:dyDescent="0.25">
      <c r="A4708"/>
      <c r="B4708"/>
    </row>
    <row r="4709" spans="1:2" x14ac:dyDescent="0.25">
      <c r="A4709"/>
      <c r="B4709"/>
    </row>
    <row r="4710" spans="1:2" x14ac:dyDescent="0.25">
      <c r="A4710"/>
      <c r="B4710"/>
    </row>
    <row r="4711" spans="1:2" x14ac:dyDescent="0.25">
      <c r="A4711"/>
      <c r="B4711"/>
    </row>
    <row r="4712" spans="1:2" x14ac:dyDescent="0.25">
      <c r="A4712"/>
      <c r="B4712"/>
    </row>
    <row r="4713" spans="1:2" x14ac:dyDescent="0.25">
      <c r="A4713"/>
      <c r="B4713"/>
    </row>
    <row r="4714" spans="1:2" x14ac:dyDescent="0.25">
      <c r="A4714"/>
      <c r="B4714"/>
    </row>
    <row r="4715" spans="1:2" x14ac:dyDescent="0.25">
      <c r="A4715"/>
      <c r="B4715"/>
    </row>
    <row r="4716" spans="1:2" x14ac:dyDescent="0.25">
      <c r="A4716"/>
      <c r="B4716"/>
    </row>
    <row r="4717" spans="1:2" x14ac:dyDescent="0.25">
      <c r="A4717"/>
      <c r="B4717"/>
    </row>
    <row r="4718" spans="1:2" x14ac:dyDescent="0.25">
      <c r="A4718"/>
      <c r="B4718"/>
    </row>
    <row r="4719" spans="1:2" x14ac:dyDescent="0.25">
      <c r="A4719"/>
      <c r="B4719"/>
    </row>
    <row r="4720" spans="1:2" x14ac:dyDescent="0.25">
      <c r="A4720"/>
      <c r="B4720"/>
    </row>
    <row r="4721" spans="1:2" x14ac:dyDescent="0.25">
      <c r="A4721"/>
      <c r="B4721"/>
    </row>
    <row r="4722" spans="1:2" x14ac:dyDescent="0.25">
      <c r="A4722"/>
      <c r="B4722"/>
    </row>
    <row r="4723" spans="1:2" x14ac:dyDescent="0.25">
      <c r="A4723"/>
      <c r="B4723"/>
    </row>
    <row r="4724" spans="1:2" x14ac:dyDescent="0.25">
      <c r="A4724"/>
      <c r="B4724"/>
    </row>
    <row r="4725" spans="1:2" x14ac:dyDescent="0.25">
      <c r="A4725"/>
      <c r="B4725"/>
    </row>
    <row r="4726" spans="1:2" x14ac:dyDescent="0.25">
      <c r="A4726"/>
      <c r="B4726"/>
    </row>
    <row r="4727" spans="1:2" x14ac:dyDescent="0.25">
      <c r="A4727"/>
      <c r="B4727"/>
    </row>
    <row r="4728" spans="1:2" x14ac:dyDescent="0.25">
      <c r="A4728"/>
      <c r="B4728"/>
    </row>
    <row r="4729" spans="1:2" x14ac:dyDescent="0.25">
      <c r="A4729"/>
      <c r="B4729"/>
    </row>
    <row r="4730" spans="1:2" x14ac:dyDescent="0.25">
      <c r="A4730"/>
      <c r="B4730"/>
    </row>
    <row r="4731" spans="1:2" x14ac:dyDescent="0.25">
      <c r="A4731"/>
      <c r="B4731"/>
    </row>
    <row r="4732" spans="1:2" x14ac:dyDescent="0.25">
      <c r="A4732"/>
      <c r="B4732"/>
    </row>
    <row r="4733" spans="1:2" x14ac:dyDescent="0.25">
      <c r="A4733"/>
      <c r="B4733"/>
    </row>
    <row r="4734" spans="1:2" x14ac:dyDescent="0.25">
      <c r="A4734"/>
      <c r="B4734"/>
    </row>
    <row r="4735" spans="1:2" x14ac:dyDescent="0.25">
      <c r="A4735"/>
      <c r="B4735"/>
    </row>
    <row r="4736" spans="1:2" x14ac:dyDescent="0.25">
      <c r="A4736"/>
      <c r="B4736"/>
    </row>
    <row r="4737" spans="1:2" x14ac:dyDescent="0.25">
      <c r="A4737"/>
      <c r="B4737"/>
    </row>
    <row r="4738" spans="1:2" x14ac:dyDescent="0.25">
      <c r="A4738"/>
      <c r="B4738"/>
    </row>
    <row r="4739" spans="1:2" x14ac:dyDescent="0.25">
      <c r="A4739"/>
      <c r="B4739"/>
    </row>
    <row r="4740" spans="1:2" x14ac:dyDescent="0.25">
      <c r="A4740"/>
      <c r="B4740"/>
    </row>
    <row r="4741" spans="1:2" x14ac:dyDescent="0.25">
      <c r="A4741"/>
      <c r="B4741"/>
    </row>
    <row r="4742" spans="1:2" x14ac:dyDescent="0.25">
      <c r="A4742"/>
      <c r="B4742"/>
    </row>
    <row r="4743" spans="1:2" x14ac:dyDescent="0.25">
      <c r="A4743"/>
      <c r="B4743"/>
    </row>
    <row r="4744" spans="1:2" x14ac:dyDescent="0.25">
      <c r="A4744"/>
      <c r="B4744"/>
    </row>
    <row r="4745" spans="1:2" x14ac:dyDescent="0.25">
      <c r="A4745"/>
      <c r="B4745"/>
    </row>
    <row r="4746" spans="1:2" x14ac:dyDescent="0.25">
      <c r="A4746"/>
      <c r="B4746"/>
    </row>
    <row r="4747" spans="1:2" x14ac:dyDescent="0.25">
      <c r="A4747"/>
      <c r="B4747"/>
    </row>
    <row r="4748" spans="1:2" x14ac:dyDescent="0.25">
      <c r="A4748"/>
      <c r="B4748"/>
    </row>
    <row r="4749" spans="1:2" x14ac:dyDescent="0.25">
      <c r="A4749"/>
      <c r="B4749"/>
    </row>
    <row r="4750" spans="1:2" x14ac:dyDescent="0.25">
      <c r="A4750"/>
      <c r="B4750"/>
    </row>
    <row r="4751" spans="1:2" x14ac:dyDescent="0.25">
      <c r="A4751"/>
      <c r="B4751"/>
    </row>
    <row r="4752" spans="1:2" x14ac:dyDescent="0.25">
      <c r="A4752"/>
      <c r="B4752"/>
    </row>
    <row r="4753" spans="1:2" x14ac:dyDescent="0.25">
      <c r="A4753"/>
      <c r="B4753"/>
    </row>
    <row r="4754" spans="1:2" x14ac:dyDescent="0.25">
      <c r="A4754"/>
      <c r="B4754"/>
    </row>
    <row r="4755" spans="1:2" x14ac:dyDescent="0.25">
      <c r="A4755"/>
      <c r="B4755"/>
    </row>
    <row r="4756" spans="1:2" x14ac:dyDescent="0.25">
      <c r="A4756"/>
      <c r="B4756"/>
    </row>
    <row r="4757" spans="1:2" x14ac:dyDescent="0.25">
      <c r="A4757"/>
      <c r="B4757"/>
    </row>
    <row r="4758" spans="1:2" x14ac:dyDescent="0.25">
      <c r="A4758"/>
      <c r="B4758"/>
    </row>
    <row r="4759" spans="1:2" x14ac:dyDescent="0.25">
      <c r="A4759"/>
      <c r="B4759"/>
    </row>
    <row r="4760" spans="1:2" x14ac:dyDescent="0.25">
      <c r="A4760"/>
      <c r="B4760"/>
    </row>
    <row r="4761" spans="1:2" x14ac:dyDescent="0.25">
      <c r="A4761"/>
      <c r="B4761"/>
    </row>
    <row r="4762" spans="1:2" x14ac:dyDescent="0.25">
      <c r="A4762"/>
      <c r="B4762"/>
    </row>
    <row r="4763" spans="1:2" x14ac:dyDescent="0.25">
      <c r="A4763"/>
      <c r="B4763"/>
    </row>
    <row r="4764" spans="1:2" x14ac:dyDescent="0.25">
      <c r="A4764"/>
      <c r="B4764"/>
    </row>
    <row r="4765" spans="1:2" x14ac:dyDescent="0.25">
      <c r="A4765"/>
      <c r="B4765"/>
    </row>
    <row r="4766" spans="1:2" x14ac:dyDescent="0.25">
      <c r="A4766"/>
      <c r="B4766"/>
    </row>
    <row r="4767" spans="1:2" x14ac:dyDescent="0.25">
      <c r="A4767"/>
      <c r="B4767"/>
    </row>
    <row r="4768" spans="1:2" x14ac:dyDescent="0.25">
      <c r="A4768"/>
      <c r="B4768"/>
    </row>
    <row r="4769" spans="1:2" x14ac:dyDescent="0.25">
      <c r="A4769"/>
      <c r="B4769"/>
    </row>
    <row r="4770" spans="1:2" x14ac:dyDescent="0.25">
      <c r="A4770"/>
      <c r="B4770"/>
    </row>
    <row r="4771" spans="1:2" x14ac:dyDescent="0.25">
      <c r="A4771"/>
      <c r="B4771"/>
    </row>
    <row r="4772" spans="1:2" x14ac:dyDescent="0.25">
      <c r="A4772"/>
      <c r="B4772"/>
    </row>
    <row r="4773" spans="1:2" x14ac:dyDescent="0.25">
      <c r="A4773"/>
      <c r="B4773"/>
    </row>
    <row r="4774" spans="1:2" x14ac:dyDescent="0.25">
      <c r="A4774"/>
      <c r="B4774"/>
    </row>
    <row r="4775" spans="1:2" x14ac:dyDescent="0.25">
      <c r="A4775"/>
      <c r="B4775"/>
    </row>
    <row r="4776" spans="1:2" x14ac:dyDescent="0.25">
      <c r="A4776"/>
      <c r="B4776"/>
    </row>
    <row r="4777" spans="1:2" x14ac:dyDescent="0.25">
      <c r="A4777"/>
      <c r="B4777"/>
    </row>
    <row r="4778" spans="1:2" x14ac:dyDescent="0.25">
      <c r="A4778"/>
      <c r="B4778"/>
    </row>
    <row r="4779" spans="1:2" x14ac:dyDescent="0.25">
      <c r="A4779"/>
      <c r="B4779"/>
    </row>
    <row r="4780" spans="1:2" x14ac:dyDescent="0.25">
      <c r="A4780"/>
      <c r="B4780"/>
    </row>
    <row r="4781" spans="1:2" x14ac:dyDescent="0.25">
      <c r="A4781"/>
      <c r="B4781"/>
    </row>
    <row r="4782" spans="1:2" x14ac:dyDescent="0.25">
      <c r="A4782"/>
      <c r="B4782"/>
    </row>
    <row r="4783" spans="1:2" x14ac:dyDescent="0.25">
      <c r="A4783"/>
      <c r="B4783"/>
    </row>
    <row r="4784" spans="1:2" x14ac:dyDescent="0.25">
      <c r="A4784"/>
      <c r="B4784"/>
    </row>
    <row r="4785" spans="1:2" x14ac:dyDescent="0.25">
      <c r="A4785"/>
      <c r="B4785"/>
    </row>
    <row r="4786" spans="1:2" x14ac:dyDescent="0.25">
      <c r="A4786"/>
      <c r="B4786"/>
    </row>
    <row r="4787" spans="1:2" x14ac:dyDescent="0.25">
      <c r="A4787"/>
      <c r="B4787"/>
    </row>
    <row r="4788" spans="1:2" x14ac:dyDescent="0.25">
      <c r="A4788"/>
      <c r="B4788"/>
    </row>
    <row r="4789" spans="1:2" x14ac:dyDescent="0.25">
      <c r="A4789"/>
      <c r="B4789"/>
    </row>
    <row r="4790" spans="1:2" x14ac:dyDescent="0.25">
      <c r="A4790"/>
      <c r="B4790"/>
    </row>
    <row r="4791" spans="1:2" x14ac:dyDescent="0.25">
      <c r="A4791"/>
      <c r="B4791"/>
    </row>
    <row r="4792" spans="1:2" x14ac:dyDescent="0.25">
      <c r="A4792"/>
      <c r="B4792"/>
    </row>
    <row r="4793" spans="1:2" x14ac:dyDescent="0.25">
      <c r="A4793"/>
      <c r="B4793"/>
    </row>
    <row r="4794" spans="1:2" x14ac:dyDescent="0.25">
      <c r="A4794"/>
      <c r="B4794"/>
    </row>
    <row r="4795" spans="1:2" x14ac:dyDescent="0.25">
      <c r="A4795"/>
      <c r="B4795"/>
    </row>
    <row r="4796" spans="1:2" x14ac:dyDescent="0.25">
      <c r="A4796"/>
      <c r="B4796"/>
    </row>
    <row r="4797" spans="1:2" x14ac:dyDescent="0.25">
      <c r="A4797"/>
      <c r="B4797"/>
    </row>
    <row r="4798" spans="1:2" x14ac:dyDescent="0.25">
      <c r="A4798"/>
      <c r="B4798"/>
    </row>
    <row r="4799" spans="1:2" x14ac:dyDescent="0.25">
      <c r="A4799"/>
      <c r="B4799"/>
    </row>
    <row r="4800" spans="1:2" x14ac:dyDescent="0.25">
      <c r="A4800"/>
      <c r="B4800"/>
    </row>
    <row r="4801" spans="1:2" x14ac:dyDescent="0.25">
      <c r="A4801"/>
      <c r="B4801"/>
    </row>
    <row r="4802" spans="1:2" x14ac:dyDescent="0.25">
      <c r="A4802"/>
      <c r="B4802"/>
    </row>
    <row r="4803" spans="1:2" x14ac:dyDescent="0.25">
      <c r="A4803"/>
      <c r="B4803"/>
    </row>
    <row r="4804" spans="1:2" x14ac:dyDescent="0.25">
      <c r="A4804"/>
      <c r="B4804"/>
    </row>
    <row r="4805" spans="1:2" x14ac:dyDescent="0.25">
      <c r="A4805"/>
      <c r="B4805"/>
    </row>
    <row r="4806" spans="1:2" x14ac:dyDescent="0.25">
      <c r="A4806"/>
      <c r="B4806"/>
    </row>
    <row r="4807" spans="1:2" x14ac:dyDescent="0.25">
      <c r="A4807"/>
      <c r="B4807"/>
    </row>
    <row r="4808" spans="1:2" x14ac:dyDescent="0.25">
      <c r="A4808"/>
      <c r="B4808"/>
    </row>
    <row r="4809" spans="1:2" x14ac:dyDescent="0.25">
      <c r="A4809"/>
      <c r="B4809"/>
    </row>
    <row r="4810" spans="1:2" x14ac:dyDescent="0.25">
      <c r="A4810"/>
      <c r="B4810"/>
    </row>
    <row r="4811" spans="1:2" x14ac:dyDescent="0.25">
      <c r="A4811"/>
      <c r="B4811"/>
    </row>
    <row r="4812" spans="1:2" x14ac:dyDescent="0.25">
      <c r="A4812"/>
      <c r="B4812"/>
    </row>
    <row r="4813" spans="1:2" x14ac:dyDescent="0.25">
      <c r="A4813"/>
      <c r="B4813"/>
    </row>
    <row r="4814" spans="1:2" x14ac:dyDescent="0.25">
      <c r="A4814"/>
      <c r="B4814"/>
    </row>
    <row r="4815" spans="1:2" x14ac:dyDescent="0.25">
      <c r="A4815"/>
      <c r="B4815"/>
    </row>
    <row r="4816" spans="1:2" x14ac:dyDescent="0.25">
      <c r="A4816"/>
      <c r="B4816"/>
    </row>
    <row r="4817" spans="1:2" x14ac:dyDescent="0.25">
      <c r="A4817"/>
      <c r="B4817"/>
    </row>
    <row r="4818" spans="1:2" x14ac:dyDescent="0.25">
      <c r="A4818"/>
      <c r="B4818"/>
    </row>
    <row r="4819" spans="1:2" x14ac:dyDescent="0.25">
      <c r="A4819"/>
      <c r="B4819"/>
    </row>
    <row r="4820" spans="1:2" x14ac:dyDescent="0.25">
      <c r="A4820"/>
      <c r="B4820"/>
    </row>
    <row r="4821" spans="1:2" x14ac:dyDescent="0.25">
      <c r="A4821"/>
      <c r="B4821"/>
    </row>
    <row r="4822" spans="1:2" x14ac:dyDescent="0.25">
      <c r="A4822"/>
      <c r="B4822"/>
    </row>
    <row r="4823" spans="1:2" x14ac:dyDescent="0.25">
      <c r="A4823"/>
      <c r="B4823"/>
    </row>
    <row r="4824" spans="1:2" x14ac:dyDescent="0.25">
      <c r="A4824"/>
      <c r="B4824"/>
    </row>
    <row r="4825" spans="1:2" x14ac:dyDescent="0.25">
      <c r="A4825"/>
      <c r="B4825"/>
    </row>
    <row r="4826" spans="1:2" x14ac:dyDescent="0.25">
      <c r="A4826"/>
      <c r="B4826"/>
    </row>
    <row r="4827" spans="1:2" x14ac:dyDescent="0.25">
      <c r="A4827"/>
      <c r="B4827"/>
    </row>
    <row r="4828" spans="1:2" x14ac:dyDescent="0.25">
      <c r="A4828"/>
      <c r="B4828"/>
    </row>
    <row r="4829" spans="1:2" x14ac:dyDescent="0.25">
      <c r="A4829"/>
      <c r="B4829"/>
    </row>
    <row r="4830" spans="1:2" x14ac:dyDescent="0.25">
      <c r="A4830"/>
      <c r="B4830"/>
    </row>
    <row r="4831" spans="1:2" x14ac:dyDescent="0.25">
      <c r="A4831"/>
      <c r="B4831"/>
    </row>
    <row r="4832" spans="1:2" x14ac:dyDescent="0.25">
      <c r="A4832"/>
      <c r="B4832"/>
    </row>
    <row r="4833" spans="1:2" x14ac:dyDescent="0.25">
      <c r="A4833"/>
      <c r="B4833"/>
    </row>
    <row r="4834" spans="1:2" x14ac:dyDescent="0.25">
      <c r="A4834"/>
      <c r="B4834"/>
    </row>
    <row r="4835" spans="1:2" x14ac:dyDescent="0.25">
      <c r="A4835"/>
      <c r="B4835"/>
    </row>
    <row r="4836" spans="1:2" x14ac:dyDescent="0.25">
      <c r="A4836"/>
      <c r="B4836"/>
    </row>
    <row r="4837" spans="1:2" x14ac:dyDescent="0.25">
      <c r="A4837"/>
      <c r="B4837"/>
    </row>
    <row r="4838" spans="1:2" x14ac:dyDescent="0.25">
      <c r="A4838"/>
      <c r="B4838"/>
    </row>
    <row r="4839" spans="1:2" x14ac:dyDescent="0.25">
      <c r="A4839"/>
      <c r="B4839"/>
    </row>
    <row r="4840" spans="1:2" x14ac:dyDescent="0.25">
      <c r="A4840"/>
      <c r="B4840"/>
    </row>
    <row r="4841" spans="1:2" x14ac:dyDescent="0.25">
      <c r="A4841"/>
      <c r="B4841"/>
    </row>
    <row r="4842" spans="1:2" x14ac:dyDescent="0.25">
      <c r="A4842"/>
      <c r="B4842"/>
    </row>
    <row r="4843" spans="1:2" x14ac:dyDescent="0.25">
      <c r="A4843"/>
      <c r="B4843"/>
    </row>
    <row r="4844" spans="1:2" x14ac:dyDescent="0.25">
      <c r="A4844"/>
      <c r="B4844"/>
    </row>
    <row r="4845" spans="1:2" x14ac:dyDescent="0.25">
      <c r="A4845"/>
      <c r="B4845"/>
    </row>
    <row r="4846" spans="1:2" x14ac:dyDescent="0.25">
      <c r="A4846"/>
      <c r="B4846"/>
    </row>
    <row r="4847" spans="1:2" x14ac:dyDescent="0.25">
      <c r="A4847"/>
      <c r="B4847"/>
    </row>
    <row r="4848" spans="1:2" x14ac:dyDescent="0.25">
      <c r="A4848"/>
      <c r="B4848"/>
    </row>
    <row r="4849" spans="1:2" x14ac:dyDescent="0.25">
      <c r="A4849"/>
      <c r="B4849"/>
    </row>
    <row r="4850" spans="1:2" x14ac:dyDescent="0.25">
      <c r="A4850"/>
      <c r="B4850"/>
    </row>
    <row r="4851" spans="1:2" x14ac:dyDescent="0.25">
      <c r="A4851"/>
      <c r="B4851"/>
    </row>
    <row r="4852" spans="1:2" x14ac:dyDescent="0.25">
      <c r="A4852"/>
      <c r="B4852"/>
    </row>
    <row r="4853" spans="1:2" x14ac:dyDescent="0.25">
      <c r="A4853"/>
      <c r="B4853"/>
    </row>
    <row r="4854" spans="1:2" x14ac:dyDescent="0.25">
      <c r="A4854"/>
      <c r="B4854"/>
    </row>
    <row r="4855" spans="1:2" x14ac:dyDescent="0.25">
      <c r="A4855"/>
      <c r="B4855"/>
    </row>
    <row r="4856" spans="1:2" x14ac:dyDescent="0.25">
      <c r="A4856"/>
      <c r="B4856"/>
    </row>
    <row r="4857" spans="1:2" x14ac:dyDescent="0.25">
      <c r="A4857"/>
      <c r="B4857"/>
    </row>
    <row r="4858" spans="1:2" x14ac:dyDescent="0.25">
      <c r="A4858"/>
      <c r="B4858"/>
    </row>
    <row r="4859" spans="1:2" x14ac:dyDescent="0.25">
      <c r="A4859"/>
      <c r="B4859"/>
    </row>
    <row r="4860" spans="1:2" x14ac:dyDescent="0.25">
      <c r="A4860"/>
      <c r="B4860"/>
    </row>
    <row r="4861" spans="1:2" x14ac:dyDescent="0.25">
      <c r="A4861"/>
      <c r="B4861"/>
    </row>
    <row r="4862" spans="1:2" x14ac:dyDescent="0.25">
      <c r="A4862"/>
      <c r="B4862"/>
    </row>
    <row r="4863" spans="1:2" x14ac:dyDescent="0.25">
      <c r="A4863"/>
      <c r="B4863"/>
    </row>
    <row r="4864" spans="1:2" x14ac:dyDescent="0.25">
      <c r="A4864"/>
      <c r="B4864"/>
    </row>
    <row r="4865" spans="1:2" x14ac:dyDescent="0.25">
      <c r="A4865"/>
      <c r="B4865"/>
    </row>
    <row r="4866" spans="1:2" x14ac:dyDescent="0.25">
      <c r="A4866"/>
      <c r="B4866"/>
    </row>
    <row r="4867" spans="1:2" x14ac:dyDescent="0.25">
      <c r="A4867"/>
      <c r="B4867"/>
    </row>
    <row r="4868" spans="1:2" x14ac:dyDescent="0.25">
      <c r="A4868"/>
      <c r="B4868"/>
    </row>
    <row r="4869" spans="1:2" x14ac:dyDescent="0.25">
      <c r="A4869"/>
      <c r="B4869"/>
    </row>
    <row r="4870" spans="1:2" x14ac:dyDescent="0.25">
      <c r="A4870"/>
      <c r="B4870"/>
    </row>
    <row r="4871" spans="1:2" x14ac:dyDescent="0.25">
      <c r="A4871"/>
      <c r="B4871"/>
    </row>
    <row r="4872" spans="1:2" x14ac:dyDescent="0.25">
      <c r="A4872"/>
      <c r="B4872"/>
    </row>
    <row r="4873" spans="1:2" x14ac:dyDescent="0.25">
      <c r="A4873"/>
      <c r="B4873"/>
    </row>
    <row r="4874" spans="1:2" x14ac:dyDescent="0.25">
      <c r="A4874"/>
      <c r="B4874"/>
    </row>
    <row r="4875" spans="1:2" x14ac:dyDescent="0.25">
      <c r="A4875"/>
      <c r="B4875"/>
    </row>
    <row r="4876" spans="1:2" x14ac:dyDescent="0.25">
      <c r="A4876"/>
      <c r="B4876"/>
    </row>
    <row r="4877" spans="1:2" x14ac:dyDescent="0.25">
      <c r="A4877"/>
      <c r="B4877"/>
    </row>
    <row r="4878" spans="1:2" x14ac:dyDescent="0.25">
      <c r="A4878"/>
      <c r="B4878"/>
    </row>
    <row r="4879" spans="1:2" x14ac:dyDescent="0.25">
      <c r="A4879"/>
      <c r="B4879"/>
    </row>
    <row r="4880" spans="1:2" x14ac:dyDescent="0.25">
      <c r="A4880"/>
      <c r="B4880"/>
    </row>
    <row r="4881" spans="1:2" x14ac:dyDescent="0.25">
      <c r="A4881"/>
      <c r="B4881"/>
    </row>
    <row r="4882" spans="1:2" x14ac:dyDescent="0.25">
      <c r="A4882"/>
      <c r="B4882"/>
    </row>
    <row r="4883" spans="1:2" x14ac:dyDescent="0.25">
      <c r="A4883"/>
      <c r="B4883"/>
    </row>
    <row r="4884" spans="1:2" x14ac:dyDescent="0.25">
      <c r="A4884"/>
      <c r="B4884"/>
    </row>
    <row r="4885" spans="1:2" x14ac:dyDescent="0.25">
      <c r="A4885"/>
      <c r="B4885"/>
    </row>
    <row r="4886" spans="1:2" x14ac:dyDescent="0.25">
      <c r="A4886"/>
      <c r="B4886"/>
    </row>
    <row r="4887" spans="1:2" x14ac:dyDescent="0.25">
      <c r="A4887"/>
      <c r="B4887"/>
    </row>
    <row r="4888" spans="1:2" x14ac:dyDescent="0.25">
      <c r="A4888"/>
      <c r="B4888"/>
    </row>
    <row r="4889" spans="1:2" x14ac:dyDescent="0.25">
      <c r="A4889"/>
      <c r="B4889"/>
    </row>
    <row r="4890" spans="1:2" x14ac:dyDescent="0.25">
      <c r="A4890"/>
      <c r="B4890"/>
    </row>
    <row r="4891" spans="1:2" x14ac:dyDescent="0.25">
      <c r="A4891"/>
      <c r="B4891"/>
    </row>
    <row r="4892" spans="1:2" x14ac:dyDescent="0.25">
      <c r="A4892"/>
      <c r="B4892"/>
    </row>
    <row r="4893" spans="1:2" x14ac:dyDescent="0.25">
      <c r="A4893"/>
      <c r="B4893"/>
    </row>
    <row r="4894" spans="1:2" x14ac:dyDescent="0.25">
      <c r="A4894"/>
      <c r="B4894"/>
    </row>
    <row r="4895" spans="1:2" x14ac:dyDescent="0.25">
      <c r="A4895"/>
      <c r="B4895"/>
    </row>
    <row r="4896" spans="1:2" x14ac:dyDescent="0.25">
      <c r="A4896"/>
      <c r="B4896"/>
    </row>
    <row r="4897" spans="1:2" x14ac:dyDescent="0.25">
      <c r="A4897"/>
      <c r="B4897"/>
    </row>
    <row r="4898" spans="1:2" x14ac:dyDescent="0.25">
      <c r="A4898"/>
      <c r="B4898"/>
    </row>
    <row r="4899" spans="1:2" x14ac:dyDescent="0.25">
      <c r="A4899"/>
      <c r="B4899"/>
    </row>
    <row r="4900" spans="1:2" x14ac:dyDescent="0.25">
      <c r="A4900"/>
      <c r="B4900"/>
    </row>
    <row r="4901" spans="1:2" x14ac:dyDescent="0.25">
      <c r="A4901"/>
      <c r="B4901"/>
    </row>
    <row r="4902" spans="1:2" x14ac:dyDescent="0.25">
      <c r="A4902"/>
      <c r="B4902"/>
    </row>
    <row r="4903" spans="1:2" x14ac:dyDescent="0.25">
      <c r="A4903"/>
      <c r="B4903"/>
    </row>
    <row r="4904" spans="1:2" x14ac:dyDescent="0.25">
      <c r="A4904"/>
      <c r="B4904"/>
    </row>
    <row r="4905" spans="1:2" x14ac:dyDescent="0.25">
      <c r="A4905"/>
      <c r="B4905"/>
    </row>
    <row r="4906" spans="1:2" x14ac:dyDescent="0.25">
      <c r="A4906"/>
      <c r="B4906"/>
    </row>
    <row r="4907" spans="1:2" x14ac:dyDescent="0.25">
      <c r="A4907"/>
      <c r="B4907"/>
    </row>
    <row r="4908" spans="1:2" x14ac:dyDescent="0.25">
      <c r="A4908"/>
      <c r="B4908"/>
    </row>
    <row r="4909" spans="1:2" x14ac:dyDescent="0.25">
      <c r="A4909"/>
      <c r="B4909"/>
    </row>
    <row r="4910" spans="1:2" x14ac:dyDescent="0.25">
      <c r="A4910"/>
      <c r="B4910"/>
    </row>
    <row r="4911" spans="1:2" x14ac:dyDescent="0.25">
      <c r="A4911"/>
      <c r="B4911"/>
    </row>
    <row r="4912" spans="1:2" x14ac:dyDescent="0.25">
      <c r="A4912"/>
      <c r="B4912"/>
    </row>
    <row r="4913" spans="1:2" x14ac:dyDescent="0.25">
      <c r="A4913"/>
      <c r="B4913"/>
    </row>
    <row r="4914" spans="1:2" x14ac:dyDescent="0.25">
      <c r="A4914"/>
      <c r="B4914"/>
    </row>
    <row r="4915" spans="1:2" x14ac:dyDescent="0.25">
      <c r="A4915"/>
      <c r="B4915"/>
    </row>
    <row r="4916" spans="1:2" x14ac:dyDescent="0.25">
      <c r="A4916"/>
      <c r="B4916"/>
    </row>
    <row r="4917" spans="1:2" x14ac:dyDescent="0.25">
      <c r="A4917"/>
      <c r="B4917"/>
    </row>
    <row r="4918" spans="1:2" x14ac:dyDescent="0.25">
      <c r="A4918"/>
      <c r="B4918"/>
    </row>
    <row r="4919" spans="1:2" x14ac:dyDescent="0.25">
      <c r="A4919"/>
      <c r="B4919"/>
    </row>
    <row r="4920" spans="1:2" x14ac:dyDescent="0.25">
      <c r="A4920"/>
      <c r="B4920"/>
    </row>
    <row r="4921" spans="1:2" x14ac:dyDescent="0.25">
      <c r="A4921"/>
      <c r="B4921"/>
    </row>
    <row r="4922" spans="1:2" x14ac:dyDescent="0.25">
      <c r="A4922"/>
      <c r="B4922"/>
    </row>
    <row r="4923" spans="1:2" x14ac:dyDescent="0.25">
      <c r="A4923"/>
      <c r="B4923"/>
    </row>
    <row r="4924" spans="1:2" x14ac:dyDescent="0.25">
      <c r="A4924"/>
      <c r="B4924"/>
    </row>
    <row r="4925" spans="1:2" x14ac:dyDescent="0.25">
      <c r="A4925"/>
      <c r="B4925"/>
    </row>
    <row r="4926" spans="1:2" x14ac:dyDescent="0.25">
      <c r="A4926"/>
      <c r="B4926"/>
    </row>
    <row r="4927" spans="1:2" x14ac:dyDescent="0.25">
      <c r="A4927"/>
      <c r="B4927"/>
    </row>
    <row r="4928" spans="1:2" x14ac:dyDescent="0.25">
      <c r="A4928"/>
      <c r="B4928"/>
    </row>
    <row r="4929" spans="1:2" x14ac:dyDescent="0.25">
      <c r="A4929"/>
      <c r="B4929"/>
    </row>
    <row r="4930" spans="1:2" x14ac:dyDescent="0.25">
      <c r="A4930"/>
      <c r="B4930"/>
    </row>
    <row r="4931" spans="1:2" x14ac:dyDescent="0.25">
      <c r="A4931"/>
      <c r="B4931"/>
    </row>
    <row r="4932" spans="1:2" x14ac:dyDescent="0.25">
      <c r="A4932"/>
      <c r="B4932"/>
    </row>
    <row r="4933" spans="1:2" x14ac:dyDescent="0.25">
      <c r="A4933"/>
      <c r="B4933"/>
    </row>
    <row r="4934" spans="1:2" x14ac:dyDescent="0.25">
      <c r="A4934"/>
      <c r="B4934"/>
    </row>
    <row r="4935" spans="1:2" x14ac:dyDescent="0.25">
      <c r="A4935"/>
      <c r="B4935"/>
    </row>
    <row r="4936" spans="1:2" x14ac:dyDescent="0.25">
      <c r="A4936"/>
      <c r="B4936"/>
    </row>
    <row r="4937" spans="1:2" x14ac:dyDescent="0.25">
      <c r="A4937"/>
      <c r="B4937"/>
    </row>
    <row r="4938" spans="1:2" x14ac:dyDescent="0.25">
      <c r="A4938"/>
      <c r="B4938"/>
    </row>
    <row r="4939" spans="1:2" x14ac:dyDescent="0.25">
      <c r="A4939"/>
      <c r="B4939"/>
    </row>
    <row r="4940" spans="1:2" x14ac:dyDescent="0.25">
      <c r="A4940"/>
      <c r="B4940"/>
    </row>
    <row r="4941" spans="1:2" x14ac:dyDescent="0.25">
      <c r="A4941"/>
      <c r="B4941"/>
    </row>
    <row r="4942" spans="1:2" x14ac:dyDescent="0.25">
      <c r="A4942"/>
      <c r="B4942"/>
    </row>
    <row r="4943" spans="1:2" x14ac:dyDescent="0.25">
      <c r="A4943"/>
      <c r="B4943"/>
    </row>
    <row r="4944" spans="1:2" x14ac:dyDescent="0.25">
      <c r="A4944"/>
      <c r="B4944"/>
    </row>
    <row r="4945" spans="1:2" x14ac:dyDescent="0.25">
      <c r="A4945"/>
      <c r="B4945"/>
    </row>
    <row r="4946" spans="1:2" x14ac:dyDescent="0.25">
      <c r="A4946"/>
      <c r="B4946"/>
    </row>
    <row r="4947" spans="1:2" x14ac:dyDescent="0.25">
      <c r="A4947"/>
      <c r="B4947"/>
    </row>
    <row r="4948" spans="1:2" x14ac:dyDescent="0.25">
      <c r="A4948"/>
      <c r="B4948"/>
    </row>
    <row r="4949" spans="1:2" x14ac:dyDescent="0.25">
      <c r="A4949"/>
      <c r="B4949"/>
    </row>
    <row r="4950" spans="1:2" x14ac:dyDescent="0.25">
      <c r="A4950"/>
      <c r="B4950"/>
    </row>
    <row r="4951" spans="1:2" x14ac:dyDescent="0.25">
      <c r="A4951"/>
      <c r="B4951"/>
    </row>
    <row r="4952" spans="1:2" x14ac:dyDescent="0.25">
      <c r="A4952"/>
      <c r="B4952"/>
    </row>
    <row r="4953" spans="1:2" x14ac:dyDescent="0.25">
      <c r="A4953"/>
      <c r="B4953"/>
    </row>
    <row r="4954" spans="1:2" x14ac:dyDescent="0.25">
      <c r="A4954"/>
      <c r="B4954"/>
    </row>
    <row r="4955" spans="1:2" x14ac:dyDescent="0.25">
      <c r="A4955"/>
      <c r="B4955"/>
    </row>
    <row r="4956" spans="1:2" x14ac:dyDescent="0.25">
      <c r="A4956"/>
      <c r="B4956"/>
    </row>
    <row r="4957" spans="1:2" x14ac:dyDescent="0.25">
      <c r="A4957"/>
      <c r="B4957"/>
    </row>
    <row r="4958" spans="1:2" x14ac:dyDescent="0.25">
      <c r="A4958"/>
      <c r="B4958"/>
    </row>
    <row r="4959" spans="1:2" x14ac:dyDescent="0.25">
      <c r="A4959"/>
      <c r="B4959"/>
    </row>
    <row r="4960" spans="1:2" x14ac:dyDescent="0.25">
      <c r="A4960"/>
      <c r="B4960"/>
    </row>
    <row r="4961" spans="1:2" x14ac:dyDescent="0.25">
      <c r="A4961"/>
      <c r="B4961"/>
    </row>
    <row r="4962" spans="1:2" x14ac:dyDescent="0.25">
      <c r="A4962"/>
      <c r="B4962"/>
    </row>
    <row r="4963" spans="1:2" x14ac:dyDescent="0.25">
      <c r="A4963"/>
      <c r="B4963"/>
    </row>
    <row r="4964" spans="1:2" x14ac:dyDescent="0.25">
      <c r="A4964"/>
      <c r="B4964"/>
    </row>
    <row r="4965" spans="1:2" x14ac:dyDescent="0.25">
      <c r="A4965"/>
      <c r="B4965"/>
    </row>
    <row r="4966" spans="1:2" x14ac:dyDescent="0.25">
      <c r="A4966"/>
      <c r="B4966"/>
    </row>
    <row r="4967" spans="1:2" x14ac:dyDescent="0.25">
      <c r="A4967"/>
      <c r="B4967"/>
    </row>
    <row r="4968" spans="1:2" x14ac:dyDescent="0.25">
      <c r="A4968"/>
      <c r="B4968"/>
    </row>
    <row r="4969" spans="1:2" x14ac:dyDescent="0.25">
      <c r="A4969"/>
      <c r="B4969"/>
    </row>
    <row r="4970" spans="1:2" x14ac:dyDescent="0.25">
      <c r="A4970"/>
      <c r="B4970"/>
    </row>
    <row r="4971" spans="1:2" x14ac:dyDescent="0.25">
      <c r="A4971"/>
      <c r="B4971"/>
    </row>
    <row r="4972" spans="1:2" x14ac:dyDescent="0.25">
      <c r="A4972"/>
      <c r="B4972"/>
    </row>
    <row r="4973" spans="1:2" x14ac:dyDescent="0.25">
      <c r="A4973"/>
      <c r="B4973"/>
    </row>
    <row r="4974" spans="1:2" x14ac:dyDescent="0.25">
      <c r="A4974"/>
      <c r="B4974"/>
    </row>
    <row r="4975" spans="1:2" x14ac:dyDescent="0.25">
      <c r="A4975"/>
      <c r="B4975"/>
    </row>
    <row r="4976" spans="1:2" x14ac:dyDescent="0.25">
      <c r="A4976"/>
      <c r="B4976"/>
    </row>
    <row r="4977" spans="1:2" x14ac:dyDescent="0.25">
      <c r="A4977"/>
      <c r="B4977"/>
    </row>
    <row r="4978" spans="1:2" x14ac:dyDescent="0.25">
      <c r="A4978"/>
      <c r="B4978"/>
    </row>
    <row r="4979" spans="1:2" x14ac:dyDescent="0.25">
      <c r="A4979"/>
      <c r="B4979"/>
    </row>
    <row r="4980" spans="1:2" x14ac:dyDescent="0.25">
      <c r="A4980"/>
      <c r="B4980"/>
    </row>
    <row r="4981" spans="1:2" x14ac:dyDescent="0.25">
      <c r="A4981"/>
      <c r="B4981"/>
    </row>
    <row r="4982" spans="1:2" x14ac:dyDescent="0.25">
      <c r="A4982"/>
      <c r="B4982"/>
    </row>
    <row r="4983" spans="1:2" x14ac:dyDescent="0.25">
      <c r="A4983"/>
      <c r="B4983"/>
    </row>
    <row r="4984" spans="1:2" x14ac:dyDescent="0.25">
      <c r="A4984"/>
      <c r="B4984"/>
    </row>
    <row r="4985" spans="1:2" x14ac:dyDescent="0.25">
      <c r="A4985"/>
      <c r="B4985"/>
    </row>
    <row r="4986" spans="1:2" x14ac:dyDescent="0.25">
      <c r="A4986"/>
      <c r="B4986"/>
    </row>
    <row r="4987" spans="1:2" x14ac:dyDescent="0.25">
      <c r="A4987"/>
      <c r="B4987"/>
    </row>
    <row r="4988" spans="1:2" x14ac:dyDescent="0.25">
      <c r="A4988"/>
      <c r="B4988"/>
    </row>
    <row r="4989" spans="1:2" x14ac:dyDescent="0.25">
      <c r="A4989"/>
      <c r="B4989"/>
    </row>
    <row r="4990" spans="1:2" x14ac:dyDescent="0.25">
      <c r="A4990"/>
      <c r="B4990"/>
    </row>
    <row r="4991" spans="1:2" x14ac:dyDescent="0.25">
      <c r="A4991"/>
      <c r="B4991"/>
    </row>
    <row r="4992" spans="1:2" x14ac:dyDescent="0.25">
      <c r="A4992"/>
      <c r="B4992"/>
    </row>
    <row r="4993" spans="1:2" x14ac:dyDescent="0.25">
      <c r="A4993"/>
      <c r="B4993"/>
    </row>
    <row r="4994" spans="1:2" x14ac:dyDescent="0.25">
      <c r="A4994"/>
      <c r="B4994"/>
    </row>
    <row r="4995" spans="1:2" x14ac:dyDescent="0.25">
      <c r="A4995"/>
      <c r="B4995"/>
    </row>
    <row r="4996" spans="1:2" x14ac:dyDescent="0.25">
      <c r="A4996"/>
      <c r="B4996"/>
    </row>
    <row r="4997" spans="1:2" x14ac:dyDescent="0.25">
      <c r="A4997"/>
      <c r="B4997"/>
    </row>
    <row r="4998" spans="1:2" x14ac:dyDescent="0.25">
      <c r="A4998"/>
      <c r="B4998"/>
    </row>
    <row r="4999" spans="1:2" x14ac:dyDescent="0.25">
      <c r="A4999"/>
      <c r="B4999"/>
    </row>
    <row r="5000" spans="1:2" x14ac:dyDescent="0.25">
      <c r="A5000"/>
      <c r="B5000"/>
    </row>
    <row r="5001" spans="1:2" x14ac:dyDescent="0.25">
      <c r="A5001"/>
      <c r="B5001"/>
    </row>
    <row r="5002" spans="1:2" x14ac:dyDescent="0.25">
      <c r="A5002"/>
      <c r="B5002"/>
    </row>
    <row r="5003" spans="1:2" x14ac:dyDescent="0.25">
      <c r="A5003"/>
      <c r="B5003"/>
    </row>
    <row r="5004" spans="1:2" x14ac:dyDescent="0.25">
      <c r="A5004"/>
      <c r="B5004"/>
    </row>
    <row r="5005" spans="1:2" x14ac:dyDescent="0.25">
      <c r="A5005"/>
      <c r="B5005"/>
    </row>
    <row r="5006" spans="1:2" x14ac:dyDescent="0.25">
      <c r="A5006"/>
      <c r="B5006"/>
    </row>
    <row r="5007" spans="1:2" x14ac:dyDescent="0.25">
      <c r="A5007"/>
      <c r="B5007"/>
    </row>
    <row r="5008" spans="1:2" x14ac:dyDescent="0.25">
      <c r="A5008"/>
      <c r="B5008"/>
    </row>
    <row r="5009" spans="1:2" x14ac:dyDescent="0.25">
      <c r="A5009"/>
      <c r="B5009"/>
    </row>
    <row r="5010" spans="1:2" x14ac:dyDescent="0.25">
      <c r="A5010"/>
      <c r="B5010"/>
    </row>
    <row r="5011" spans="1:2" x14ac:dyDescent="0.25">
      <c r="A5011"/>
      <c r="B5011"/>
    </row>
    <row r="5012" spans="1:2" x14ac:dyDescent="0.25">
      <c r="A5012"/>
      <c r="B5012"/>
    </row>
    <row r="5013" spans="1:2" x14ac:dyDescent="0.25">
      <c r="A5013"/>
      <c r="B5013"/>
    </row>
    <row r="5014" spans="1:2" x14ac:dyDescent="0.25">
      <c r="A5014"/>
      <c r="B5014"/>
    </row>
    <row r="5015" spans="1:2" x14ac:dyDescent="0.25">
      <c r="A5015"/>
      <c r="B5015"/>
    </row>
    <row r="5016" spans="1:2" x14ac:dyDescent="0.25">
      <c r="A5016"/>
      <c r="B5016"/>
    </row>
    <row r="5017" spans="1:2" x14ac:dyDescent="0.25">
      <c r="A5017"/>
      <c r="B5017"/>
    </row>
    <row r="5018" spans="1:2" x14ac:dyDescent="0.25">
      <c r="A5018"/>
      <c r="B5018"/>
    </row>
    <row r="5019" spans="1:2" x14ac:dyDescent="0.25">
      <c r="A5019"/>
      <c r="B5019"/>
    </row>
    <row r="5020" spans="1:2" x14ac:dyDescent="0.25">
      <c r="A5020"/>
      <c r="B5020"/>
    </row>
    <row r="5021" spans="1:2" x14ac:dyDescent="0.25">
      <c r="A5021"/>
      <c r="B5021"/>
    </row>
    <row r="5022" spans="1:2" x14ac:dyDescent="0.25">
      <c r="A5022"/>
      <c r="B5022"/>
    </row>
    <row r="5023" spans="1:2" x14ac:dyDescent="0.25">
      <c r="A5023"/>
      <c r="B5023"/>
    </row>
    <row r="5024" spans="1:2" x14ac:dyDescent="0.25">
      <c r="A5024"/>
      <c r="B5024"/>
    </row>
    <row r="5025" spans="1:2" x14ac:dyDescent="0.25">
      <c r="A5025"/>
      <c r="B5025"/>
    </row>
    <row r="5026" spans="1:2" x14ac:dyDescent="0.25">
      <c r="A5026"/>
      <c r="B5026"/>
    </row>
    <row r="5027" spans="1:2" x14ac:dyDescent="0.25">
      <c r="A5027"/>
      <c r="B5027"/>
    </row>
    <row r="5028" spans="1:2" x14ac:dyDescent="0.25">
      <c r="A5028"/>
      <c r="B5028"/>
    </row>
    <row r="5029" spans="1:2" x14ac:dyDescent="0.25">
      <c r="A5029"/>
      <c r="B5029"/>
    </row>
    <row r="5030" spans="1:2" x14ac:dyDescent="0.25">
      <c r="A5030"/>
      <c r="B5030"/>
    </row>
    <row r="5031" spans="1:2" x14ac:dyDescent="0.25">
      <c r="A5031"/>
      <c r="B5031"/>
    </row>
    <row r="5032" spans="1:2" x14ac:dyDescent="0.25">
      <c r="A5032"/>
      <c r="B5032"/>
    </row>
    <row r="5033" spans="1:2" x14ac:dyDescent="0.25">
      <c r="A5033"/>
      <c r="B5033"/>
    </row>
    <row r="5034" spans="1:2" x14ac:dyDescent="0.25">
      <c r="A5034"/>
      <c r="B5034"/>
    </row>
    <row r="5035" spans="1:2" x14ac:dyDescent="0.25">
      <c r="A5035"/>
      <c r="B5035"/>
    </row>
    <row r="5036" spans="1:2" x14ac:dyDescent="0.25">
      <c r="A5036"/>
      <c r="B5036"/>
    </row>
    <row r="5037" spans="1:2" x14ac:dyDescent="0.25">
      <c r="A5037"/>
      <c r="B5037"/>
    </row>
    <row r="5038" spans="1:2" x14ac:dyDescent="0.25">
      <c r="A5038"/>
      <c r="B5038"/>
    </row>
    <row r="5039" spans="1:2" x14ac:dyDescent="0.25">
      <c r="A5039"/>
      <c r="B5039"/>
    </row>
    <row r="5040" spans="1:2" x14ac:dyDescent="0.25">
      <c r="A5040"/>
      <c r="B5040"/>
    </row>
    <row r="5041" spans="1:2" x14ac:dyDescent="0.25">
      <c r="A5041"/>
      <c r="B5041"/>
    </row>
    <row r="5042" spans="1:2" x14ac:dyDescent="0.25">
      <c r="A5042"/>
      <c r="B5042"/>
    </row>
    <row r="5043" spans="1:2" x14ac:dyDescent="0.25">
      <c r="A5043"/>
      <c r="B5043"/>
    </row>
    <row r="5044" spans="1:2" x14ac:dyDescent="0.25">
      <c r="A5044"/>
      <c r="B5044"/>
    </row>
    <row r="5045" spans="1:2" x14ac:dyDescent="0.25">
      <c r="A5045"/>
      <c r="B5045"/>
    </row>
    <row r="5046" spans="1:2" x14ac:dyDescent="0.25">
      <c r="A5046"/>
      <c r="B5046"/>
    </row>
    <row r="5047" spans="1:2" x14ac:dyDescent="0.25">
      <c r="A5047"/>
      <c r="B5047"/>
    </row>
    <row r="5048" spans="1:2" x14ac:dyDescent="0.25">
      <c r="A5048"/>
      <c r="B5048"/>
    </row>
    <row r="5049" spans="1:2" x14ac:dyDescent="0.25">
      <c r="A5049"/>
      <c r="B5049"/>
    </row>
    <row r="5050" spans="1:2" x14ac:dyDescent="0.25">
      <c r="A5050"/>
      <c r="B5050"/>
    </row>
    <row r="5051" spans="1:2" x14ac:dyDescent="0.25">
      <c r="A5051"/>
      <c r="B5051"/>
    </row>
    <row r="5052" spans="1:2" x14ac:dyDescent="0.25">
      <c r="A5052"/>
      <c r="B5052"/>
    </row>
    <row r="5053" spans="1:2" x14ac:dyDescent="0.25">
      <c r="A5053"/>
      <c r="B5053"/>
    </row>
    <row r="5054" spans="1:2" x14ac:dyDescent="0.25">
      <c r="A5054"/>
      <c r="B5054"/>
    </row>
    <row r="5055" spans="1:2" x14ac:dyDescent="0.25">
      <c r="A5055"/>
      <c r="B5055"/>
    </row>
    <row r="5056" spans="1:2" x14ac:dyDescent="0.25">
      <c r="A5056"/>
      <c r="B5056"/>
    </row>
    <row r="5057" spans="1:2" x14ac:dyDescent="0.25">
      <c r="A5057"/>
      <c r="B5057"/>
    </row>
    <row r="5058" spans="1:2" x14ac:dyDescent="0.25">
      <c r="A5058"/>
      <c r="B5058"/>
    </row>
    <row r="5059" spans="1:2" x14ac:dyDescent="0.25">
      <c r="A5059"/>
      <c r="B5059"/>
    </row>
    <row r="5060" spans="1:2" x14ac:dyDescent="0.25">
      <c r="A5060"/>
      <c r="B5060"/>
    </row>
    <row r="5061" spans="1:2" x14ac:dyDescent="0.25">
      <c r="A5061"/>
      <c r="B5061"/>
    </row>
    <row r="5062" spans="1:2" x14ac:dyDescent="0.25">
      <c r="A5062"/>
      <c r="B5062"/>
    </row>
    <row r="5063" spans="1:2" x14ac:dyDescent="0.25">
      <c r="A5063"/>
      <c r="B5063"/>
    </row>
    <row r="5064" spans="1:2" x14ac:dyDescent="0.25">
      <c r="A5064"/>
      <c r="B5064"/>
    </row>
    <row r="5065" spans="1:2" x14ac:dyDescent="0.25">
      <c r="A5065"/>
      <c r="B5065"/>
    </row>
    <row r="5066" spans="1:2" x14ac:dyDescent="0.25">
      <c r="A5066"/>
      <c r="B5066"/>
    </row>
    <row r="5067" spans="1:2" x14ac:dyDescent="0.25">
      <c r="A5067"/>
      <c r="B5067"/>
    </row>
    <row r="5068" spans="1:2" x14ac:dyDescent="0.25">
      <c r="A5068"/>
      <c r="B5068"/>
    </row>
    <row r="5069" spans="1:2" x14ac:dyDescent="0.25">
      <c r="A5069"/>
      <c r="B5069"/>
    </row>
    <row r="5070" spans="1:2" x14ac:dyDescent="0.25">
      <c r="A5070"/>
      <c r="B5070"/>
    </row>
    <row r="5071" spans="1:2" x14ac:dyDescent="0.25">
      <c r="A5071"/>
      <c r="B5071"/>
    </row>
    <row r="5072" spans="1:2" x14ac:dyDescent="0.25">
      <c r="A5072"/>
      <c r="B5072"/>
    </row>
    <row r="5073" spans="1:2" x14ac:dyDescent="0.25">
      <c r="A5073"/>
      <c r="B5073"/>
    </row>
    <row r="5074" spans="1:2" x14ac:dyDescent="0.25">
      <c r="A5074"/>
      <c r="B5074"/>
    </row>
    <row r="5075" spans="1:2" x14ac:dyDescent="0.25">
      <c r="A5075"/>
      <c r="B5075"/>
    </row>
    <row r="5076" spans="1:2" x14ac:dyDescent="0.25">
      <c r="A5076"/>
      <c r="B5076"/>
    </row>
    <row r="5077" spans="1:2" x14ac:dyDescent="0.25">
      <c r="A5077"/>
      <c r="B5077"/>
    </row>
    <row r="5078" spans="1:2" x14ac:dyDescent="0.25">
      <c r="A5078"/>
      <c r="B5078"/>
    </row>
    <row r="5079" spans="1:2" x14ac:dyDescent="0.25">
      <c r="A5079"/>
      <c r="B5079"/>
    </row>
    <row r="5080" spans="1:2" x14ac:dyDescent="0.25">
      <c r="A5080"/>
      <c r="B5080"/>
    </row>
    <row r="5081" spans="1:2" x14ac:dyDescent="0.25">
      <c r="A5081"/>
      <c r="B5081"/>
    </row>
    <row r="5082" spans="1:2" x14ac:dyDescent="0.25">
      <c r="A5082"/>
      <c r="B5082"/>
    </row>
    <row r="5083" spans="1:2" x14ac:dyDescent="0.25">
      <c r="A5083"/>
      <c r="B5083"/>
    </row>
    <row r="5084" spans="1:2" x14ac:dyDescent="0.25">
      <c r="A5084"/>
      <c r="B5084"/>
    </row>
    <row r="5085" spans="1:2" x14ac:dyDescent="0.25">
      <c r="A5085"/>
      <c r="B5085"/>
    </row>
    <row r="5086" spans="1:2" x14ac:dyDescent="0.25">
      <c r="A5086"/>
      <c r="B5086"/>
    </row>
    <row r="5087" spans="1:2" x14ac:dyDescent="0.25">
      <c r="A5087"/>
      <c r="B5087"/>
    </row>
    <row r="5088" spans="1:2" x14ac:dyDescent="0.25">
      <c r="A5088"/>
      <c r="B5088"/>
    </row>
    <row r="5089" spans="1:2" x14ac:dyDescent="0.25">
      <c r="A5089"/>
      <c r="B5089"/>
    </row>
    <row r="5090" spans="1:2" x14ac:dyDescent="0.25">
      <c r="A5090"/>
      <c r="B5090"/>
    </row>
    <row r="5091" spans="1:2" x14ac:dyDescent="0.25">
      <c r="A5091"/>
      <c r="B5091"/>
    </row>
    <row r="5092" spans="1:2" x14ac:dyDescent="0.25">
      <c r="A5092"/>
      <c r="B5092"/>
    </row>
    <row r="5093" spans="1:2" x14ac:dyDescent="0.25">
      <c r="A5093"/>
      <c r="B5093"/>
    </row>
    <row r="5094" spans="1:2" x14ac:dyDescent="0.25">
      <c r="A5094"/>
      <c r="B5094"/>
    </row>
    <row r="5095" spans="1:2" x14ac:dyDescent="0.25">
      <c r="A5095"/>
      <c r="B5095"/>
    </row>
    <row r="5096" spans="1:2" x14ac:dyDescent="0.25">
      <c r="A5096"/>
      <c r="B5096"/>
    </row>
    <row r="5097" spans="1:2" x14ac:dyDescent="0.25">
      <c r="A5097"/>
      <c r="B5097"/>
    </row>
    <row r="5098" spans="1:2" x14ac:dyDescent="0.25">
      <c r="A5098"/>
      <c r="B5098"/>
    </row>
    <row r="5099" spans="1:2" x14ac:dyDescent="0.25">
      <c r="A5099"/>
      <c r="B5099"/>
    </row>
    <row r="5100" spans="1:2" x14ac:dyDescent="0.25">
      <c r="A5100"/>
      <c r="B5100"/>
    </row>
    <row r="5101" spans="1:2" x14ac:dyDescent="0.25">
      <c r="A5101"/>
      <c r="B5101"/>
    </row>
    <row r="5102" spans="1:2" x14ac:dyDescent="0.25">
      <c r="A5102"/>
      <c r="B5102"/>
    </row>
    <row r="5103" spans="1:2" x14ac:dyDescent="0.25">
      <c r="A5103"/>
      <c r="B5103"/>
    </row>
    <row r="5104" spans="1:2" x14ac:dyDescent="0.25">
      <c r="A5104"/>
      <c r="B5104"/>
    </row>
    <row r="5105" spans="1:2" x14ac:dyDescent="0.25">
      <c r="A5105"/>
      <c r="B5105"/>
    </row>
    <row r="5106" spans="1:2" x14ac:dyDescent="0.25">
      <c r="A5106"/>
      <c r="B5106"/>
    </row>
    <row r="5107" spans="1:2" x14ac:dyDescent="0.25">
      <c r="A5107"/>
      <c r="B5107"/>
    </row>
    <row r="5108" spans="1:2" x14ac:dyDescent="0.25">
      <c r="A5108"/>
      <c r="B5108"/>
    </row>
    <row r="5109" spans="1:2" x14ac:dyDescent="0.25">
      <c r="A5109"/>
      <c r="B5109"/>
    </row>
    <row r="5110" spans="1:2" x14ac:dyDescent="0.25">
      <c r="A5110"/>
      <c r="B5110"/>
    </row>
    <row r="5111" spans="1:2" x14ac:dyDescent="0.25">
      <c r="A5111"/>
      <c r="B5111"/>
    </row>
    <row r="5112" spans="1:2" x14ac:dyDescent="0.25">
      <c r="A5112"/>
      <c r="B5112"/>
    </row>
    <row r="5113" spans="1:2" x14ac:dyDescent="0.25">
      <c r="A5113"/>
      <c r="B5113"/>
    </row>
    <row r="5114" spans="1:2" x14ac:dyDescent="0.25">
      <c r="A5114"/>
      <c r="B5114"/>
    </row>
    <row r="5115" spans="1:2" x14ac:dyDescent="0.25">
      <c r="A5115"/>
      <c r="B5115"/>
    </row>
    <row r="5116" spans="1:2" x14ac:dyDescent="0.25">
      <c r="A5116"/>
      <c r="B5116"/>
    </row>
    <row r="5117" spans="1:2" x14ac:dyDescent="0.25">
      <c r="A5117"/>
      <c r="B5117"/>
    </row>
    <row r="5118" spans="1:2" x14ac:dyDescent="0.25">
      <c r="A5118"/>
      <c r="B5118"/>
    </row>
    <row r="5119" spans="1:2" x14ac:dyDescent="0.25">
      <c r="A5119"/>
      <c r="B5119"/>
    </row>
    <row r="5120" spans="1:2" x14ac:dyDescent="0.25">
      <c r="A5120"/>
      <c r="B5120"/>
    </row>
    <row r="5121" spans="1:2" x14ac:dyDescent="0.25">
      <c r="A5121"/>
      <c r="B5121"/>
    </row>
    <row r="5122" spans="1:2" x14ac:dyDescent="0.25">
      <c r="A5122"/>
      <c r="B5122"/>
    </row>
    <row r="5123" spans="1:2" x14ac:dyDescent="0.25">
      <c r="A5123"/>
      <c r="B5123"/>
    </row>
    <row r="5124" spans="1:2" x14ac:dyDescent="0.25">
      <c r="A5124"/>
      <c r="B5124"/>
    </row>
    <row r="5125" spans="1:2" x14ac:dyDescent="0.25">
      <c r="A5125"/>
      <c r="B5125"/>
    </row>
    <row r="5126" spans="1:2" x14ac:dyDescent="0.25">
      <c r="A5126"/>
      <c r="B5126"/>
    </row>
    <row r="5127" spans="1:2" x14ac:dyDescent="0.25">
      <c r="A5127"/>
      <c r="B5127"/>
    </row>
    <row r="5128" spans="1:2" x14ac:dyDescent="0.25">
      <c r="A5128"/>
      <c r="B5128"/>
    </row>
    <row r="5129" spans="1:2" x14ac:dyDescent="0.25">
      <c r="A5129"/>
      <c r="B5129"/>
    </row>
    <row r="5130" spans="1:2" x14ac:dyDescent="0.25">
      <c r="A5130"/>
      <c r="B5130"/>
    </row>
    <row r="5131" spans="1:2" x14ac:dyDescent="0.25">
      <c r="A5131"/>
      <c r="B5131"/>
    </row>
    <row r="5132" spans="1:2" x14ac:dyDescent="0.25">
      <c r="A5132"/>
      <c r="B5132"/>
    </row>
    <row r="5133" spans="1:2" x14ac:dyDescent="0.25">
      <c r="A5133"/>
      <c r="B5133"/>
    </row>
    <row r="5134" spans="1:2" x14ac:dyDescent="0.25">
      <c r="A5134"/>
      <c r="B5134"/>
    </row>
    <row r="5135" spans="1:2" x14ac:dyDescent="0.25">
      <c r="A5135"/>
      <c r="B5135"/>
    </row>
    <row r="5136" spans="1:2" x14ac:dyDescent="0.25">
      <c r="A5136"/>
      <c r="B5136"/>
    </row>
    <row r="5137" spans="1:2" x14ac:dyDescent="0.25">
      <c r="A5137"/>
      <c r="B5137"/>
    </row>
    <row r="5138" spans="1:2" x14ac:dyDescent="0.25">
      <c r="A5138"/>
      <c r="B5138"/>
    </row>
    <row r="5139" spans="1:2" x14ac:dyDescent="0.25">
      <c r="A5139"/>
      <c r="B5139"/>
    </row>
    <row r="5140" spans="1:2" x14ac:dyDescent="0.25">
      <c r="A5140"/>
      <c r="B5140"/>
    </row>
    <row r="5141" spans="1:2" x14ac:dyDescent="0.25">
      <c r="A5141"/>
      <c r="B5141"/>
    </row>
    <row r="5142" spans="1:2" x14ac:dyDescent="0.25">
      <c r="A5142"/>
      <c r="B5142"/>
    </row>
    <row r="5143" spans="1:2" x14ac:dyDescent="0.25">
      <c r="A5143"/>
      <c r="B5143"/>
    </row>
    <row r="5144" spans="1:2" x14ac:dyDescent="0.25">
      <c r="A5144"/>
      <c r="B5144"/>
    </row>
    <row r="5145" spans="1:2" x14ac:dyDescent="0.25">
      <c r="A5145"/>
      <c r="B5145"/>
    </row>
    <row r="5146" spans="1:2" x14ac:dyDescent="0.25">
      <c r="A5146"/>
      <c r="B5146"/>
    </row>
    <row r="5147" spans="1:2" x14ac:dyDescent="0.25">
      <c r="A5147"/>
      <c r="B5147"/>
    </row>
    <row r="5148" spans="1:2" x14ac:dyDescent="0.25">
      <c r="A5148"/>
      <c r="B5148"/>
    </row>
    <row r="5149" spans="1:2" x14ac:dyDescent="0.25">
      <c r="A5149"/>
      <c r="B5149"/>
    </row>
    <row r="5150" spans="1:2" x14ac:dyDescent="0.25">
      <c r="A5150"/>
      <c r="B5150"/>
    </row>
    <row r="5151" spans="1:2" x14ac:dyDescent="0.25">
      <c r="A5151"/>
      <c r="B5151"/>
    </row>
    <row r="5152" spans="1:2" x14ac:dyDescent="0.25">
      <c r="A5152"/>
      <c r="B5152"/>
    </row>
    <row r="5153" spans="1:2" x14ac:dyDescent="0.25">
      <c r="A5153"/>
      <c r="B5153"/>
    </row>
    <row r="5154" spans="1:2" x14ac:dyDescent="0.25">
      <c r="A5154"/>
      <c r="B5154"/>
    </row>
    <row r="5155" spans="1:2" x14ac:dyDescent="0.25">
      <c r="A5155"/>
      <c r="B5155"/>
    </row>
    <row r="5156" spans="1:2" x14ac:dyDescent="0.25">
      <c r="A5156"/>
      <c r="B5156"/>
    </row>
    <row r="5157" spans="1:2" x14ac:dyDescent="0.25">
      <c r="A5157"/>
      <c r="B5157"/>
    </row>
    <row r="5158" spans="1:2" x14ac:dyDescent="0.25">
      <c r="A5158"/>
      <c r="B5158"/>
    </row>
    <row r="5159" spans="1:2" x14ac:dyDescent="0.25">
      <c r="A5159"/>
      <c r="B5159"/>
    </row>
    <row r="5160" spans="1:2" x14ac:dyDescent="0.25">
      <c r="A5160"/>
      <c r="B5160"/>
    </row>
    <row r="5161" spans="1:2" x14ac:dyDescent="0.25">
      <c r="A5161"/>
      <c r="B5161"/>
    </row>
    <row r="5162" spans="1:2" x14ac:dyDescent="0.25">
      <c r="A5162"/>
      <c r="B5162"/>
    </row>
    <row r="5163" spans="1:2" x14ac:dyDescent="0.25">
      <c r="A5163"/>
      <c r="B5163"/>
    </row>
    <row r="5164" spans="1:2" x14ac:dyDescent="0.25">
      <c r="A5164"/>
      <c r="B5164"/>
    </row>
    <row r="5165" spans="1:2" x14ac:dyDescent="0.25">
      <c r="A5165"/>
      <c r="B5165"/>
    </row>
    <row r="5166" spans="1:2" x14ac:dyDescent="0.25">
      <c r="A5166"/>
      <c r="B5166"/>
    </row>
    <row r="5167" spans="1:2" x14ac:dyDescent="0.25">
      <c r="A5167"/>
      <c r="B5167"/>
    </row>
    <row r="5168" spans="1:2" x14ac:dyDescent="0.25">
      <c r="A5168"/>
      <c r="B5168"/>
    </row>
    <row r="5169" spans="1:2" x14ac:dyDescent="0.25">
      <c r="A5169"/>
      <c r="B5169"/>
    </row>
    <row r="5170" spans="1:2" x14ac:dyDescent="0.25">
      <c r="A5170"/>
      <c r="B5170"/>
    </row>
    <row r="5171" spans="1:2" x14ac:dyDescent="0.25">
      <c r="A5171"/>
      <c r="B5171"/>
    </row>
    <row r="5172" spans="1:2" x14ac:dyDescent="0.25">
      <c r="A5172"/>
      <c r="B5172"/>
    </row>
    <row r="5173" spans="1:2" x14ac:dyDescent="0.25">
      <c r="A5173"/>
      <c r="B5173"/>
    </row>
    <row r="5174" spans="1:2" x14ac:dyDescent="0.25">
      <c r="A5174"/>
      <c r="B5174"/>
    </row>
    <row r="5175" spans="1:2" x14ac:dyDescent="0.25">
      <c r="A5175"/>
      <c r="B5175"/>
    </row>
    <row r="5176" spans="1:2" x14ac:dyDescent="0.25">
      <c r="A5176"/>
      <c r="B5176"/>
    </row>
    <row r="5177" spans="1:2" x14ac:dyDescent="0.25">
      <c r="A5177"/>
      <c r="B5177"/>
    </row>
    <row r="5178" spans="1:2" x14ac:dyDescent="0.25">
      <c r="A5178"/>
      <c r="B5178"/>
    </row>
    <row r="5179" spans="1:2" x14ac:dyDescent="0.25">
      <c r="A5179"/>
      <c r="B5179"/>
    </row>
    <row r="5180" spans="1:2" x14ac:dyDescent="0.25">
      <c r="A5180"/>
      <c r="B5180"/>
    </row>
    <row r="5181" spans="1:2" x14ac:dyDescent="0.25">
      <c r="A5181"/>
      <c r="B5181"/>
    </row>
    <row r="5182" spans="1:2" x14ac:dyDescent="0.25">
      <c r="A5182"/>
      <c r="B5182"/>
    </row>
    <row r="5183" spans="1:2" x14ac:dyDescent="0.25">
      <c r="A5183"/>
      <c r="B5183"/>
    </row>
    <row r="5184" spans="1:2" x14ac:dyDescent="0.25">
      <c r="A5184"/>
      <c r="B5184"/>
    </row>
    <row r="5185" spans="1:2" x14ac:dyDescent="0.25">
      <c r="A5185"/>
      <c r="B5185"/>
    </row>
    <row r="5186" spans="1:2" x14ac:dyDescent="0.25">
      <c r="A5186"/>
      <c r="B5186"/>
    </row>
    <row r="5187" spans="1:2" x14ac:dyDescent="0.25">
      <c r="A5187"/>
      <c r="B5187"/>
    </row>
    <row r="5188" spans="1:2" x14ac:dyDescent="0.25">
      <c r="A5188"/>
      <c r="B5188"/>
    </row>
    <row r="5189" spans="1:2" x14ac:dyDescent="0.25">
      <c r="A5189"/>
      <c r="B5189"/>
    </row>
    <row r="5190" spans="1:2" x14ac:dyDescent="0.25">
      <c r="A5190"/>
      <c r="B5190"/>
    </row>
    <row r="5191" spans="1:2" x14ac:dyDescent="0.25">
      <c r="A5191"/>
      <c r="B5191"/>
    </row>
    <row r="5192" spans="1:2" x14ac:dyDescent="0.25">
      <c r="A5192"/>
      <c r="B5192"/>
    </row>
    <row r="5193" spans="1:2" x14ac:dyDescent="0.25">
      <c r="A5193"/>
      <c r="B5193"/>
    </row>
    <row r="5194" spans="1:2" x14ac:dyDescent="0.25">
      <c r="A5194"/>
      <c r="B5194"/>
    </row>
    <row r="5195" spans="1:2" x14ac:dyDescent="0.25">
      <c r="A5195"/>
      <c r="B5195"/>
    </row>
    <row r="5196" spans="1:2" x14ac:dyDescent="0.25">
      <c r="A5196"/>
      <c r="B5196"/>
    </row>
    <row r="5197" spans="1:2" x14ac:dyDescent="0.25">
      <c r="A5197"/>
      <c r="B5197"/>
    </row>
    <row r="5198" spans="1:2" x14ac:dyDescent="0.25">
      <c r="A5198"/>
      <c r="B5198"/>
    </row>
    <row r="5199" spans="1:2" x14ac:dyDescent="0.25">
      <c r="A5199"/>
      <c r="B5199"/>
    </row>
    <row r="5200" spans="1:2" x14ac:dyDescent="0.25">
      <c r="A5200"/>
      <c r="B5200"/>
    </row>
    <row r="5201" spans="1:2" x14ac:dyDescent="0.25">
      <c r="A5201"/>
      <c r="B5201"/>
    </row>
    <row r="5202" spans="1:2" x14ac:dyDescent="0.25">
      <c r="A5202"/>
      <c r="B5202"/>
    </row>
    <row r="5203" spans="1:2" x14ac:dyDescent="0.25">
      <c r="A5203"/>
      <c r="B5203"/>
    </row>
    <row r="5204" spans="1:2" x14ac:dyDescent="0.25">
      <c r="A5204"/>
      <c r="B5204"/>
    </row>
    <row r="5205" spans="1:2" x14ac:dyDescent="0.25">
      <c r="A5205"/>
      <c r="B5205"/>
    </row>
    <row r="5206" spans="1:2" x14ac:dyDescent="0.25">
      <c r="A5206"/>
      <c r="B5206"/>
    </row>
    <row r="5207" spans="1:2" x14ac:dyDescent="0.25">
      <c r="A5207"/>
      <c r="B5207"/>
    </row>
    <row r="5208" spans="1:2" x14ac:dyDescent="0.25">
      <c r="A5208"/>
      <c r="B5208"/>
    </row>
    <row r="5209" spans="1:2" x14ac:dyDescent="0.25">
      <c r="A5209"/>
      <c r="B5209"/>
    </row>
    <row r="5210" spans="1:2" x14ac:dyDescent="0.25">
      <c r="A5210"/>
      <c r="B5210"/>
    </row>
    <row r="5211" spans="1:2" x14ac:dyDescent="0.25">
      <c r="A5211"/>
      <c r="B5211"/>
    </row>
    <row r="5212" spans="1:2" x14ac:dyDescent="0.25">
      <c r="A5212"/>
      <c r="B5212"/>
    </row>
    <row r="5213" spans="1:2" x14ac:dyDescent="0.25">
      <c r="A5213"/>
      <c r="B5213"/>
    </row>
    <row r="5214" spans="1:2" x14ac:dyDescent="0.25">
      <c r="A5214"/>
      <c r="B5214"/>
    </row>
    <row r="5215" spans="1:2" x14ac:dyDescent="0.25">
      <c r="A5215"/>
      <c r="B5215"/>
    </row>
    <row r="5216" spans="1:2" x14ac:dyDescent="0.25">
      <c r="A5216"/>
      <c r="B5216"/>
    </row>
    <row r="5217" spans="1:2" x14ac:dyDescent="0.25">
      <c r="A5217"/>
      <c r="B5217"/>
    </row>
    <row r="5218" spans="1:2" x14ac:dyDescent="0.25">
      <c r="A5218"/>
      <c r="B5218"/>
    </row>
    <row r="5219" spans="1:2" x14ac:dyDescent="0.25">
      <c r="A5219"/>
      <c r="B5219"/>
    </row>
    <row r="5220" spans="1:2" x14ac:dyDescent="0.25">
      <c r="A5220"/>
      <c r="B5220"/>
    </row>
    <row r="5221" spans="1:2" x14ac:dyDescent="0.25">
      <c r="A5221"/>
      <c r="B5221"/>
    </row>
    <row r="5222" spans="1:2" x14ac:dyDescent="0.25">
      <c r="A5222"/>
      <c r="B5222"/>
    </row>
    <row r="5223" spans="1:2" x14ac:dyDescent="0.25">
      <c r="A5223"/>
      <c r="B5223"/>
    </row>
    <row r="5224" spans="1:2" x14ac:dyDescent="0.25">
      <c r="A5224"/>
      <c r="B5224"/>
    </row>
    <row r="5225" spans="1:2" x14ac:dyDescent="0.25">
      <c r="A5225"/>
      <c r="B5225"/>
    </row>
    <row r="5226" spans="1:2" x14ac:dyDescent="0.25">
      <c r="A5226"/>
      <c r="B5226"/>
    </row>
    <row r="5227" spans="1:2" x14ac:dyDescent="0.25">
      <c r="A5227"/>
      <c r="B5227"/>
    </row>
    <row r="5228" spans="1:2" x14ac:dyDescent="0.25">
      <c r="A5228"/>
      <c r="B5228"/>
    </row>
    <row r="5229" spans="1:2" x14ac:dyDescent="0.25">
      <c r="A5229"/>
      <c r="B5229"/>
    </row>
    <row r="5230" spans="1:2" x14ac:dyDescent="0.25">
      <c r="A5230"/>
      <c r="B5230"/>
    </row>
    <row r="5231" spans="1:2" x14ac:dyDescent="0.25">
      <c r="A5231"/>
      <c r="B5231"/>
    </row>
    <row r="5232" spans="1:2" x14ac:dyDescent="0.25">
      <c r="A5232"/>
      <c r="B5232"/>
    </row>
    <row r="5233" spans="1:2" x14ac:dyDescent="0.25">
      <c r="A5233"/>
      <c r="B5233"/>
    </row>
    <row r="5234" spans="1:2" x14ac:dyDescent="0.25">
      <c r="A5234"/>
      <c r="B5234"/>
    </row>
    <row r="5235" spans="1:2" x14ac:dyDescent="0.25">
      <c r="A5235"/>
      <c r="B5235"/>
    </row>
    <row r="5236" spans="1:2" x14ac:dyDescent="0.25">
      <c r="A5236"/>
      <c r="B5236"/>
    </row>
    <row r="5237" spans="1:2" x14ac:dyDescent="0.25">
      <c r="A5237"/>
      <c r="B5237"/>
    </row>
    <row r="5238" spans="1:2" x14ac:dyDescent="0.25">
      <c r="A5238"/>
      <c r="B5238"/>
    </row>
    <row r="5239" spans="1:2" x14ac:dyDescent="0.25">
      <c r="A5239"/>
      <c r="B5239"/>
    </row>
    <row r="5240" spans="1:2" x14ac:dyDescent="0.25">
      <c r="A5240"/>
      <c r="B5240"/>
    </row>
    <row r="5241" spans="1:2" x14ac:dyDescent="0.25">
      <c r="A5241"/>
      <c r="B5241"/>
    </row>
    <row r="5242" spans="1:2" x14ac:dyDescent="0.25">
      <c r="A5242"/>
      <c r="B5242"/>
    </row>
    <row r="5243" spans="1:2" x14ac:dyDescent="0.25">
      <c r="A5243"/>
      <c r="B5243"/>
    </row>
    <row r="5244" spans="1:2" x14ac:dyDescent="0.25">
      <c r="A5244"/>
      <c r="B5244"/>
    </row>
    <row r="5245" spans="1:2" x14ac:dyDescent="0.25">
      <c r="A5245"/>
      <c r="B5245"/>
    </row>
    <row r="5246" spans="1:2" x14ac:dyDescent="0.25">
      <c r="A5246"/>
      <c r="B5246"/>
    </row>
    <row r="5247" spans="1:2" x14ac:dyDescent="0.25">
      <c r="A5247"/>
      <c r="B5247"/>
    </row>
    <row r="5248" spans="1:2" x14ac:dyDescent="0.25">
      <c r="A5248"/>
      <c r="B5248"/>
    </row>
    <row r="5249" spans="1:2" x14ac:dyDescent="0.25">
      <c r="A5249"/>
      <c r="B5249"/>
    </row>
    <row r="5250" spans="1:2" x14ac:dyDescent="0.25">
      <c r="A5250"/>
      <c r="B5250"/>
    </row>
    <row r="5251" spans="1:2" x14ac:dyDescent="0.25">
      <c r="A5251"/>
      <c r="B5251"/>
    </row>
    <row r="5252" spans="1:2" x14ac:dyDescent="0.25">
      <c r="A5252"/>
      <c r="B5252"/>
    </row>
    <row r="5253" spans="1:2" x14ac:dyDescent="0.25">
      <c r="A5253"/>
      <c r="B5253"/>
    </row>
    <row r="5254" spans="1:2" x14ac:dyDescent="0.25">
      <c r="A5254"/>
      <c r="B5254"/>
    </row>
    <row r="5255" spans="1:2" x14ac:dyDescent="0.25">
      <c r="A5255"/>
      <c r="B5255"/>
    </row>
    <row r="5256" spans="1:2" x14ac:dyDescent="0.25">
      <c r="A5256"/>
      <c r="B5256"/>
    </row>
    <row r="5257" spans="1:2" x14ac:dyDescent="0.25">
      <c r="A5257"/>
      <c r="B5257"/>
    </row>
    <row r="5258" spans="1:2" x14ac:dyDescent="0.25">
      <c r="A5258"/>
      <c r="B5258"/>
    </row>
    <row r="5259" spans="1:2" x14ac:dyDescent="0.25">
      <c r="A5259"/>
      <c r="B5259"/>
    </row>
    <row r="5260" spans="1:2" x14ac:dyDescent="0.25">
      <c r="A5260"/>
      <c r="B5260"/>
    </row>
    <row r="5261" spans="1:2" x14ac:dyDescent="0.25">
      <c r="A5261"/>
      <c r="B5261"/>
    </row>
    <row r="5262" spans="1:2" x14ac:dyDescent="0.25">
      <c r="A5262"/>
      <c r="B5262"/>
    </row>
    <row r="5263" spans="1:2" x14ac:dyDescent="0.25">
      <c r="A5263"/>
      <c r="B5263"/>
    </row>
    <row r="5264" spans="1:2" x14ac:dyDescent="0.25">
      <c r="A5264"/>
      <c r="B5264"/>
    </row>
    <row r="5265" spans="1:2" x14ac:dyDescent="0.25">
      <c r="A5265"/>
      <c r="B5265"/>
    </row>
    <row r="5266" spans="1:2" x14ac:dyDescent="0.25">
      <c r="A5266"/>
      <c r="B5266"/>
    </row>
    <row r="5267" spans="1:2" x14ac:dyDescent="0.25">
      <c r="A5267"/>
      <c r="B5267"/>
    </row>
    <row r="5268" spans="1:2" x14ac:dyDescent="0.25">
      <c r="A5268"/>
      <c r="B5268"/>
    </row>
    <row r="5269" spans="1:2" x14ac:dyDescent="0.25">
      <c r="A5269"/>
      <c r="B5269"/>
    </row>
    <row r="5270" spans="1:2" x14ac:dyDescent="0.25">
      <c r="A5270"/>
      <c r="B5270"/>
    </row>
    <row r="5271" spans="1:2" x14ac:dyDescent="0.25">
      <c r="A5271"/>
      <c r="B5271"/>
    </row>
    <row r="5272" spans="1:2" x14ac:dyDescent="0.25">
      <c r="A5272"/>
      <c r="B5272"/>
    </row>
    <row r="5273" spans="1:2" x14ac:dyDescent="0.25">
      <c r="A5273"/>
      <c r="B5273"/>
    </row>
    <row r="5274" spans="1:2" x14ac:dyDescent="0.25">
      <c r="A5274"/>
      <c r="B5274"/>
    </row>
    <row r="5275" spans="1:2" x14ac:dyDescent="0.25">
      <c r="A5275"/>
      <c r="B5275"/>
    </row>
    <row r="5276" spans="1:2" x14ac:dyDescent="0.25">
      <c r="A5276"/>
      <c r="B5276"/>
    </row>
    <row r="5277" spans="1:2" x14ac:dyDescent="0.25">
      <c r="A5277"/>
      <c r="B5277"/>
    </row>
    <row r="5278" spans="1:2" x14ac:dyDescent="0.25">
      <c r="A5278"/>
      <c r="B5278"/>
    </row>
    <row r="5279" spans="1:2" x14ac:dyDescent="0.25">
      <c r="A5279"/>
      <c r="B5279"/>
    </row>
    <row r="5280" spans="1:2" x14ac:dyDescent="0.25">
      <c r="A5280"/>
      <c r="B5280"/>
    </row>
    <row r="5281" spans="1:2" x14ac:dyDescent="0.25">
      <c r="A5281"/>
      <c r="B5281"/>
    </row>
    <row r="5282" spans="1:2" x14ac:dyDescent="0.25">
      <c r="A5282"/>
      <c r="B5282"/>
    </row>
    <row r="5283" spans="1:2" x14ac:dyDescent="0.25">
      <c r="A5283"/>
      <c r="B5283"/>
    </row>
    <row r="5284" spans="1:2" x14ac:dyDescent="0.25">
      <c r="A5284"/>
      <c r="B5284"/>
    </row>
    <row r="5285" spans="1:2" x14ac:dyDescent="0.25">
      <c r="A5285"/>
      <c r="B5285"/>
    </row>
    <row r="5286" spans="1:2" x14ac:dyDescent="0.25">
      <c r="A5286"/>
      <c r="B5286"/>
    </row>
    <row r="5287" spans="1:2" x14ac:dyDescent="0.25">
      <c r="A5287"/>
      <c r="B5287"/>
    </row>
    <row r="5288" spans="1:2" x14ac:dyDescent="0.25">
      <c r="A5288"/>
      <c r="B5288"/>
    </row>
    <row r="5289" spans="1:2" x14ac:dyDescent="0.25">
      <c r="A5289"/>
      <c r="B5289"/>
    </row>
    <row r="5290" spans="1:2" x14ac:dyDescent="0.25">
      <c r="A5290"/>
      <c r="B5290"/>
    </row>
    <row r="5291" spans="1:2" x14ac:dyDescent="0.25">
      <c r="A5291"/>
      <c r="B5291"/>
    </row>
    <row r="5292" spans="1:2" x14ac:dyDescent="0.25">
      <c r="A5292"/>
      <c r="B5292"/>
    </row>
    <row r="5293" spans="1:2" x14ac:dyDescent="0.25">
      <c r="A5293"/>
      <c r="B5293"/>
    </row>
    <row r="5294" spans="1:2" x14ac:dyDescent="0.25">
      <c r="A5294"/>
      <c r="B5294"/>
    </row>
    <row r="5295" spans="1:2" x14ac:dyDescent="0.25">
      <c r="A5295"/>
      <c r="B5295"/>
    </row>
    <row r="5296" spans="1:2" x14ac:dyDescent="0.25">
      <c r="A5296"/>
      <c r="B5296"/>
    </row>
    <row r="5297" spans="1:2" x14ac:dyDescent="0.25">
      <c r="A5297"/>
      <c r="B5297"/>
    </row>
    <row r="5298" spans="1:2" x14ac:dyDescent="0.25">
      <c r="A5298"/>
      <c r="B5298"/>
    </row>
    <row r="5299" spans="1:2" x14ac:dyDescent="0.25">
      <c r="A5299"/>
      <c r="B5299"/>
    </row>
    <row r="5300" spans="1:2" x14ac:dyDescent="0.25">
      <c r="A5300"/>
      <c r="B5300"/>
    </row>
    <row r="5301" spans="1:2" x14ac:dyDescent="0.25">
      <c r="A5301"/>
      <c r="B5301"/>
    </row>
    <row r="5302" spans="1:2" x14ac:dyDescent="0.25">
      <c r="A5302"/>
      <c r="B5302"/>
    </row>
    <row r="5303" spans="1:2" x14ac:dyDescent="0.25">
      <c r="A5303"/>
      <c r="B5303"/>
    </row>
    <row r="5304" spans="1:2" x14ac:dyDescent="0.25">
      <c r="A5304"/>
      <c r="B5304"/>
    </row>
    <row r="5305" spans="1:2" x14ac:dyDescent="0.25">
      <c r="A5305"/>
      <c r="B5305"/>
    </row>
    <row r="5306" spans="1:2" x14ac:dyDescent="0.25">
      <c r="A5306"/>
      <c r="B5306"/>
    </row>
    <row r="5307" spans="1:2" x14ac:dyDescent="0.25">
      <c r="A5307"/>
      <c r="B5307"/>
    </row>
    <row r="5308" spans="1:2" x14ac:dyDescent="0.25">
      <c r="A5308"/>
      <c r="B5308"/>
    </row>
    <row r="5309" spans="1:2" x14ac:dyDescent="0.25">
      <c r="A5309"/>
      <c r="B5309"/>
    </row>
    <row r="5310" spans="1:2" x14ac:dyDescent="0.25">
      <c r="A5310"/>
      <c r="B5310"/>
    </row>
    <row r="5311" spans="1:2" x14ac:dyDescent="0.25">
      <c r="A5311"/>
      <c r="B5311"/>
    </row>
    <row r="5312" spans="1:2" x14ac:dyDescent="0.25">
      <c r="A5312"/>
      <c r="B5312"/>
    </row>
    <row r="5313" spans="1:2" x14ac:dyDescent="0.25">
      <c r="A5313"/>
      <c r="B5313"/>
    </row>
    <row r="5314" spans="1:2" x14ac:dyDescent="0.25">
      <c r="A5314"/>
      <c r="B5314"/>
    </row>
    <row r="5315" spans="1:2" x14ac:dyDescent="0.25">
      <c r="A5315"/>
      <c r="B5315"/>
    </row>
    <row r="5316" spans="1:2" x14ac:dyDescent="0.25">
      <c r="A5316"/>
      <c r="B5316"/>
    </row>
    <row r="5317" spans="1:2" x14ac:dyDescent="0.25">
      <c r="A5317"/>
      <c r="B5317"/>
    </row>
    <row r="5318" spans="1:2" x14ac:dyDescent="0.25">
      <c r="A5318"/>
      <c r="B5318"/>
    </row>
    <row r="5319" spans="1:2" x14ac:dyDescent="0.25">
      <c r="A5319"/>
      <c r="B5319"/>
    </row>
    <row r="5320" spans="1:2" x14ac:dyDescent="0.25">
      <c r="A5320"/>
      <c r="B5320"/>
    </row>
    <row r="5321" spans="1:2" x14ac:dyDescent="0.25">
      <c r="A5321"/>
      <c r="B5321"/>
    </row>
    <row r="5322" spans="1:2" x14ac:dyDescent="0.25">
      <c r="A5322"/>
      <c r="B5322"/>
    </row>
    <row r="5323" spans="1:2" x14ac:dyDescent="0.25">
      <c r="A5323"/>
      <c r="B5323"/>
    </row>
    <row r="5324" spans="1:2" x14ac:dyDescent="0.25">
      <c r="A5324"/>
      <c r="B5324"/>
    </row>
    <row r="5325" spans="1:2" x14ac:dyDescent="0.25">
      <c r="A5325"/>
      <c r="B5325"/>
    </row>
    <row r="5326" spans="1:2" x14ac:dyDescent="0.25">
      <c r="A5326"/>
      <c r="B5326"/>
    </row>
    <row r="5327" spans="1:2" x14ac:dyDescent="0.25">
      <c r="A5327"/>
      <c r="B5327"/>
    </row>
    <row r="5328" spans="1:2" x14ac:dyDescent="0.25">
      <c r="A5328"/>
      <c r="B5328"/>
    </row>
    <row r="5329" spans="1:2" x14ac:dyDescent="0.25">
      <c r="A5329"/>
      <c r="B5329"/>
    </row>
    <row r="5330" spans="1:2" x14ac:dyDescent="0.25">
      <c r="A5330"/>
      <c r="B5330"/>
    </row>
    <row r="5331" spans="1:2" x14ac:dyDescent="0.25">
      <c r="A5331"/>
      <c r="B5331"/>
    </row>
    <row r="5332" spans="1:2" x14ac:dyDescent="0.25">
      <c r="A5332"/>
      <c r="B5332"/>
    </row>
    <row r="5333" spans="1:2" x14ac:dyDescent="0.25">
      <c r="A5333"/>
      <c r="B5333"/>
    </row>
    <row r="5334" spans="1:2" x14ac:dyDescent="0.25">
      <c r="A5334"/>
      <c r="B5334"/>
    </row>
    <row r="5335" spans="1:2" x14ac:dyDescent="0.25">
      <c r="A5335"/>
      <c r="B5335"/>
    </row>
    <row r="5336" spans="1:2" x14ac:dyDescent="0.25">
      <c r="A5336"/>
      <c r="B5336"/>
    </row>
    <row r="5337" spans="1:2" x14ac:dyDescent="0.25">
      <c r="A5337"/>
      <c r="B5337"/>
    </row>
    <row r="5338" spans="1:2" x14ac:dyDescent="0.25">
      <c r="A5338"/>
      <c r="B5338"/>
    </row>
    <row r="5339" spans="1:2" x14ac:dyDescent="0.25">
      <c r="A5339"/>
      <c r="B5339"/>
    </row>
    <row r="5340" spans="1:2" x14ac:dyDescent="0.25">
      <c r="A5340"/>
      <c r="B5340"/>
    </row>
    <row r="5341" spans="1:2" x14ac:dyDescent="0.25">
      <c r="A5341"/>
      <c r="B5341"/>
    </row>
    <row r="5342" spans="1:2" x14ac:dyDescent="0.25">
      <c r="A5342"/>
      <c r="B5342"/>
    </row>
    <row r="5343" spans="1:2" x14ac:dyDescent="0.25">
      <c r="A5343"/>
      <c r="B5343"/>
    </row>
    <row r="5344" spans="1:2" x14ac:dyDescent="0.25">
      <c r="A5344"/>
      <c r="B5344"/>
    </row>
    <row r="5345" spans="1:2" x14ac:dyDescent="0.25">
      <c r="A5345"/>
      <c r="B5345"/>
    </row>
    <row r="5346" spans="1:2" x14ac:dyDescent="0.25">
      <c r="A5346"/>
      <c r="B5346"/>
    </row>
    <row r="5347" spans="1:2" x14ac:dyDescent="0.25">
      <c r="A5347"/>
      <c r="B5347"/>
    </row>
    <row r="5348" spans="1:2" x14ac:dyDescent="0.25">
      <c r="A5348"/>
      <c r="B5348"/>
    </row>
    <row r="5349" spans="1:2" x14ac:dyDescent="0.25">
      <c r="A5349"/>
      <c r="B5349"/>
    </row>
    <row r="5350" spans="1:2" x14ac:dyDescent="0.25">
      <c r="A5350"/>
      <c r="B5350"/>
    </row>
    <row r="5351" spans="1:2" x14ac:dyDescent="0.25">
      <c r="A5351"/>
      <c r="B5351"/>
    </row>
    <row r="5352" spans="1:2" x14ac:dyDescent="0.25">
      <c r="A5352"/>
      <c r="B5352"/>
    </row>
    <row r="5353" spans="1:2" x14ac:dyDescent="0.25">
      <c r="A5353"/>
      <c r="B5353"/>
    </row>
    <row r="5354" spans="1:2" x14ac:dyDescent="0.25">
      <c r="A5354"/>
      <c r="B5354"/>
    </row>
    <row r="5355" spans="1:2" x14ac:dyDescent="0.25">
      <c r="A5355"/>
      <c r="B5355"/>
    </row>
    <row r="5356" spans="1:2" x14ac:dyDescent="0.25">
      <c r="A5356"/>
      <c r="B5356"/>
    </row>
    <row r="5357" spans="1:2" x14ac:dyDescent="0.25">
      <c r="A5357"/>
      <c r="B5357"/>
    </row>
    <row r="5358" spans="1:2" x14ac:dyDescent="0.25">
      <c r="A5358"/>
      <c r="B5358"/>
    </row>
    <row r="5359" spans="1:2" x14ac:dyDescent="0.25">
      <c r="A5359"/>
      <c r="B5359"/>
    </row>
    <row r="5360" spans="1:2" x14ac:dyDescent="0.25">
      <c r="A5360"/>
      <c r="B5360"/>
    </row>
    <row r="5361" spans="1:2" x14ac:dyDescent="0.25">
      <c r="A5361"/>
      <c r="B5361"/>
    </row>
    <row r="5362" spans="1:2" x14ac:dyDescent="0.25">
      <c r="A5362"/>
      <c r="B5362"/>
    </row>
    <row r="5363" spans="1:2" x14ac:dyDescent="0.25">
      <c r="A5363"/>
      <c r="B5363"/>
    </row>
    <row r="5364" spans="1:2" x14ac:dyDescent="0.25">
      <c r="A5364"/>
      <c r="B5364"/>
    </row>
    <row r="5365" spans="1:2" x14ac:dyDescent="0.25">
      <c r="A5365"/>
      <c r="B5365"/>
    </row>
    <row r="5366" spans="1:2" x14ac:dyDescent="0.25">
      <c r="A5366"/>
      <c r="B5366"/>
    </row>
    <row r="5367" spans="1:2" x14ac:dyDescent="0.25">
      <c r="A5367"/>
      <c r="B5367"/>
    </row>
    <row r="5368" spans="1:2" x14ac:dyDescent="0.25">
      <c r="A5368"/>
      <c r="B5368"/>
    </row>
    <row r="5369" spans="1:2" x14ac:dyDescent="0.25">
      <c r="A5369"/>
      <c r="B5369"/>
    </row>
    <row r="5370" spans="1:2" x14ac:dyDescent="0.25">
      <c r="A5370"/>
      <c r="B5370"/>
    </row>
    <row r="5371" spans="1:2" x14ac:dyDescent="0.25">
      <c r="A5371"/>
      <c r="B5371"/>
    </row>
    <row r="5372" spans="1:2" x14ac:dyDescent="0.25">
      <c r="A5372"/>
      <c r="B5372"/>
    </row>
    <row r="5373" spans="1:2" x14ac:dyDescent="0.25">
      <c r="A5373"/>
      <c r="B5373"/>
    </row>
    <row r="5374" spans="1:2" x14ac:dyDescent="0.25">
      <c r="A5374"/>
      <c r="B5374"/>
    </row>
    <row r="5375" spans="1:2" x14ac:dyDescent="0.25">
      <c r="A5375"/>
      <c r="B5375"/>
    </row>
    <row r="5376" spans="1:2" x14ac:dyDescent="0.25">
      <c r="A5376"/>
      <c r="B5376"/>
    </row>
    <row r="5377" spans="1:2" x14ac:dyDescent="0.25">
      <c r="A5377"/>
      <c r="B5377"/>
    </row>
    <row r="5378" spans="1:2" x14ac:dyDescent="0.25">
      <c r="A5378"/>
      <c r="B5378"/>
    </row>
    <row r="5379" spans="1:2" x14ac:dyDescent="0.25">
      <c r="A5379"/>
      <c r="B5379"/>
    </row>
    <row r="5380" spans="1:2" x14ac:dyDescent="0.25">
      <c r="A5380"/>
      <c r="B5380"/>
    </row>
    <row r="5381" spans="1:2" x14ac:dyDescent="0.25">
      <c r="A5381"/>
      <c r="B5381"/>
    </row>
    <row r="5382" spans="1:2" x14ac:dyDescent="0.25">
      <c r="A5382"/>
      <c r="B5382"/>
    </row>
    <row r="5383" spans="1:2" x14ac:dyDescent="0.25">
      <c r="A5383"/>
      <c r="B5383"/>
    </row>
    <row r="5384" spans="1:2" x14ac:dyDescent="0.25">
      <c r="A5384"/>
      <c r="B5384"/>
    </row>
    <row r="5385" spans="1:2" x14ac:dyDescent="0.25">
      <c r="A5385"/>
      <c r="B5385"/>
    </row>
    <row r="5386" spans="1:2" x14ac:dyDescent="0.25">
      <c r="A5386"/>
      <c r="B5386"/>
    </row>
    <row r="5387" spans="1:2" x14ac:dyDescent="0.25">
      <c r="A5387"/>
      <c r="B5387"/>
    </row>
    <row r="5388" spans="1:2" x14ac:dyDescent="0.25">
      <c r="A5388"/>
      <c r="B5388"/>
    </row>
    <row r="5389" spans="1:2" x14ac:dyDescent="0.25">
      <c r="A5389"/>
      <c r="B5389"/>
    </row>
    <row r="5390" spans="1:2" x14ac:dyDescent="0.25">
      <c r="A5390"/>
      <c r="B5390"/>
    </row>
    <row r="5391" spans="1:2" x14ac:dyDescent="0.25">
      <c r="A5391"/>
      <c r="B5391"/>
    </row>
    <row r="5392" spans="1:2" x14ac:dyDescent="0.25">
      <c r="A5392"/>
      <c r="B5392"/>
    </row>
    <row r="5393" spans="1:2" x14ac:dyDescent="0.25">
      <c r="A5393"/>
      <c r="B5393"/>
    </row>
    <row r="5394" spans="1:2" x14ac:dyDescent="0.25">
      <c r="A5394"/>
      <c r="B5394"/>
    </row>
    <row r="5395" spans="1:2" x14ac:dyDescent="0.25">
      <c r="A5395"/>
      <c r="B5395"/>
    </row>
    <row r="5396" spans="1:2" x14ac:dyDescent="0.25">
      <c r="A5396"/>
      <c r="B5396"/>
    </row>
    <row r="5397" spans="1:2" x14ac:dyDescent="0.25">
      <c r="A5397"/>
      <c r="B5397"/>
    </row>
    <row r="5398" spans="1:2" x14ac:dyDescent="0.25">
      <c r="A5398"/>
      <c r="B5398"/>
    </row>
    <row r="5399" spans="1:2" x14ac:dyDescent="0.25">
      <c r="A5399"/>
      <c r="B5399"/>
    </row>
    <row r="5400" spans="1:2" x14ac:dyDescent="0.25">
      <c r="A5400"/>
      <c r="B5400"/>
    </row>
    <row r="5401" spans="1:2" x14ac:dyDescent="0.25">
      <c r="A5401"/>
      <c r="B5401"/>
    </row>
    <row r="5402" spans="1:2" x14ac:dyDescent="0.25">
      <c r="A5402"/>
      <c r="B5402"/>
    </row>
    <row r="5403" spans="1:2" x14ac:dyDescent="0.25">
      <c r="A5403"/>
      <c r="B5403"/>
    </row>
    <row r="5404" spans="1:2" x14ac:dyDescent="0.25">
      <c r="A5404"/>
      <c r="B5404"/>
    </row>
    <row r="5405" spans="1:2" x14ac:dyDescent="0.25">
      <c r="A5405"/>
      <c r="B5405"/>
    </row>
    <row r="5406" spans="1:2" x14ac:dyDescent="0.25">
      <c r="A5406"/>
      <c r="B5406"/>
    </row>
    <row r="5407" spans="1:2" x14ac:dyDescent="0.25">
      <c r="A5407"/>
      <c r="B5407"/>
    </row>
    <row r="5408" spans="1:2" x14ac:dyDescent="0.25">
      <c r="A5408"/>
      <c r="B5408"/>
    </row>
    <row r="5409" spans="1:2" x14ac:dyDescent="0.25">
      <c r="A5409"/>
      <c r="B5409"/>
    </row>
    <row r="5410" spans="1:2" x14ac:dyDescent="0.25">
      <c r="A5410"/>
      <c r="B5410"/>
    </row>
    <row r="5411" spans="1:2" x14ac:dyDescent="0.25">
      <c r="A5411"/>
      <c r="B5411"/>
    </row>
    <row r="5412" spans="1:2" x14ac:dyDescent="0.25">
      <c r="A5412"/>
      <c r="B5412"/>
    </row>
    <row r="5413" spans="1:2" x14ac:dyDescent="0.25">
      <c r="A5413"/>
      <c r="B5413"/>
    </row>
    <row r="5414" spans="1:2" x14ac:dyDescent="0.25">
      <c r="A5414"/>
      <c r="B5414"/>
    </row>
    <row r="5415" spans="1:2" x14ac:dyDescent="0.25">
      <c r="A5415"/>
      <c r="B5415"/>
    </row>
    <row r="5416" spans="1:2" x14ac:dyDescent="0.25">
      <c r="A5416"/>
      <c r="B5416"/>
    </row>
    <row r="5417" spans="1:2" x14ac:dyDescent="0.25">
      <c r="A5417"/>
      <c r="B5417"/>
    </row>
    <row r="5418" spans="1:2" x14ac:dyDescent="0.25">
      <c r="A5418"/>
      <c r="B5418"/>
    </row>
    <row r="5419" spans="1:2" x14ac:dyDescent="0.25">
      <c r="A5419"/>
      <c r="B5419"/>
    </row>
    <row r="5420" spans="1:2" x14ac:dyDescent="0.25">
      <c r="A5420"/>
      <c r="B5420"/>
    </row>
    <row r="5421" spans="1:2" x14ac:dyDescent="0.25">
      <c r="A5421"/>
      <c r="B5421"/>
    </row>
    <row r="5422" spans="1:2" x14ac:dyDescent="0.25">
      <c r="A5422"/>
      <c r="B5422"/>
    </row>
    <row r="5423" spans="1:2" x14ac:dyDescent="0.25">
      <c r="A5423"/>
      <c r="B5423"/>
    </row>
    <row r="5424" spans="1:2" x14ac:dyDescent="0.25">
      <c r="A5424"/>
      <c r="B5424"/>
    </row>
    <row r="5425" spans="1:2" x14ac:dyDescent="0.25">
      <c r="A5425"/>
      <c r="B5425"/>
    </row>
    <row r="5426" spans="1:2" x14ac:dyDescent="0.25">
      <c r="A5426"/>
      <c r="B5426"/>
    </row>
    <row r="5427" spans="1:2" x14ac:dyDescent="0.25">
      <c r="A5427"/>
      <c r="B5427"/>
    </row>
    <row r="5428" spans="1:2" x14ac:dyDescent="0.25">
      <c r="A5428"/>
      <c r="B5428"/>
    </row>
    <row r="5429" spans="1:2" x14ac:dyDescent="0.25">
      <c r="A5429"/>
      <c r="B5429"/>
    </row>
    <row r="5430" spans="1:2" x14ac:dyDescent="0.25">
      <c r="A5430"/>
      <c r="B5430"/>
    </row>
    <row r="5431" spans="1:2" x14ac:dyDescent="0.25">
      <c r="A5431"/>
      <c r="B5431"/>
    </row>
    <row r="5432" spans="1:2" x14ac:dyDescent="0.25">
      <c r="A5432"/>
      <c r="B5432"/>
    </row>
    <row r="5433" spans="1:2" x14ac:dyDescent="0.25">
      <c r="A5433"/>
      <c r="B5433"/>
    </row>
    <row r="5434" spans="1:2" x14ac:dyDescent="0.25">
      <c r="A5434"/>
      <c r="B5434"/>
    </row>
    <row r="5435" spans="1:2" x14ac:dyDescent="0.25">
      <c r="A5435"/>
      <c r="B5435"/>
    </row>
    <row r="5436" spans="1:2" x14ac:dyDescent="0.25">
      <c r="A5436"/>
      <c r="B5436"/>
    </row>
    <row r="5437" spans="1:2" x14ac:dyDescent="0.25">
      <c r="A5437"/>
      <c r="B5437"/>
    </row>
    <row r="5438" spans="1:2" x14ac:dyDescent="0.25">
      <c r="A5438"/>
      <c r="B5438"/>
    </row>
    <row r="5439" spans="1:2" x14ac:dyDescent="0.25">
      <c r="A5439"/>
      <c r="B5439"/>
    </row>
    <row r="5440" spans="1:2" x14ac:dyDescent="0.25">
      <c r="A5440"/>
      <c r="B5440"/>
    </row>
    <row r="5441" spans="1:2" x14ac:dyDescent="0.25">
      <c r="A5441"/>
      <c r="B5441"/>
    </row>
    <row r="5442" spans="1:2" x14ac:dyDescent="0.25">
      <c r="A5442"/>
      <c r="B5442"/>
    </row>
    <row r="5443" spans="1:2" x14ac:dyDescent="0.25">
      <c r="A5443"/>
      <c r="B5443"/>
    </row>
    <row r="5444" spans="1:2" x14ac:dyDescent="0.25">
      <c r="A5444"/>
      <c r="B5444"/>
    </row>
    <row r="5445" spans="1:2" x14ac:dyDescent="0.25">
      <c r="A5445"/>
      <c r="B5445"/>
    </row>
    <row r="5446" spans="1:2" x14ac:dyDescent="0.25">
      <c r="A5446"/>
      <c r="B5446"/>
    </row>
    <row r="5447" spans="1:2" x14ac:dyDescent="0.25">
      <c r="A5447"/>
      <c r="B5447"/>
    </row>
    <row r="5448" spans="1:2" x14ac:dyDescent="0.25">
      <c r="A5448"/>
      <c r="B5448"/>
    </row>
    <row r="5449" spans="1:2" x14ac:dyDescent="0.25">
      <c r="A5449"/>
      <c r="B5449"/>
    </row>
    <row r="5450" spans="1:2" x14ac:dyDescent="0.25">
      <c r="A5450"/>
      <c r="B5450"/>
    </row>
    <row r="5451" spans="1:2" x14ac:dyDescent="0.25">
      <c r="A5451"/>
      <c r="B5451"/>
    </row>
    <row r="5452" spans="1:2" x14ac:dyDescent="0.25">
      <c r="A5452"/>
      <c r="B5452"/>
    </row>
    <row r="5453" spans="1:2" x14ac:dyDescent="0.25">
      <c r="A5453"/>
      <c r="B5453"/>
    </row>
    <row r="5454" spans="1:2" x14ac:dyDescent="0.25">
      <c r="A5454"/>
      <c r="B5454"/>
    </row>
    <row r="5455" spans="1:2" x14ac:dyDescent="0.25">
      <c r="A5455"/>
      <c r="B5455"/>
    </row>
    <row r="5456" spans="1:2" x14ac:dyDescent="0.25">
      <c r="A5456"/>
      <c r="B5456"/>
    </row>
    <row r="5457" spans="1:2" x14ac:dyDescent="0.25">
      <c r="A5457"/>
      <c r="B5457"/>
    </row>
    <row r="5458" spans="1:2" x14ac:dyDescent="0.25">
      <c r="A5458"/>
      <c r="B5458"/>
    </row>
    <row r="5459" spans="1:2" x14ac:dyDescent="0.25">
      <c r="A5459"/>
      <c r="B5459"/>
    </row>
    <row r="5460" spans="1:2" x14ac:dyDescent="0.25">
      <c r="A5460"/>
      <c r="B5460"/>
    </row>
    <row r="5461" spans="1:2" x14ac:dyDescent="0.25">
      <c r="A5461"/>
      <c r="B5461"/>
    </row>
    <row r="5462" spans="1:2" x14ac:dyDescent="0.25">
      <c r="A5462"/>
      <c r="B5462"/>
    </row>
    <row r="5463" spans="1:2" x14ac:dyDescent="0.25">
      <c r="A5463"/>
      <c r="B5463"/>
    </row>
    <row r="5464" spans="1:2" x14ac:dyDescent="0.25">
      <c r="A5464"/>
      <c r="B5464"/>
    </row>
    <row r="5465" spans="1:2" x14ac:dyDescent="0.25">
      <c r="A5465"/>
      <c r="B5465"/>
    </row>
    <row r="5466" spans="1:2" x14ac:dyDescent="0.25">
      <c r="A5466"/>
      <c r="B5466"/>
    </row>
    <row r="5467" spans="1:2" x14ac:dyDescent="0.25">
      <c r="A5467"/>
      <c r="B5467"/>
    </row>
    <row r="5468" spans="1:2" x14ac:dyDescent="0.25">
      <c r="A5468"/>
      <c r="B5468"/>
    </row>
    <row r="5469" spans="1:2" x14ac:dyDescent="0.25">
      <c r="A5469"/>
      <c r="B5469"/>
    </row>
    <row r="5470" spans="1:2" x14ac:dyDescent="0.25">
      <c r="A5470"/>
      <c r="B5470"/>
    </row>
    <row r="5471" spans="1:2" x14ac:dyDescent="0.25">
      <c r="A5471"/>
      <c r="B5471"/>
    </row>
    <row r="5472" spans="1:2" x14ac:dyDescent="0.25">
      <c r="A5472"/>
      <c r="B5472"/>
    </row>
    <row r="5473" spans="1:2" x14ac:dyDescent="0.25">
      <c r="A5473"/>
      <c r="B5473"/>
    </row>
    <row r="5474" spans="1:2" x14ac:dyDescent="0.25">
      <c r="A5474"/>
      <c r="B5474"/>
    </row>
    <row r="5475" spans="1:2" x14ac:dyDescent="0.25">
      <c r="A5475"/>
      <c r="B5475"/>
    </row>
    <row r="5476" spans="1:2" x14ac:dyDescent="0.25">
      <c r="A5476"/>
      <c r="B5476"/>
    </row>
    <row r="5477" spans="1:2" x14ac:dyDescent="0.25">
      <c r="A5477"/>
      <c r="B5477"/>
    </row>
    <row r="5478" spans="1:2" x14ac:dyDescent="0.25">
      <c r="A5478"/>
      <c r="B5478"/>
    </row>
    <row r="5479" spans="1:2" x14ac:dyDescent="0.25">
      <c r="A5479"/>
      <c r="B5479"/>
    </row>
    <row r="5480" spans="1:2" x14ac:dyDescent="0.25">
      <c r="A5480"/>
      <c r="B5480"/>
    </row>
    <row r="5481" spans="1:2" x14ac:dyDescent="0.25">
      <c r="A5481"/>
      <c r="B5481"/>
    </row>
    <row r="5482" spans="1:2" x14ac:dyDescent="0.25">
      <c r="A5482"/>
      <c r="B5482"/>
    </row>
    <row r="5483" spans="1:2" x14ac:dyDescent="0.25">
      <c r="A5483"/>
      <c r="B5483"/>
    </row>
    <row r="5484" spans="1:2" x14ac:dyDescent="0.25">
      <c r="A5484"/>
      <c r="B5484"/>
    </row>
    <row r="5485" spans="1:2" x14ac:dyDescent="0.25">
      <c r="A5485"/>
      <c r="B5485"/>
    </row>
    <row r="5486" spans="1:2" x14ac:dyDescent="0.25">
      <c r="A5486"/>
      <c r="B5486"/>
    </row>
    <row r="5487" spans="1:2" x14ac:dyDescent="0.25">
      <c r="A5487"/>
      <c r="B5487"/>
    </row>
    <row r="5488" spans="1:2" x14ac:dyDescent="0.25">
      <c r="A5488"/>
      <c r="B5488"/>
    </row>
    <row r="5489" spans="1:2" x14ac:dyDescent="0.25">
      <c r="A5489"/>
      <c r="B5489"/>
    </row>
    <row r="5490" spans="1:2" x14ac:dyDescent="0.25">
      <c r="A5490"/>
      <c r="B5490"/>
    </row>
    <row r="5491" spans="1:2" x14ac:dyDescent="0.25">
      <c r="A5491"/>
      <c r="B5491"/>
    </row>
    <row r="5492" spans="1:2" x14ac:dyDescent="0.25">
      <c r="A5492"/>
      <c r="B5492"/>
    </row>
    <row r="5493" spans="1:2" x14ac:dyDescent="0.25">
      <c r="A5493"/>
      <c r="B5493"/>
    </row>
    <row r="5494" spans="1:2" x14ac:dyDescent="0.25">
      <c r="A5494"/>
      <c r="B5494"/>
    </row>
    <row r="5495" spans="1:2" x14ac:dyDescent="0.25">
      <c r="A5495"/>
      <c r="B5495"/>
    </row>
    <row r="5496" spans="1:2" x14ac:dyDescent="0.25">
      <c r="A5496"/>
      <c r="B5496"/>
    </row>
    <row r="5497" spans="1:2" x14ac:dyDescent="0.25">
      <c r="A5497"/>
      <c r="B5497"/>
    </row>
    <row r="5498" spans="1:2" x14ac:dyDescent="0.25">
      <c r="A5498"/>
      <c r="B5498"/>
    </row>
    <row r="5499" spans="1:2" x14ac:dyDescent="0.25">
      <c r="A5499"/>
      <c r="B5499"/>
    </row>
    <row r="5500" spans="1:2" x14ac:dyDescent="0.25">
      <c r="A5500"/>
      <c r="B5500"/>
    </row>
    <row r="5501" spans="1:2" x14ac:dyDescent="0.25">
      <c r="A5501"/>
      <c r="B5501"/>
    </row>
    <row r="5502" spans="1:2" x14ac:dyDescent="0.25">
      <c r="A5502"/>
      <c r="B5502"/>
    </row>
    <row r="5503" spans="1:2" x14ac:dyDescent="0.25">
      <c r="A5503"/>
      <c r="B5503"/>
    </row>
    <row r="5504" spans="1:2" x14ac:dyDescent="0.25">
      <c r="A5504"/>
      <c r="B5504"/>
    </row>
    <row r="5505" spans="1:2" x14ac:dyDescent="0.25">
      <c r="A5505"/>
      <c r="B5505"/>
    </row>
    <row r="5506" spans="1:2" x14ac:dyDescent="0.25">
      <c r="A5506"/>
      <c r="B5506"/>
    </row>
    <row r="5507" spans="1:2" x14ac:dyDescent="0.25">
      <c r="A5507"/>
      <c r="B5507"/>
    </row>
    <row r="5508" spans="1:2" x14ac:dyDescent="0.25">
      <c r="A5508"/>
      <c r="B5508"/>
    </row>
    <row r="5509" spans="1:2" x14ac:dyDescent="0.25">
      <c r="A5509"/>
      <c r="B5509"/>
    </row>
    <row r="5510" spans="1:2" x14ac:dyDescent="0.25">
      <c r="A5510"/>
      <c r="B5510"/>
    </row>
    <row r="5511" spans="1:2" x14ac:dyDescent="0.25">
      <c r="A5511"/>
      <c r="B5511"/>
    </row>
    <row r="5512" spans="1:2" x14ac:dyDescent="0.25">
      <c r="A5512"/>
      <c r="B5512"/>
    </row>
    <row r="5513" spans="1:2" x14ac:dyDescent="0.25">
      <c r="A5513"/>
      <c r="B5513"/>
    </row>
    <row r="5514" spans="1:2" x14ac:dyDescent="0.25">
      <c r="A5514"/>
      <c r="B5514"/>
    </row>
    <row r="5515" spans="1:2" x14ac:dyDescent="0.25">
      <c r="A5515"/>
      <c r="B5515"/>
    </row>
    <row r="5516" spans="1:2" x14ac:dyDescent="0.25">
      <c r="A5516"/>
      <c r="B5516"/>
    </row>
    <row r="5517" spans="1:2" x14ac:dyDescent="0.25">
      <c r="A5517"/>
      <c r="B5517"/>
    </row>
    <row r="5518" spans="1:2" x14ac:dyDescent="0.25">
      <c r="A5518"/>
      <c r="B5518"/>
    </row>
    <row r="5519" spans="1:2" x14ac:dyDescent="0.25">
      <c r="A5519"/>
      <c r="B5519"/>
    </row>
    <row r="5520" spans="1:2" x14ac:dyDescent="0.25">
      <c r="A5520"/>
      <c r="B5520"/>
    </row>
    <row r="5521" spans="1:2" x14ac:dyDescent="0.25">
      <c r="A5521"/>
      <c r="B5521"/>
    </row>
    <row r="5522" spans="1:2" x14ac:dyDescent="0.25">
      <c r="A5522"/>
      <c r="B5522"/>
    </row>
    <row r="5523" spans="1:2" x14ac:dyDescent="0.25">
      <c r="A5523"/>
      <c r="B5523"/>
    </row>
    <row r="5524" spans="1:2" x14ac:dyDescent="0.25">
      <c r="A5524"/>
      <c r="B5524"/>
    </row>
    <row r="5525" spans="1:2" x14ac:dyDescent="0.25">
      <c r="A5525"/>
      <c r="B5525"/>
    </row>
    <row r="5526" spans="1:2" x14ac:dyDescent="0.25">
      <c r="A5526"/>
      <c r="B5526"/>
    </row>
    <row r="5527" spans="1:2" x14ac:dyDescent="0.25">
      <c r="A5527"/>
      <c r="B5527"/>
    </row>
    <row r="5528" spans="1:2" x14ac:dyDescent="0.25">
      <c r="A5528"/>
      <c r="B5528"/>
    </row>
    <row r="5529" spans="1:2" x14ac:dyDescent="0.25">
      <c r="A5529"/>
      <c r="B5529"/>
    </row>
    <row r="5530" spans="1:2" x14ac:dyDescent="0.25">
      <c r="A5530"/>
      <c r="B5530"/>
    </row>
    <row r="5531" spans="1:2" x14ac:dyDescent="0.25">
      <c r="A5531"/>
      <c r="B5531"/>
    </row>
    <row r="5532" spans="1:2" x14ac:dyDescent="0.25">
      <c r="A5532"/>
      <c r="B5532"/>
    </row>
    <row r="5533" spans="1:2" x14ac:dyDescent="0.25">
      <c r="A5533"/>
      <c r="B5533"/>
    </row>
    <row r="5534" spans="1:2" x14ac:dyDescent="0.25">
      <c r="A5534"/>
      <c r="B5534"/>
    </row>
    <row r="5535" spans="1:2" x14ac:dyDescent="0.25">
      <c r="A5535"/>
      <c r="B5535"/>
    </row>
    <row r="5536" spans="1:2" x14ac:dyDescent="0.25">
      <c r="A5536"/>
      <c r="B5536"/>
    </row>
    <row r="5537" spans="1:2" x14ac:dyDescent="0.25">
      <c r="A5537"/>
      <c r="B5537"/>
    </row>
    <row r="5538" spans="1:2" x14ac:dyDescent="0.25">
      <c r="A5538"/>
      <c r="B5538"/>
    </row>
    <row r="5539" spans="1:2" x14ac:dyDescent="0.25">
      <c r="A5539"/>
      <c r="B5539"/>
    </row>
    <row r="5540" spans="1:2" x14ac:dyDescent="0.25">
      <c r="A5540"/>
      <c r="B5540"/>
    </row>
    <row r="5541" spans="1:2" x14ac:dyDescent="0.25">
      <c r="A5541"/>
      <c r="B5541"/>
    </row>
    <row r="5542" spans="1:2" x14ac:dyDescent="0.25">
      <c r="A5542"/>
      <c r="B5542"/>
    </row>
    <row r="5543" spans="1:2" x14ac:dyDescent="0.25">
      <c r="A5543"/>
      <c r="B5543"/>
    </row>
    <row r="5544" spans="1:2" x14ac:dyDescent="0.25">
      <c r="A5544"/>
      <c r="B5544"/>
    </row>
    <row r="5545" spans="1:2" x14ac:dyDescent="0.25">
      <c r="A5545"/>
      <c r="B5545"/>
    </row>
    <row r="5546" spans="1:2" x14ac:dyDescent="0.25">
      <c r="A5546"/>
      <c r="B5546"/>
    </row>
    <row r="5547" spans="1:2" x14ac:dyDescent="0.25">
      <c r="A5547"/>
      <c r="B5547"/>
    </row>
    <row r="5548" spans="1:2" x14ac:dyDescent="0.25">
      <c r="A5548"/>
      <c r="B5548"/>
    </row>
    <row r="5549" spans="1:2" x14ac:dyDescent="0.25">
      <c r="A5549"/>
      <c r="B5549"/>
    </row>
    <row r="5550" spans="1:2" x14ac:dyDescent="0.25">
      <c r="A5550"/>
      <c r="B5550"/>
    </row>
    <row r="5551" spans="1:2" x14ac:dyDescent="0.25">
      <c r="A5551"/>
      <c r="B5551"/>
    </row>
    <row r="5552" spans="1:2" x14ac:dyDescent="0.25">
      <c r="A5552"/>
      <c r="B5552"/>
    </row>
    <row r="5553" spans="1:2" x14ac:dyDescent="0.25">
      <c r="A5553"/>
      <c r="B5553"/>
    </row>
    <row r="5554" spans="1:2" x14ac:dyDescent="0.25">
      <c r="A5554"/>
      <c r="B5554"/>
    </row>
    <row r="5555" spans="1:2" x14ac:dyDescent="0.25">
      <c r="A5555"/>
      <c r="B5555"/>
    </row>
    <row r="5556" spans="1:2" x14ac:dyDescent="0.25">
      <c r="A5556"/>
      <c r="B5556"/>
    </row>
    <row r="5557" spans="1:2" x14ac:dyDescent="0.25">
      <c r="A5557"/>
      <c r="B5557"/>
    </row>
    <row r="5558" spans="1:2" x14ac:dyDescent="0.25">
      <c r="A5558"/>
      <c r="B5558"/>
    </row>
    <row r="5559" spans="1:2" x14ac:dyDescent="0.25">
      <c r="A5559"/>
      <c r="B5559"/>
    </row>
    <row r="5560" spans="1:2" x14ac:dyDescent="0.25">
      <c r="A5560"/>
      <c r="B5560"/>
    </row>
    <row r="5561" spans="1:2" x14ac:dyDescent="0.25">
      <c r="A5561"/>
      <c r="B5561"/>
    </row>
    <row r="5562" spans="1:2" x14ac:dyDescent="0.25">
      <c r="A5562"/>
      <c r="B5562"/>
    </row>
    <row r="5563" spans="1:2" x14ac:dyDescent="0.25">
      <c r="A5563"/>
      <c r="B5563"/>
    </row>
    <row r="5564" spans="1:2" x14ac:dyDescent="0.25">
      <c r="A5564"/>
      <c r="B5564"/>
    </row>
    <row r="5565" spans="1:2" x14ac:dyDescent="0.25">
      <c r="A5565"/>
      <c r="B5565"/>
    </row>
    <row r="5566" spans="1:2" x14ac:dyDescent="0.25">
      <c r="A5566"/>
      <c r="B5566"/>
    </row>
    <row r="5567" spans="1:2" x14ac:dyDescent="0.25">
      <c r="A5567"/>
      <c r="B5567"/>
    </row>
    <row r="5568" spans="1:2" x14ac:dyDescent="0.25">
      <c r="A5568"/>
      <c r="B5568"/>
    </row>
    <row r="5569" spans="1:2" x14ac:dyDescent="0.25">
      <c r="A5569"/>
      <c r="B5569"/>
    </row>
    <row r="5570" spans="1:2" x14ac:dyDescent="0.25">
      <c r="A5570"/>
      <c r="B5570"/>
    </row>
    <row r="5571" spans="1:2" x14ac:dyDescent="0.25">
      <c r="A5571"/>
      <c r="B5571"/>
    </row>
    <row r="5572" spans="1:2" x14ac:dyDescent="0.25">
      <c r="A5572"/>
      <c r="B5572"/>
    </row>
    <row r="5573" spans="1:2" x14ac:dyDescent="0.25">
      <c r="A5573"/>
      <c r="B5573"/>
    </row>
    <row r="5574" spans="1:2" x14ac:dyDescent="0.25">
      <c r="A5574"/>
      <c r="B5574"/>
    </row>
    <row r="5575" spans="1:2" x14ac:dyDescent="0.25">
      <c r="A5575"/>
      <c r="B5575"/>
    </row>
    <row r="5576" spans="1:2" x14ac:dyDescent="0.25">
      <c r="A5576"/>
      <c r="B5576"/>
    </row>
    <row r="5577" spans="1:2" x14ac:dyDescent="0.25">
      <c r="A5577"/>
      <c r="B5577"/>
    </row>
    <row r="5578" spans="1:2" x14ac:dyDescent="0.25">
      <c r="A5578"/>
      <c r="B5578"/>
    </row>
    <row r="5579" spans="1:2" x14ac:dyDescent="0.25">
      <c r="A5579"/>
      <c r="B5579"/>
    </row>
    <row r="5580" spans="1:2" x14ac:dyDescent="0.25">
      <c r="A5580"/>
      <c r="B5580"/>
    </row>
    <row r="5581" spans="1:2" x14ac:dyDescent="0.25">
      <c r="A5581"/>
      <c r="B5581"/>
    </row>
    <row r="5582" spans="1:2" x14ac:dyDescent="0.25">
      <c r="A5582"/>
      <c r="B5582"/>
    </row>
    <row r="5583" spans="1:2" x14ac:dyDescent="0.25">
      <c r="A5583"/>
      <c r="B5583"/>
    </row>
    <row r="5584" spans="1:2" x14ac:dyDescent="0.25">
      <c r="A5584"/>
      <c r="B5584"/>
    </row>
    <row r="5585" spans="1:2" x14ac:dyDescent="0.25">
      <c r="A5585"/>
      <c r="B5585"/>
    </row>
    <row r="5586" spans="1:2" x14ac:dyDescent="0.25">
      <c r="A5586"/>
      <c r="B5586"/>
    </row>
    <row r="5587" spans="1:2" x14ac:dyDescent="0.25">
      <c r="A5587"/>
      <c r="B5587"/>
    </row>
    <row r="5588" spans="1:2" x14ac:dyDescent="0.25">
      <c r="A5588"/>
      <c r="B5588"/>
    </row>
    <row r="5589" spans="1:2" x14ac:dyDescent="0.25">
      <c r="A5589"/>
      <c r="B5589"/>
    </row>
    <row r="5590" spans="1:2" x14ac:dyDescent="0.25">
      <c r="A5590"/>
      <c r="B5590"/>
    </row>
    <row r="5591" spans="1:2" x14ac:dyDescent="0.25">
      <c r="A5591"/>
      <c r="B5591"/>
    </row>
    <row r="5592" spans="1:2" x14ac:dyDescent="0.25">
      <c r="A5592"/>
      <c r="B5592"/>
    </row>
    <row r="5593" spans="1:2" x14ac:dyDescent="0.25">
      <c r="A5593"/>
      <c r="B5593"/>
    </row>
    <row r="5594" spans="1:2" x14ac:dyDescent="0.25">
      <c r="A5594"/>
      <c r="B5594"/>
    </row>
    <row r="5595" spans="1:2" x14ac:dyDescent="0.25">
      <c r="A5595"/>
      <c r="B5595"/>
    </row>
    <row r="5596" spans="1:2" x14ac:dyDescent="0.25">
      <c r="A5596"/>
      <c r="B5596"/>
    </row>
    <row r="5597" spans="1:2" x14ac:dyDescent="0.25">
      <c r="A5597"/>
      <c r="B5597"/>
    </row>
    <row r="5598" spans="1:2" x14ac:dyDescent="0.25">
      <c r="A5598"/>
      <c r="B5598"/>
    </row>
    <row r="5599" spans="1:2" x14ac:dyDescent="0.25">
      <c r="A5599"/>
      <c r="B5599"/>
    </row>
    <row r="5600" spans="1:2" x14ac:dyDescent="0.25">
      <c r="A5600"/>
      <c r="B5600"/>
    </row>
    <row r="5601" spans="1:2" x14ac:dyDescent="0.25">
      <c r="A5601"/>
      <c r="B5601"/>
    </row>
    <row r="5602" spans="1:2" x14ac:dyDescent="0.25">
      <c r="A5602"/>
      <c r="B5602"/>
    </row>
    <row r="5603" spans="1:2" x14ac:dyDescent="0.25">
      <c r="A5603"/>
      <c r="B5603"/>
    </row>
    <row r="5604" spans="1:2" x14ac:dyDescent="0.25">
      <c r="A5604"/>
      <c r="B5604"/>
    </row>
    <row r="5605" spans="1:2" x14ac:dyDescent="0.25">
      <c r="A5605"/>
      <c r="B5605"/>
    </row>
    <row r="5606" spans="1:2" x14ac:dyDescent="0.25">
      <c r="A5606"/>
      <c r="B5606"/>
    </row>
    <row r="5607" spans="1:2" x14ac:dyDescent="0.25">
      <c r="A5607"/>
      <c r="B5607"/>
    </row>
    <row r="5608" spans="1:2" x14ac:dyDescent="0.25">
      <c r="A5608"/>
      <c r="B5608"/>
    </row>
    <row r="5609" spans="1:2" x14ac:dyDescent="0.25">
      <c r="A5609"/>
      <c r="B5609"/>
    </row>
    <row r="5610" spans="1:2" x14ac:dyDescent="0.25">
      <c r="A5610"/>
      <c r="B5610"/>
    </row>
    <row r="5611" spans="1:2" x14ac:dyDescent="0.25">
      <c r="A5611"/>
      <c r="B5611"/>
    </row>
    <row r="5612" spans="1:2" x14ac:dyDescent="0.25">
      <c r="A5612"/>
      <c r="B5612"/>
    </row>
    <row r="5613" spans="1:2" x14ac:dyDescent="0.25">
      <c r="A5613"/>
      <c r="B5613"/>
    </row>
    <row r="5614" spans="1:2" x14ac:dyDescent="0.25">
      <c r="A5614"/>
      <c r="B5614"/>
    </row>
    <row r="5615" spans="1:2" x14ac:dyDescent="0.25">
      <c r="A5615"/>
      <c r="B5615"/>
    </row>
    <row r="5616" spans="1:2" x14ac:dyDescent="0.25">
      <c r="A5616"/>
      <c r="B5616"/>
    </row>
    <row r="5617" spans="1:2" x14ac:dyDescent="0.25">
      <c r="A5617"/>
      <c r="B5617"/>
    </row>
    <row r="5618" spans="1:2" x14ac:dyDescent="0.25">
      <c r="A5618"/>
      <c r="B5618"/>
    </row>
    <row r="5619" spans="1:2" x14ac:dyDescent="0.25">
      <c r="A5619"/>
      <c r="B5619"/>
    </row>
    <row r="5620" spans="1:2" x14ac:dyDescent="0.25">
      <c r="A5620"/>
      <c r="B5620"/>
    </row>
    <row r="5621" spans="1:2" x14ac:dyDescent="0.25">
      <c r="A5621"/>
      <c r="B5621"/>
    </row>
    <row r="5622" spans="1:2" x14ac:dyDescent="0.25">
      <c r="A5622"/>
      <c r="B5622"/>
    </row>
    <row r="5623" spans="1:2" x14ac:dyDescent="0.25">
      <c r="A5623"/>
      <c r="B5623"/>
    </row>
    <row r="5624" spans="1:2" x14ac:dyDescent="0.25">
      <c r="A5624"/>
      <c r="B5624"/>
    </row>
    <row r="5625" spans="1:2" x14ac:dyDescent="0.25">
      <c r="A5625"/>
      <c r="B5625"/>
    </row>
    <row r="5626" spans="1:2" x14ac:dyDescent="0.25">
      <c r="A5626"/>
      <c r="B5626"/>
    </row>
    <row r="5627" spans="1:2" x14ac:dyDescent="0.25">
      <c r="A5627"/>
      <c r="B5627"/>
    </row>
    <row r="5628" spans="1:2" x14ac:dyDescent="0.25">
      <c r="A5628"/>
      <c r="B5628"/>
    </row>
    <row r="5629" spans="1:2" x14ac:dyDescent="0.25">
      <c r="A5629"/>
      <c r="B5629"/>
    </row>
    <row r="5630" spans="1:2" x14ac:dyDescent="0.25">
      <c r="A5630"/>
      <c r="B5630"/>
    </row>
    <row r="5631" spans="1:2" x14ac:dyDescent="0.25">
      <c r="A5631"/>
      <c r="B5631"/>
    </row>
    <row r="5632" spans="1:2" x14ac:dyDescent="0.25">
      <c r="A5632"/>
      <c r="B5632"/>
    </row>
    <row r="5633" spans="1:2" x14ac:dyDescent="0.25">
      <c r="A5633"/>
      <c r="B5633"/>
    </row>
    <row r="5634" spans="1:2" x14ac:dyDescent="0.25">
      <c r="A5634"/>
      <c r="B5634"/>
    </row>
    <row r="5635" spans="1:2" x14ac:dyDescent="0.25">
      <c r="A5635"/>
      <c r="B5635"/>
    </row>
    <row r="5636" spans="1:2" x14ac:dyDescent="0.25">
      <c r="A5636"/>
      <c r="B5636"/>
    </row>
    <row r="5637" spans="1:2" x14ac:dyDescent="0.25">
      <c r="A5637"/>
      <c r="B5637"/>
    </row>
    <row r="5638" spans="1:2" x14ac:dyDescent="0.25">
      <c r="A5638"/>
      <c r="B5638"/>
    </row>
    <row r="5639" spans="1:2" x14ac:dyDescent="0.25">
      <c r="A5639"/>
      <c r="B5639"/>
    </row>
    <row r="5640" spans="1:2" x14ac:dyDescent="0.25">
      <c r="A5640"/>
      <c r="B5640"/>
    </row>
    <row r="5641" spans="1:2" x14ac:dyDescent="0.25">
      <c r="A5641"/>
      <c r="B5641"/>
    </row>
    <row r="5642" spans="1:2" x14ac:dyDescent="0.25">
      <c r="A5642"/>
      <c r="B5642"/>
    </row>
    <row r="5643" spans="1:2" x14ac:dyDescent="0.25">
      <c r="A5643"/>
      <c r="B5643"/>
    </row>
    <row r="5644" spans="1:2" x14ac:dyDescent="0.25">
      <c r="A5644"/>
      <c r="B5644"/>
    </row>
    <row r="5645" spans="1:2" x14ac:dyDescent="0.25">
      <c r="A5645"/>
      <c r="B5645"/>
    </row>
    <row r="5646" spans="1:2" x14ac:dyDescent="0.25">
      <c r="A5646"/>
      <c r="B5646"/>
    </row>
    <row r="5647" spans="1:2" x14ac:dyDescent="0.25">
      <c r="A5647"/>
      <c r="B5647"/>
    </row>
    <row r="5648" spans="1:2" x14ac:dyDescent="0.25">
      <c r="A5648"/>
      <c r="B5648"/>
    </row>
    <row r="5649" spans="1:2" x14ac:dyDescent="0.25">
      <c r="A5649"/>
      <c r="B5649"/>
    </row>
    <row r="5650" spans="1:2" x14ac:dyDescent="0.25">
      <c r="A5650"/>
      <c r="B5650"/>
    </row>
    <row r="5651" spans="1:2" x14ac:dyDescent="0.25">
      <c r="A5651"/>
      <c r="B5651"/>
    </row>
    <row r="5652" spans="1:2" x14ac:dyDescent="0.25">
      <c r="A5652"/>
      <c r="B5652"/>
    </row>
    <row r="5653" spans="1:2" x14ac:dyDescent="0.25">
      <c r="A5653"/>
      <c r="B5653"/>
    </row>
    <row r="5654" spans="1:2" x14ac:dyDescent="0.25">
      <c r="A5654"/>
      <c r="B5654"/>
    </row>
    <row r="5655" spans="1:2" x14ac:dyDescent="0.25">
      <c r="A5655"/>
      <c r="B5655"/>
    </row>
    <row r="5656" spans="1:2" x14ac:dyDescent="0.25">
      <c r="A5656"/>
      <c r="B5656"/>
    </row>
    <row r="5657" spans="1:2" x14ac:dyDescent="0.25">
      <c r="A5657"/>
      <c r="B5657"/>
    </row>
    <row r="5658" spans="1:2" x14ac:dyDescent="0.25">
      <c r="A5658"/>
      <c r="B5658"/>
    </row>
    <row r="5659" spans="1:2" x14ac:dyDescent="0.25">
      <c r="A5659"/>
      <c r="B5659"/>
    </row>
    <row r="5660" spans="1:2" x14ac:dyDescent="0.25">
      <c r="A5660"/>
      <c r="B5660"/>
    </row>
    <row r="5661" spans="1:2" x14ac:dyDescent="0.25">
      <c r="A5661"/>
      <c r="B5661"/>
    </row>
    <row r="5662" spans="1:2" x14ac:dyDescent="0.25">
      <c r="A5662"/>
      <c r="B5662"/>
    </row>
    <row r="5663" spans="1:2" x14ac:dyDescent="0.25">
      <c r="A5663"/>
      <c r="B5663"/>
    </row>
    <row r="5664" spans="1:2" x14ac:dyDescent="0.25">
      <c r="A5664"/>
      <c r="B5664"/>
    </row>
    <row r="5665" spans="1:2" x14ac:dyDescent="0.25">
      <c r="A5665"/>
      <c r="B5665"/>
    </row>
    <row r="5666" spans="1:2" x14ac:dyDescent="0.25">
      <c r="A5666"/>
      <c r="B5666"/>
    </row>
    <row r="5667" spans="1:2" x14ac:dyDescent="0.25">
      <c r="A5667"/>
      <c r="B5667"/>
    </row>
    <row r="5668" spans="1:2" x14ac:dyDescent="0.25">
      <c r="A5668"/>
      <c r="B5668"/>
    </row>
    <row r="5669" spans="1:2" x14ac:dyDescent="0.25">
      <c r="A5669"/>
      <c r="B5669"/>
    </row>
    <row r="5670" spans="1:2" x14ac:dyDescent="0.25">
      <c r="A5670"/>
      <c r="B5670"/>
    </row>
    <row r="5671" spans="1:2" x14ac:dyDescent="0.25">
      <c r="A5671"/>
      <c r="B5671"/>
    </row>
    <row r="5672" spans="1:2" x14ac:dyDescent="0.25">
      <c r="A5672"/>
      <c r="B5672"/>
    </row>
    <row r="5673" spans="1:2" x14ac:dyDescent="0.25">
      <c r="A5673"/>
      <c r="B5673"/>
    </row>
    <row r="5674" spans="1:2" x14ac:dyDescent="0.25">
      <c r="A5674"/>
      <c r="B5674"/>
    </row>
    <row r="5675" spans="1:2" x14ac:dyDescent="0.25">
      <c r="A5675"/>
      <c r="B5675"/>
    </row>
    <row r="5676" spans="1:2" x14ac:dyDescent="0.25">
      <c r="A5676"/>
      <c r="B5676"/>
    </row>
    <row r="5677" spans="1:2" x14ac:dyDescent="0.25">
      <c r="A5677"/>
      <c r="B5677"/>
    </row>
    <row r="5678" spans="1:2" x14ac:dyDescent="0.25">
      <c r="A5678"/>
      <c r="B5678"/>
    </row>
    <row r="5679" spans="1:2" x14ac:dyDescent="0.25">
      <c r="A5679"/>
      <c r="B5679"/>
    </row>
    <row r="5680" spans="1:2" x14ac:dyDescent="0.25">
      <c r="A5680"/>
      <c r="B5680"/>
    </row>
    <row r="5681" spans="1:2" x14ac:dyDescent="0.25">
      <c r="A5681"/>
      <c r="B5681"/>
    </row>
    <row r="5682" spans="1:2" x14ac:dyDescent="0.25">
      <c r="A5682"/>
      <c r="B5682"/>
    </row>
    <row r="5683" spans="1:2" x14ac:dyDescent="0.25">
      <c r="A5683"/>
      <c r="B5683"/>
    </row>
    <row r="5684" spans="1:2" x14ac:dyDescent="0.25">
      <c r="A5684"/>
      <c r="B5684"/>
    </row>
    <row r="5685" spans="1:2" x14ac:dyDescent="0.25">
      <c r="A5685"/>
      <c r="B5685"/>
    </row>
    <row r="5686" spans="1:2" x14ac:dyDescent="0.25">
      <c r="A5686"/>
      <c r="B5686"/>
    </row>
    <row r="5687" spans="1:2" x14ac:dyDescent="0.25">
      <c r="A5687"/>
      <c r="B5687"/>
    </row>
    <row r="5688" spans="1:2" x14ac:dyDescent="0.25">
      <c r="A5688"/>
      <c r="B5688"/>
    </row>
    <row r="5689" spans="1:2" x14ac:dyDescent="0.25">
      <c r="A5689"/>
      <c r="B5689"/>
    </row>
    <row r="5690" spans="1:2" x14ac:dyDescent="0.25">
      <c r="A5690"/>
      <c r="B5690"/>
    </row>
    <row r="5691" spans="1:2" x14ac:dyDescent="0.25">
      <c r="A5691"/>
      <c r="B5691"/>
    </row>
    <row r="5692" spans="1:2" x14ac:dyDescent="0.25">
      <c r="A5692"/>
      <c r="B5692"/>
    </row>
    <row r="5693" spans="1:2" x14ac:dyDescent="0.25">
      <c r="A5693"/>
      <c r="B5693"/>
    </row>
    <row r="5694" spans="1:2" x14ac:dyDescent="0.25">
      <c r="A5694"/>
      <c r="B5694"/>
    </row>
    <row r="5695" spans="1:2" x14ac:dyDescent="0.25">
      <c r="A5695"/>
      <c r="B5695"/>
    </row>
    <row r="5696" spans="1:2" x14ac:dyDescent="0.25">
      <c r="A5696"/>
      <c r="B5696"/>
    </row>
    <row r="5697" spans="1:2" x14ac:dyDescent="0.25">
      <c r="A5697"/>
      <c r="B5697"/>
    </row>
    <row r="5698" spans="1:2" x14ac:dyDescent="0.25">
      <c r="A5698"/>
      <c r="B5698"/>
    </row>
    <row r="5699" spans="1:2" x14ac:dyDescent="0.25">
      <c r="A5699"/>
      <c r="B5699"/>
    </row>
    <row r="5700" spans="1:2" x14ac:dyDescent="0.25">
      <c r="A5700"/>
      <c r="B5700"/>
    </row>
    <row r="5701" spans="1:2" x14ac:dyDescent="0.25">
      <c r="A5701"/>
      <c r="B5701"/>
    </row>
    <row r="5702" spans="1:2" x14ac:dyDescent="0.25">
      <c r="A5702"/>
      <c r="B5702"/>
    </row>
    <row r="5703" spans="1:2" x14ac:dyDescent="0.25">
      <c r="A5703"/>
      <c r="B5703"/>
    </row>
    <row r="5704" spans="1:2" x14ac:dyDescent="0.25">
      <c r="A5704"/>
      <c r="B5704"/>
    </row>
    <row r="5705" spans="1:2" x14ac:dyDescent="0.25">
      <c r="A5705"/>
      <c r="B5705"/>
    </row>
    <row r="5706" spans="1:2" x14ac:dyDescent="0.25">
      <c r="A5706"/>
      <c r="B5706"/>
    </row>
    <row r="5707" spans="1:2" x14ac:dyDescent="0.25">
      <c r="A5707"/>
      <c r="B5707"/>
    </row>
    <row r="5708" spans="1:2" x14ac:dyDescent="0.25">
      <c r="A5708"/>
      <c r="B5708"/>
    </row>
    <row r="5709" spans="1:2" x14ac:dyDescent="0.25">
      <c r="A5709"/>
      <c r="B5709"/>
    </row>
    <row r="5710" spans="1:2" x14ac:dyDescent="0.25">
      <c r="A5710"/>
      <c r="B5710"/>
    </row>
    <row r="5711" spans="1:2" x14ac:dyDescent="0.25">
      <c r="A5711"/>
      <c r="B5711"/>
    </row>
    <row r="5712" spans="1:2" x14ac:dyDescent="0.25">
      <c r="A5712"/>
      <c r="B5712"/>
    </row>
    <row r="5713" spans="1:2" x14ac:dyDescent="0.25">
      <c r="A5713"/>
      <c r="B5713"/>
    </row>
    <row r="5714" spans="1:2" x14ac:dyDescent="0.25">
      <c r="A5714"/>
      <c r="B5714"/>
    </row>
    <row r="5715" spans="1:2" x14ac:dyDescent="0.25">
      <c r="A5715"/>
      <c r="B5715"/>
    </row>
    <row r="5716" spans="1:2" x14ac:dyDescent="0.25">
      <c r="A5716"/>
      <c r="B5716"/>
    </row>
    <row r="5717" spans="1:2" x14ac:dyDescent="0.25">
      <c r="A5717"/>
      <c r="B5717"/>
    </row>
    <row r="5718" spans="1:2" x14ac:dyDescent="0.25">
      <c r="A5718"/>
      <c r="B5718"/>
    </row>
    <row r="5719" spans="1:2" x14ac:dyDescent="0.25">
      <c r="A5719"/>
      <c r="B5719"/>
    </row>
    <row r="5720" spans="1:2" x14ac:dyDescent="0.25">
      <c r="A5720"/>
      <c r="B5720"/>
    </row>
    <row r="5721" spans="1:2" x14ac:dyDescent="0.25">
      <c r="A5721"/>
      <c r="B5721"/>
    </row>
    <row r="5722" spans="1:2" x14ac:dyDescent="0.25">
      <c r="A5722"/>
      <c r="B5722"/>
    </row>
    <row r="5723" spans="1:2" x14ac:dyDescent="0.25">
      <c r="A5723"/>
      <c r="B5723"/>
    </row>
    <row r="5724" spans="1:2" x14ac:dyDescent="0.25">
      <c r="A5724"/>
      <c r="B5724"/>
    </row>
    <row r="5725" spans="1:2" x14ac:dyDescent="0.25">
      <c r="A5725"/>
      <c r="B5725"/>
    </row>
    <row r="5726" spans="1:2" x14ac:dyDescent="0.25">
      <c r="A5726"/>
      <c r="B5726"/>
    </row>
    <row r="5727" spans="1:2" x14ac:dyDescent="0.25">
      <c r="A5727"/>
      <c r="B5727"/>
    </row>
    <row r="5728" spans="1:2" x14ac:dyDescent="0.25">
      <c r="A5728"/>
      <c r="B5728"/>
    </row>
    <row r="5729" spans="1:5" x14ac:dyDescent="0.25">
      <c r="A5729"/>
      <c r="B5729"/>
    </row>
    <row r="5730" spans="1:5" x14ac:dyDescent="0.25">
      <c r="A5730"/>
      <c r="B5730"/>
    </row>
    <row r="5731" spans="1:5" x14ac:dyDescent="0.25">
      <c r="A5731"/>
      <c r="B5731"/>
    </row>
    <row r="5732" spans="1:5" x14ac:dyDescent="0.25">
      <c r="A5732"/>
      <c r="B5732"/>
    </row>
    <row r="5733" spans="1:5" x14ac:dyDescent="0.25">
      <c r="A5733"/>
      <c r="B5733"/>
    </row>
    <row r="5734" spans="1:5" x14ac:dyDescent="0.25">
      <c r="A5734"/>
      <c r="B5734"/>
    </row>
    <row r="5735" spans="1:5" x14ac:dyDescent="0.25">
      <c r="A5735"/>
      <c r="B5735"/>
    </row>
    <row r="5736" spans="1:5" x14ac:dyDescent="0.25">
      <c r="A5736"/>
      <c r="B5736"/>
    </row>
    <row r="5737" spans="1:5" x14ac:dyDescent="0.25">
      <c r="A5737"/>
      <c r="B5737"/>
    </row>
    <row r="5738" spans="1:5" x14ac:dyDescent="0.25">
      <c r="A5738"/>
      <c r="B5738"/>
    </row>
    <row r="5739" spans="1:5" x14ac:dyDescent="0.25">
      <c r="A5739"/>
      <c r="B5739"/>
    </row>
    <row r="5740" spans="1:5" x14ac:dyDescent="0.25">
      <c r="A5740"/>
      <c r="B5740"/>
    </row>
    <row r="5741" spans="1:5" x14ac:dyDescent="0.25">
      <c r="A5741"/>
      <c r="B5741"/>
    </row>
    <row r="5742" spans="1:5" x14ac:dyDescent="0.25">
      <c r="A5742" s="22"/>
      <c r="B5742" s="23"/>
      <c r="C5742" s="23"/>
      <c r="D5742" s="23"/>
      <c r="E5742" s="23"/>
    </row>
    <row r="5743" spans="1:5" x14ac:dyDescent="0.25">
      <c r="A5743" s="22"/>
      <c r="B5743" s="23"/>
      <c r="C5743" s="23"/>
      <c r="D5743" s="23"/>
      <c r="E5743" s="23"/>
    </row>
    <row r="5744" spans="1:5" x14ac:dyDescent="0.25">
      <c r="A5744" s="22"/>
      <c r="B5744" s="23"/>
      <c r="C5744" s="23"/>
      <c r="D5744" s="23"/>
      <c r="E5744" s="23"/>
    </row>
    <row r="5745" spans="1:5" x14ac:dyDescent="0.25">
      <c r="A5745" s="22"/>
      <c r="B5745" s="23"/>
      <c r="C5745" s="23"/>
      <c r="D5745" s="23"/>
      <c r="E5745" s="23"/>
    </row>
    <row r="5746" spans="1:5" x14ac:dyDescent="0.25">
      <c r="A5746" s="22"/>
      <c r="B5746" s="23"/>
      <c r="C5746" s="23"/>
      <c r="D5746" s="23"/>
      <c r="E5746" s="23"/>
    </row>
    <row r="5747" spans="1:5" x14ac:dyDescent="0.25">
      <c r="A5747" s="22"/>
      <c r="B5747" s="23"/>
      <c r="C5747" s="23"/>
      <c r="D5747" s="23"/>
      <c r="E5747" s="23"/>
    </row>
    <row r="5748" spans="1:5" x14ac:dyDescent="0.25">
      <c r="A5748" s="22"/>
      <c r="B5748" s="23"/>
      <c r="C5748" s="23"/>
      <c r="D5748" s="23"/>
      <c r="E5748" s="23"/>
    </row>
    <row r="5749" spans="1:5" x14ac:dyDescent="0.25">
      <c r="A5749" s="22"/>
      <c r="B5749" s="23"/>
      <c r="C5749" s="23"/>
      <c r="D5749" s="23"/>
      <c r="E5749" s="23"/>
    </row>
    <row r="5750" spans="1:5" x14ac:dyDescent="0.25">
      <c r="A5750" s="22"/>
      <c r="B5750" s="23"/>
      <c r="C5750" s="23"/>
      <c r="D5750" s="23"/>
      <c r="E5750" s="23"/>
    </row>
    <row r="5751" spans="1:5" x14ac:dyDescent="0.25">
      <c r="A5751" s="22"/>
      <c r="B5751" s="23"/>
      <c r="C5751" s="23"/>
      <c r="D5751" s="23"/>
      <c r="E5751" s="23"/>
    </row>
    <row r="5752" spans="1:5" x14ac:dyDescent="0.25">
      <c r="A5752" s="22"/>
      <c r="B5752" s="23"/>
      <c r="C5752" s="23"/>
      <c r="D5752" s="23"/>
      <c r="E5752" s="23"/>
    </row>
    <row r="5753" spans="1:5" x14ac:dyDescent="0.25">
      <c r="A5753" s="22"/>
      <c r="B5753" s="23"/>
      <c r="C5753" s="23"/>
      <c r="D5753" s="23"/>
      <c r="E5753" s="23"/>
    </row>
    <row r="5754" spans="1:5" x14ac:dyDescent="0.25">
      <c r="A5754" s="22"/>
      <c r="B5754" s="23"/>
      <c r="C5754" s="23"/>
      <c r="D5754" s="23"/>
      <c r="E5754" s="23"/>
    </row>
    <row r="5755" spans="1:5" x14ac:dyDescent="0.25">
      <c r="A5755" s="22"/>
      <c r="B5755" s="23"/>
      <c r="C5755" s="23"/>
      <c r="D5755" s="23"/>
      <c r="E5755" s="23"/>
    </row>
    <row r="5756" spans="1:5" x14ac:dyDescent="0.25">
      <c r="A5756" s="22"/>
      <c r="B5756" s="23"/>
      <c r="C5756" s="23"/>
      <c r="D5756" s="23"/>
      <c r="E5756" s="23"/>
    </row>
    <row r="5757" spans="1:5" x14ac:dyDescent="0.25">
      <c r="A5757" s="22"/>
      <c r="B5757" s="23"/>
      <c r="C5757" s="23"/>
      <c r="D5757" s="23"/>
      <c r="E5757" s="23"/>
    </row>
    <row r="5758" spans="1:5" x14ac:dyDescent="0.25">
      <c r="A5758" s="22"/>
      <c r="B5758" s="23"/>
      <c r="C5758" s="23"/>
      <c r="D5758" s="23"/>
      <c r="E5758" s="23"/>
    </row>
    <row r="5759" spans="1:5" x14ac:dyDescent="0.25">
      <c r="A5759" s="22"/>
      <c r="B5759" s="23"/>
      <c r="C5759" s="23"/>
      <c r="D5759" s="23"/>
      <c r="E5759" s="23"/>
    </row>
    <row r="5760" spans="1:5" x14ac:dyDescent="0.25">
      <c r="A5760" s="22"/>
      <c r="B5760" s="23"/>
      <c r="C5760" s="23"/>
      <c r="D5760" s="23"/>
      <c r="E5760" s="23"/>
    </row>
    <row r="5761" spans="1:5" x14ac:dyDescent="0.25">
      <c r="A5761" s="22"/>
      <c r="B5761" s="23"/>
      <c r="C5761" s="23"/>
      <c r="D5761" s="23"/>
      <c r="E5761" s="23"/>
    </row>
    <row r="5762" spans="1:5" x14ac:dyDescent="0.25">
      <c r="A5762" s="22"/>
      <c r="B5762" s="23"/>
      <c r="C5762" s="23"/>
      <c r="D5762" s="23"/>
      <c r="E5762" s="23"/>
    </row>
    <row r="5763" spans="1:5" x14ac:dyDescent="0.25">
      <c r="A5763" s="22"/>
      <c r="B5763" s="23"/>
      <c r="C5763" s="23"/>
      <c r="D5763" s="23"/>
      <c r="E5763" s="23"/>
    </row>
    <row r="5764" spans="1:5" x14ac:dyDescent="0.25">
      <c r="A5764" s="22"/>
      <c r="B5764" s="23"/>
      <c r="C5764" s="23"/>
      <c r="D5764" s="23"/>
      <c r="E5764" s="23"/>
    </row>
    <row r="5765" spans="1:5" x14ac:dyDescent="0.25">
      <c r="A5765" s="22"/>
      <c r="B5765" s="23"/>
      <c r="C5765" s="23"/>
      <c r="D5765" s="23"/>
      <c r="E5765" s="23"/>
    </row>
    <row r="5766" spans="1:5" x14ac:dyDescent="0.25">
      <c r="A5766" s="22"/>
      <c r="B5766" s="23"/>
      <c r="C5766" s="23"/>
      <c r="D5766" s="23"/>
      <c r="E5766" s="23"/>
    </row>
    <row r="5767" spans="1:5" x14ac:dyDescent="0.25">
      <c r="A5767" s="22"/>
      <c r="B5767" s="23"/>
      <c r="C5767" s="23"/>
      <c r="D5767" s="23"/>
      <c r="E5767" s="23"/>
    </row>
    <row r="5768" spans="1:5" x14ac:dyDescent="0.25">
      <c r="A5768" s="22"/>
      <c r="B5768" s="23"/>
      <c r="C5768" s="23"/>
      <c r="D5768" s="23"/>
      <c r="E5768" s="23"/>
    </row>
    <row r="5769" spans="1:5" x14ac:dyDescent="0.25">
      <c r="A5769" s="22"/>
      <c r="B5769" s="23"/>
      <c r="C5769" s="23"/>
      <c r="D5769" s="23"/>
      <c r="E5769" s="23"/>
    </row>
    <row r="5770" spans="1:5" x14ac:dyDescent="0.25">
      <c r="A5770" s="22"/>
      <c r="B5770" s="23"/>
      <c r="C5770" s="23"/>
      <c r="D5770" s="23"/>
      <c r="E5770" s="23"/>
    </row>
    <row r="5771" spans="1:5" x14ac:dyDescent="0.25">
      <c r="A5771" s="22"/>
      <c r="B5771" s="23"/>
      <c r="C5771" s="23"/>
      <c r="D5771" s="23"/>
      <c r="E5771" s="23"/>
    </row>
    <row r="5772" spans="1:5" x14ac:dyDescent="0.25">
      <c r="A5772" s="22"/>
      <c r="B5772" s="23"/>
      <c r="C5772" s="23"/>
      <c r="D5772" s="23"/>
      <c r="E5772" s="23"/>
    </row>
    <row r="5773" spans="1:5" x14ac:dyDescent="0.25">
      <c r="A5773" s="22"/>
      <c r="B5773" s="23"/>
      <c r="C5773" s="23"/>
      <c r="D5773" s="23"/>
      <c r="E5773" s="23"/>
    </row>
    <row r="5774" spans="1:5" x14ac:dyDescent="0.25">
      <c r="A5774" s="22"/>
      <c r="B5774" s="23"/>
      <c r="C5774" s="23"/>
      <c r="D5774" s="23"/>
      <c r="E5774" s="23"/>
    </row>
    <row r="5775" spans="1:5" x14ac:dyDescent="0.25">
      <c r="A5775" s="22"/>
      <c r="B5775" s="23"/>
      <c r="C5775" s="23"/>
      <c r="D5775" s="23"/>
      <c r="E5775" s="23"/>
    </row>
    <row r="5776" spans="1:5" x14ac:dyDescent="0.25">
      <c r="A5776" s="22"/>
      <c r="B5776" s="23"/>
      <c r="C5776" s="23"/>
      <c r="D5776" s="23"/>
      <c r="E5776" s="23"/>
    </row>
    <row r="5777" spans="1:5" x14ac:dyDescent="0.25">
      <c r="A5777" s="22"/>
      <c r="B5777" s="23"/>
      <c r="C5777" s="23"/>
      <c r="D5777" s="23"/>
      <c r="E5777" s="23"/>
    </row>
    <row r="5778" spans="1:5" x14ac:dyDescent="0.25">
      <c r="A5778" s="22"/>
      <c r="B5778" s="23"/>
      <c r="C5778" s="23"/>
      <c r="D5778" s="23"/>
      <c r="E5778" s="23"/>
    </row>
    <row r="5779" spans="1:5" x14ac:dyDescent="0.25">
      <c r="A5779" s="22"/>
      <c r="B5779" s="23"/>
      <c r="C5779" s="23"/>
      <c r="D5779" s="23"/>
      <c r="E5779" s="23"/>
    </row>
    <row r="5780" spans="1:5" x14ac:dyDescent="0.25">
      <c r="A5780" s="22"/>
      <c r="B5780" s="23"/>
      <c r="C5780" s="23"/>
      <c r="D5780" s="23"/>
      <c r="E5780" s="23"/>
    </row>
    <row r="5781" spans="1:5" x14ac:dyDescent="0.25">
      <c r="A5781" s="22"/>
      <c r="B5781" s="23"/>
      <c r="C5781" s="23"/>
      <c r="D5781" s="23"/>
      <c r="E5781" s="23"/>
    </row>
    <row r="5782" spans="1:5" x14ac:dyDescent="0.25">
      <c r="A5782" s="22"/>
      <c r="B5782" s="23"/>
      <c r="C5782" s="23"/>
      <c r="D5782" s="23"/>
      <c r="E5782" s="23"/>
    </row>
    <row r="5783" spans="1:5" x14ac:dyDescent="0.25">
      <c r="A5783" s="22"/>
      <c r="B5783" s="23"/>
      <c r="C5783" s="23"/>
      <c r="D5783" s="23"/>
      <c r="E5783" s="23"/>
    </row>
    <row r="5784" spans="1:5" x14ac:dyDescent="0.25">
      <c r="A5784" s="22"/>
      <c r="B5784" s="23"/>
      <c r="C5784" s="23"/>
      <c r="D5784" s="23"/>
      <c r="E5784" s="23"/>
    </row>
    <row r="5785" spans="1:5" x14ac:dyDescent="0.25">
      <c r="A5785" s="22"/>
      <c r="B5785" s="23"/>
      <c r="C5785" s="23"/>
      <c r="D5785" s="23"/>
      <c r="E5785" s="23"/>
    </row>
    <row r="5786" spans="1:5" x14ac:dyDescent="0.25">
      <c r="A5786" s="22"/>
      <c r="B5786" s="23"/>
      <c r="C5786" s="23"/>
      <c r="D5786" s="23"/>
      <c r="E5786" s="23"/>
    </row>
    <row r="5787" spans="1:5" x14ac:dyDescent="0.25">
      <c r="A5787" s="22"/>
      <c r="B5787" s="23"/>
      <c r="C5787" s="23"/>
      <c r="D5787" s="23"/>
      <c r="E5787" s="23"/>
    </row>
    <row r="5788" spans="1:5" x14ac:dyDescent="0.25">
      <c r="A5788" s="22"/>
      <c r="B5788" s="23"/>
      <c r="C5788" s="23"/>
      <c r="D5788" s="23"/>
      <c r="E5788" s="23"/>
    </row>
    <row r="5789" spans="1:5" x14ac:dyDescent="0.25">
      <c r="A5789" s="22"/>
      <c r="B5789" s="23"/>
      <c r="C5789" s="23"/>
      <c r="D5789" s="23"/>
      <c r="E5789" s="23"/>
    </row>
    <row r="5790" spans="1:5" x14ac:dyDescent="0.25">
      <c r="A5790" s="22"/>
      <c r="B5790" s="23"/>
      <c r="C5790" s="23"/>
      <c r="D5790" s="23"/>
      <c r="E5790" s="23"/>
    </row>
    <row r="5791" spans="1:5" x14ac:dyDescent="0.25">
      <c r="A5791" s="22"/>
      <c r="B5791" s="23"/>
      <c r="C5791" s="23"/>
      <c r="D5791" s="23"/>
      <c r="E5791" s="23"/>
    </row>
    <row r="5792" spans="1:5" x14ac:dyDescent="0.25">
      <c r="A5792" s="22"/>
      <c r="B5792" s="23"/>
      <c r="C5792" s="23"/>
      <c r="D5792" s="23"/>
      <c r="E5792" s="23"/>
    </row>
    <row r="5793" spans="1:5" x14ac:dyDescent="0.25">
      <c r="A5793" s="22"/>
      <c r="B5793" s="23"/>
      <c r="C5793" s="23"/>
      <c r="D5793" s="23"/>
      <c r="E5793" s="23"/>
    </row>
    <row r="5794" spans="1:5" x14ac:dyDescent="0.25">
      <c r="A5794" s="22"/>
      <c r="B5794" s="23"/>
      <c r="C5794" s="23"/>
      <c r="D5794" s="23"/>
      <c r="E5794" s="23"/>
    </row>
    <row r="5795" spans="1:5" x14ac:dyDescent="0.25">
      <c r="A5795" s="22"/>
      <c r="B5795" s="23"/>
      <c r="C5795" s="23"/>
      <c r="D5795" s="23"/>
      <c r="E5795" s="23"/>
    </row>
    <row r="5796" spans="1:5" x14ac:dyDescent="0.25">
      <c r="A5796" s="22"/>
      <c r="B5796" s="23"/>
      <c r="C5796" s="23"/>
      <c r="D5796" s="23"/>
      <c r="E5796" s="23"/>
    </row>
    <row r="5797" spans="1:5" x14ac:dyDescent="0.25">
      <c r="A5797" s="22"/>
      <c r="B5797" s="23"/>
      <c r="C5797" s="23"/>
      <c r="D5797" s="23"/>
      <c r="E5797" s="23"/>
    </row>
    <row r="5798" spans="1:5" x14ac:dyDescent="0.25">
      <c r="A5798" s="22"/>
      <c r="B5798" s="23"/>
      <c r="C5798" s="23"/>
      <c r="D5798" s="23"/>
      <c r="E5798" s="23"/>
    </row>
    <row r="5799" spans="1:5" x14ac:dyDescent="0.25">
      <c r="A5799" s="22"/>
      <c r="B5799" s="23"/>
      <c r="C5799" s="23"/>
      <c r="D5799" s="23"/>
      <c r="E5799" s="23"/>
    </row>
    <row r="5800" spans="1:5" x14ac:dyDescent="0.25">
      <c r="A5800" s="22"/>
      <c r="B5800" s="23"/>
      <c r="C5800" s="23"/>
      <c r="D5800" s="23"/>
      <c r="E5800" s="23"/>
    </row>
    <row r="5801" spans="1:5" x14ac:dyDescent="0.25">
      <c r="A5801" s="22"/>
      <c r="B5801" s="23"/>
      <c r="C5801" s="23"/>
      <c r="D5801" s="23"/>
      <c r="E5801" s="23"/>
    </row>
    <row r="5802" spans="1:5" x14ac:dyDescent="0.25">
      <c r="A5802" s="22"/>
      <c r="B5802" s="23"/>
      <c r="C5802" s="23"/>
      <c r="D5802" s="23"/>
      <c r="E5802" s="23"/>
    </row>
    <row r="5803" spans="1:5" x14ac:dyDescent="0.25">
      <c r="A5803" s="22"/>
      <c r="B5803" s="23"/>
      <c r="C5803" s="23"/>
      <c r="D5803" s="23"/>
      <c r="E5803" s="23"/>
    </row>
    <row r="5804" spans="1:5" x14ac:dyDescent="0.25">
      <c r="A5804" s="22"/>
      <c r="B5804" s="23"/>
      <c r="C5804" s="23"/>
      <c r="D5804" s="23"/>
      <c r="E5804" s="23"/>
    </row>
    <row r="5805" spans="1:5" x14ac:dyDescent="0.25">
      <c r="A5805" s="22"/>
      <c r="B5805" s="23"/>
      <c r="C5805" s="23"/>
      <c r="D5805" s="23"/>
      <c r="E5805" s="23"/>
    </row>
    <row r="5806" spans="1:5" x14ac:dyDescent="0.25">
      <c r="A5806" s="22"/>
      <c r="B5806" s="23"/>
      <c r="C5806" s="23"/>
      <c r="D5806" s="23"/>
      <c r="E5806" s="23"/>
    </row>
    <row r="5807" spans="1:5" x14ac:dyDescent="0.25">
      <c r="A5807" s="22"/>
      <c r="B5807" s="23"/>
      <c r="C5807" s="23"/>
      <c r="D5807" s="23"/>
      <c r="E5807" s="23"/>
    </row>
    <row r="5808" spans="1:5" x14ac:dyDescent="0.25">
      <c r="A5808" s="22"/>
      <c r="B5808" s="23"/>
      <c r="C5808" s="23"/>
      <c r="D5808" s="23"/>
      <c r="E5808" s="23"/>
    </row>
    <row r="5809" spans="1:5" x14ac:dyDescent="0.25">
      <c r="A5809" s="22"/>
      <c r="B5809" s="23"/>
      <c r="C5809" s="23"/>
      <c r="D5809" s="23"/>
      <c r="E5809" s="23"/>
    </row>
    <row r="5810" spans="1:5" x14ac:dyDescent="0.25">
      <c r="A5810" s="22"/>
      <c r="B5810" s="23"/>
      <c r="C5810" s="23"/>
      <c r="D5810" s="23"/>
      <c r="E5810" s="23"/>
    </row>
    <row r="5811" spans="1:5" x14ac:dyDescent="0.25">
      <c r="A5811" s="22"/>
      <c r="B5811" s="23"/>
      <c r="C5811" s="23"/>
      <c r="D5811" s="23"/>
      <c r="E5811" s="23"/>
    </row>
    <row r="5812" spans="1:5" x14ac:dyDescent="0.25">
      <c r="A5812" s="22"/>
      <c r="B5812" s="23"/>
      <c r="C5812" s="23"/>
      <c r="D5812" s="23"/>
      <c r="E5812" s="23"/>
    </row>
    <row r="5813" spans="1:5" x14ac:dyDescent="0.25">
      <c r="A5813" s="22"/>
      <c r="B5813" s="23"/>
      <c r="C5813" s="23"/>
      <c r="D5813" s="23"/>
      <c r="E5813" s="23"/>
    </row>
    <row r="5814" spans="1:5" x14ac:dyDescent="0.25">
      <c r="A5814" s="22"/>
      <c r="B5814" s="23"/>
      <c r="C5814" s="23"/>
      <c r="D5814" s="23"/>
      <c r="E5814" s="23"/>
    </row>
    <row r="5815" spans="1:5" x14ac:dyDescent="0.25">
      <c r="A5815" s="22"/>
      <c r="B5815" s="23"/>
      <c r="C5815" s="23"/>
      <c r="D5815" s="23"/>
      <c r="E5815" s="23"/>
    </row>
    <row r="5816" spans="1:5" x14ac:dyDescent="0.25">
      <c r="A5816" s="22"/>
      <c r="B5816" s="23"/>
      <c r="C5816" s="23"/>
      <c r="D5816" s="23"/>
      <c r="E5816" s="23"/>
    </row>
    <row r="5817" spans="1:5" x14ac:dyDescent="0.25">
      <c r="A5817" s="22"/>
      <c r="B5817" s="23"/>
      <c r="C5817" s="23"/>
      <c r="D5817" s="23"/>
      <c r="E5817" s="23"/>
    </row>
    <row r="5818" spans="1:5" x14ac:dyDescent="0.25">
      <c r="A5818" s="22"/>
      <c r="B5818" s="23"/>
      <c r="C5818" s="23"/>
      <c r="D5818" s="23"/>
      <c r="E5818" s="23"/>
    </row>
    <row r="5819" spans="1:5" x14ac:dyDescent="0.25">
      <c r="A5819" s="22"/>
      <c r="B5819" s="23"/>
      <c r="C5819" s="23"/>
      <c r="D5819" s="23"/>
      <c r="E5819" s="23"/>
    </row>
    <row r="5820" spans="1:5" x14ac:dyDescent="0.25">
      <c r="A5820" s="22"/>
      <c r="B5820" s="23"/>
      <c r="C5820" s="23"/>
      <c r="D5820" s="23"/>
      <c r="E5820" s="23"/>
    </row>
    <row r="5821" spans="1:5" x14ac:dyDescent="0.25">
      <c r="A5821" s="22"/>
      <c r="B5821" s="23"/>
      <c r="C5821" s="23"/>
      <c r="D5821" s="23"/>
      <c r="E5821" s="23"/>
    </row>
    <row r="5822" spans="1:5" x14ac:dyDescent="0.25">
      <c r="A5822" s="22"/>
      <c r="B5822" s="23"/>
      <c r="C5822" s="23"/>
      <c r="D5822" s="23"/>
      <c r="E5822" s="23"/>
    </row>
    <row r="5823" spans="1:5" x14ac:dyDescent="0.25">
      <c r="A5823" s="22"/>
      <c r="B5823" s="23"/>
      <c r="C5823" s="23"/>
      <c r="D5823" s="23"/>
      <c r="E5823" s="23"/>
    </row>
    <row r="5824" spans="1:5" x14ac:dyDescent="0.25">
      <c r="A5824" s="22"/>
      <c r="B5824" s="23"/>
      <c r="C5824" s="23"/>
      <c r="D5824" s="23"/>
      <c r="E5824" s="23"/>
    </row>
    <row r="5825" spans="1:5" x14ac:dyDescent="0.25">
      <c r="A5825" s="22"/>
      <c r="B5825" s="23"/>
      <c r="C5825" s="23"/>
      <c r="D5825" s="23"/>
      <c r="E5825" s="23"/>
    </row>
    <row r="5826" spans="1:5" x14ac:dyDescent="0.25">
      <c r="A5826" s="22"/>
      <c r="B5826" s="23"/>
      <c r="C5826" s="23"/>
      <c r="D5826" s="23"/>
      <c r="E5826" s="23"/>
    </row>
    <row r="5827" spans="1:5" x14ac:dyDescent="0.25">
      <c r="A5827" s="22"/>
      <c r="B5827" s="23"/>
      <c r="C5827" s="23"/>
      <c r="D5827" s="23"/>
      <c r="E5827" s="23"/>
    </row>
    <row r="5828" spans="1:5" x14ac:dyDescent="0.25">
      <c r="A5828" s="22"/>
      <c r="B5828" s="23"/>
      <c r="C5828" s="23"/>
      <c r="D5828" s="23"/>
      <c r="E5828" s="23"/>
    </row>
    <row r="5829" spans="1:5" x14ac:dyDescent="0.25">
      <c r="A5829" s="22"/>
      <c r="B5829" s="23"/>
      <c r="C5829" s="23"/>
      <c r="D5829" s="23"/>
      <c r="E5829" s="23"/>
    </row>
    <row r="5830" spans="1:5" x14ac:dyDescent="0.25">
      <c r="A5830" s="22"/>
      <c r="B5830" s="23"/>
      <c r="C5830" s="23"/>
      <c r="D5830" s="23"/>
      <c r="E5830" s="23"/>
    </row>
    <row r="5831" spans="1:5" x14ac:dyDescent="0.25">
      <c r="A5831" s="22"/>
      <c r="B5831" s="23"/>
      <c r="C5831" s="23"/>
      <c r="D5831" s="23"/>
      <c r="E5831" s="23"/>
    </row>
    <row r="5832" spans="1:5" x14ac:dyDescent="0.25">
      <c r="A5832" s="22"/>
      <c r="B5832" s="23"/>
      <c r="C5832" s="23"/>
      <c r="D5832" s="23"/>
      <c r="E5832" s="23"/>
    </row>
    <row r="5833" spans="1:5" x14ac:dyDescent="0.25">
      <c r="A5833" s="22"/>
      <c r="B5833" s="23"/>
      <c r="C5833" s="23"/>
      <c r="D5833" s="23"/>
      <c r="E5833" s="23"/>
    </row>
    <row r="5834" spans="1:5" x14ac:dyDescent="0.25">
      <c r="A5834" s="22"/>
      <c r="B5834" s="23"/>
      <c r="C5834" s="23"/>
      <c r="D5834" s="23"/>
      <c r="E5834" s="23"/>
    </row>
    <row r="5835" spans="1:5" x14ac:dyDescent="0.25">
      <c r="A5835" s="22"/>
      <c r="B5835" s="23"/>
      <c r="C5835" s="23"/>
      <c r="D5835" s="23"/>
      <c r="E5835" s="23"/>
    </row>
    <row r="5836" spans="1:5" x14ac:dyDescent="0.25">
      <c r="A5836" s="22"/>
      <c r="B5836" s="23"/>
      <c r="C5836" s="23"/>
      <c r="D5836" s="23"/>
      <c r="E5836" s="23"/>
    </row>
    <row r="5837" spans="1:5" x14ac:dyDescent="0.25">
      <c r="A5837" s="22"/>
      <c r="B5837" s="23"/>
      <c r="C5837" s="23"/>
      <c r="D5837" s="23"/>
      <c r="E5837" s="23"/>
    </row>
    <row r="5838" spans="1:5" x14ac:dyDescent="0.25">
      <c r="A5838" s="22"/>
      <c r="B5838" s="23"/>
      <c r="C5838" s="23"/>
      <c r="D5838" s="23"/>
      <c r="E5838" s="23"/>
    </row>
    <row r="5839" spans="1:5" x14ac:dyDescent="0.25">
      <c r="A5839" s="22"/>
      <c r="B5839" s="23"/>
      <c r="C5839" s="23"/>
      <c r="D5839" s="23"/>
      <c r="E5839" s="23"/>
    </row>
    <row r="5840" spans="1:5" x14ac:dyDescent="0.25">
      <c r="A5840" s="22"/>
      <c r="B5840" s="23"/>
      <c r="C5840" s="23"/>
      <c r="D5840" s="23"/>
      <c r="E5840" s="23"/>
    </row>
    <row r="5841" spans="1:5" x14ac:dyDescent="0.25">
      <c r="A5841" s="22"/>
      <c r="B5841" s="23"/>
      <c r="C5841" s="23"/>
      <c r="D5841" s="23"/>
      <c r="E5841" s="23"/>
    </row>
    <row r="5842" spans="1:5" x14ac:dyDescent="0.25">
      <c r="A5842" s="22"/>
      <c r="B5842" s="23"/>
      <c r="C5842" s="23"/>
      <c r="D5842" s="23"/>
      <c r="E5842" s="23"/>
    </row>
    <row r="5843" spans="1:5" x14ac:dyDescent="0.25">
      <c r="A5843" s="22"/>
      <c r="B5843" s="23"/>
      <c r="C5843" s="23"/>
      <c r="D5843" s="23"/>
      <c r="E5843" s="23"/>
    </row>
    <row r="5844" spans="1:5" x14ac:dyDescent="0.25">
      <c r="A5844" s="22"/>
      <c r="B5844" s="23"/>
      <c r="C5844" s="23"/>
      <c r="D5844" s="23"/>
      <c r="E5844" s="23"/>
    </row>
    <row r="5845" spans="1:5" x14ac:dyDescent="0.25">
      <c r="A5845" s="22"/>
      <c r="B5845" s="23"/>
      <c r="C5845" s="23"/>
      <c r="D5845" s="23"/>
      <c r="E5845" s="23"/>
    </row>
    <row r="5846" spans="1:5" x14ac:dyDescent="0.25">
      <c r="A5846" s="22"/>
      <c r="B5846" s="23"/>
      <c r="C5846" s="23"/>
      <c r="D5846" s="23"/>
      <c r="E5846" s="23"/>
    </row>
    <row r="5847" spans="1:5" x14ac:dyDescent="0.25">
      <c r="A5847" s="22"/>
      <c r="B5847" s="23"/>
      <c r="C5847" s="23"/>
      <c r="D5847" s="23"/>
      <c r="E5847" s="23"/>
    </row>
    <row r="5848" spans="1:5" x14ac:dyDescent="0.25">
      <c r="A5848" s="22"/>
      <c r="B5848" s="23"/>
      <c r="C5848" s="23"/>
      <c r="D5848" s="23"/>
      <c r="E5848" s="23"/>
    </row>
    <row r="5849" spans="1:5" x14ac:dyDescent="0.25">
      <c r="A5849" s="22"/>
      <c r="B5849" s="23"/>
      <c r="C5849" s="23"/>
      <c r="D5849" s="23"/>
      <c r="E5849" s="23"/>
    </row>
    <row r="5850" spans="1:5" x14ac:dyDescent="0.25">
      <c r="A5850" s="22"/>
      <c r="B5850" s="23"/>
      <c r="C5850" s="23"/>
      <c r="D5850" s="23"/>
      <c r="E5850" s="23"/>
    </row>
    <row r="5851" spans="1:5" x14ac:dyDescent="0.25">
      <c r="A5851" s="22"/>
      <c r="B5851" s="23"/>
      <c r="C5851" s="23"/>
      <c r="D5851" s="23"/>
      <c r="E5851" s="23"/>
    </row>
    <row r="5852" spans="1:5" x14ac:dyDescent="0.25">
      <c r="A5852" s="22"/>
      <c r="B5852" s="23"/>
      <c r="C5852" s="23"/>
      <c r="D5852" s="23"/>
      <c r="E5852" s="23"/>
    </row>
    <row r="5853" spans="1:5" x14ac:dyDescent="0.25">
      <c r="A5853" s="22"/>
      <c r="B5853" s="23"/>
      <c r="C5853" s="23"/>
      <c r="D5853" s="23"/>
      <c r="E5853" s="23"/>
    </row>
    <row r="5854" spans="1:5" x14ac:dyDescent="0.25">
      <c r="A5854" s="22"/>
      <c r="B5854" s="23"/>
      <c r="C5854" s="23"/>
      <c r="D5854" s="23"/>
      <c r="E5854" s="23"/>
    </row>
    <row r="5855" spans="1:5" x14ac:dyDescent="0.25">
      <c r="A5855" s="22"/>
      <c r="B5855" s="23"/>
      <c r="C5855" s="23"/>
      <c r="D5855" s="23"/>
      <c r="E5855" s="23"/>
    </row>
    <row r="5856" spans="1:5" x14ac:dyDescent="0.25">
      <c r="A5856" s="22"/>
      <c r="B5856" s="23"/>
      <c r="C5856" s="23"/>
      <c r="D5856" s="23"/>
      <c r="E5856" s="23"/>
    </row>
    <row r="5857" spans="1:5" x14ac:dyDescent="0.25">
      <c r="A5857" s="22"/>
      <c r="B5857" s="23"/>
      <c r="C5857" s="23"/>
      <c r="D5857" s="23"/>
      <c r="E5857" s="23"/>
    </row>
    <row r="5858" spans="1:5" x14ac:dyDescent="0.25">
      <c r="A5858" s="22"/>
      <c r="B5858" s="23"/>
      <c r="C5858" s="23"/>
      <c r="D5858" s="23"/>
      <c r="E5858" s="23"/>
    </row>
    <row r="5859" spans="1:5" x14ac:dyDescent="0.25">
      <c r="A5859" s="22"/>
      <c r="B5859" s="23"/>
      <c r="C5859" s="23"/>
      <c r="D5859" s="23"/>
      <c r="E5859" s="23"/>
    </row>
    <row r="5860" spans="1:5" x14ac:dyDescent="0.25">
      <c r="A5860" s="22"/>
      <c r="B5860" s="23"/>
      <c r="C5860" s="23"/>
      <c r="D5860" s="23"/>
      <c r="E5860" s="23"/>
    </row>
    <row r="5861" spans="1:5" x14ac:dyDescent="0.25">
      <c r="A5861" s="22"/>
      <c r="B5861" s="23"/>
      <c r="C5861" s="23"/>
      <c r="D5861" s="23"/>
      <c r="E5861" s="23"/>
    </row>
    <row r="5862" spans="1:5" x14ac:dyDescent="0.25">
      <c r="A5862" s="22"/>
      <c r="B5862" s="23"/>
      <c r="C5862" s="23"/>
      <c r="D5862" s="23"/>
      <c r="E5862" s="23"/>
    </row>
    <row r="5863" spans="1:5" x14ac:dyDescent="0.25">
      <c r="A5863" s="22"/>
      <c r="B5863" s="23"/>
      <c r="C5863" s="23"/>
      <c r="D5863" s="23"/>
      <c r="E5863" s="23"/>
    </row>
    <row r="5864" spans="1:5" x14ac:dyDescent="0.25">
      <c r="A5864" s="22"/>
      <c r="B5864" s="23"/>
      <c r="C5864" s="23"/>
      <c r="D5864" s="23"/>
      <c r="E5864" s="23"/>
    </row>
    <row r="5865" spans="1:5" x14ac:dyDescent="0.25">
      <c r="A5865" s="22"/>
      <c r="B5865" s="23"/>
      <c r="C5865" s="23"/>
      <c r="D5865" s="23"/>
      <c r="E5865" s="23"/>
    </row>
    <row r="5866" spans="1:5" x14ac:dyDescent="0.25">
      <c r="A5866" s="22"/>
      <c r="B5866" s="23"/>
      <c r="C5866" s="23"/>
      <c r="D5866" s="23"/>
      <c r="E5866" s="23"/>
    </row>
    <row r="5867" spans="1:5" x14ac:dyDescent="0.25">
      <c r="A5867" s="22"/>
      <c r="B5867" s="23"/>
      <c r="C5867" s="23"/>
      <c r="D5867" s="23"/>
      <c r="E5867" s="23"/>
    </row>
    <row r="5868" spans="1:5" x14ac:dyDescent="0.25">
      <c r="A5868" s="22"/>
      <c r="B5868" s="23"/>
      <c r="C5868" s="23"/>
      <c r="D5868" s="23"/>
      <c r="E5868" s="23"/>
    </row>
    <row r="5869" spans="1:5" x14ac:dyDescent="0.25">
      <c r="A5869" s="22"/>
      <c r="B5869" s="23"/>
      <c r="C5869" s="23"/>
      <c r="D5869" s="23"/>
      <c r="E5869" s="23"/>
    </row>
    <row r="5870" spans="1:5" x14ac:dyDescent="0.25">
      <c r="A5870" s="22"/>
      <c r="B5870" s="23"/>
      <c r="C5870" s="23"/>
      <c r="D5870" s="23"/>
      <c r="E5870" s="23"/>
    </row>
    <row r="5871" spans="1:5" x14ac:dyDescent="0.25">
      <c r="A5871" s="22"/>
      <c r="B5871" s="23"/>
      <c r="C5871" s="23"/>
      <c r="D5871" s="23"/>
      <c r="E5871" s="23"/>
    </row>
    <row r="5872" spans="1:5" x14ac:dyDescent="0.25">
      <c r="A5872" s="22"/>
      <c r="B5872" s="23"/>
      <c r="C5872" s="23"/>
      <c r="D5872" s="23"/>
      <c r="E5872" s="23"/>
    </row>
    <row r="5873" spans="1:5" x14ac:dyDescent="0.25">
      <c r="A5873" s="22"/>
      <c r="B5873" s="23"/>
      <c r="C5873" s="23"/>
      <c r="D5873" s="23"/>
      <c r="E5873" s="23"/>
    </row>
    <row r="5874" spans="1:5" x14ac:dyDescent="0.25">
      <c r="A5874" s="22"/>
      <c r="B5874" s="23"/>
      <c r="C5874" s="23"/>
      <c r="D5874" s="23"/>
      <c r="E5874" s="23"/>
    </row>
    <row r="5875" spans="1:5" x14ac:dyDescent="0.25">
      <c r="A5875" s="22"/>
      <c r="B5875" s="23"/>
      <c r="C5875" s="23"/>
      <c r="D5875" s="23"/>
      <c r="E5875" s="23"/>
    </row>
    <row r="5876" spans="1:5" x14ac:dyDescent="0.25">
      <c r="A5876" s="22"/>
      <c r="B5876" s="23"/>
      <c r="C5876" s="23"/>
      <c r="D5876" s="23"/>
      <c r="E5876" s="23"/>
    </row>
    <row r="5877" spans="1:5" x14ac:dyDescent="0.25">
      <c r="A5877" s="22"/>
      <c r="B5877" s="23"/>
      <c r="C5877" s="23"/>
      <c r="D5877" s="23"/>
      <c r="E5877" s="23"/>
    </row>
    <row r="5878" spans="1:5" x14ac:dyDescent="0.25">
      <c r="A5878" s="22"/>
      <c r="B5878" s="23"/>
      <c r="C5878" s="23"/>
      <c r="D5878" s="23"/>
      <c r="E5878" s="23"/>
    </row>
    <row r="5879" spans="1:5" x14ac:dyDescent="0.25">
      <c r="A5879" s="22"/>
      <c r="B5879" s="23"/>
      <c r="C5879" s="23"/>
      <c r="D5879" s="23"/>
      <c r="E5879" s="23"/>
    </row>
    <row r="5880" spans="1:5" x14ac:dyDescent="0.25">
      <c r="A5880" s="22"/>
      <c r="B5880" s="23"/>
      <c r="C5880" s="23"/>
      <c r="D5880" s="23"/>
      <c r="E5880" s="23"/>
    </row>
    <row r="5881" spans="1:5" x14ac:dyDescent="0.25">
      <c r="A5881" s="22"/>
      <c r="B5881" s="23"/>
      <c r="C5881" s="23"/>
      <c r="D5881" s="23"/>
      <c r="E5881" s="23"/>
    </row>
    <row r="5882" spans="1:5" x14ac:dyDescent="0.25">
      <c r="A5882" s="22"/>
      <c r="B5882" s="23"/>
      <c r="C5882" s="23"/>
      <c r="D5882" s="23"/>
      <c r="E5882" s="23"/>
    </row>
    <row r="5883" spans="1:5" x14ac:dyDescent="0.25">
      <c r="A5883" s="22"/>
      <c r="B5883" s="23"/>
      <c r="C5883" s="23"/>
      <c r="D5883" s="23"/>
      <c r="E5883" s="23"/>
    </row>
    <row r="5884" spans="1:5" x14ac:dyDescent="0.25">
      <c r="A5884" s="22"/>
      <c r="B5884" s="23"/>
      <c r="C5884" s="23"/>
      <c r="D5884" s="23"/>
      <c r="E5884" s="23"/>
    </row>
    <row r="5885" spans="1:5" x14ac:dyDescent="0.25">
      <c r="A5885" s="22"/>
      <c r="B5885" s="23"/>
      <c r="C5885" s="23"/>
      <c r="D5885" s="23"/>
      <c r="E5885" s="23"/>
    </row>
    <row r="5886" spans="1:5" x14ac:dyDescent="0.25">
      <c r="A5886" s="22"/>
      <c r="B5886" s="23"/>
      <c r="C5886" s="23"/>
      <c r="D5886" s="23"/>
      <c r="E5886" s="23"/>
    </row>
    <row r="5887" spans="1:5" x14ac:dyDescent="0.25">
      <c r="A5887" s="22"/>
      <c r="B5887" s="23"/>
      <c r="C5887" s="23"/>
      <c r="D5887" s="23"/>
      <c r="E5887" s="23"/>
    </row>
    <row r="5888" spans="1:5" x14ac:dyDescent="0.25">
      <c r="A5888" s="22"/>
      <c r="B5888" s="23"/>
      <c r="C5888" s="23"/>
      <c r="D5888" s="23"/>
      <c r="E5888" s="23"/>
    </row>
    <row r="5889" spans="1:5" x14ac:dyDescent="0.25">
      <c r="A5889" s="22"/>
      <c r="B5889" s="23"/>
      <c r="C5889" s="23"/>
      <c r="D5889" s="23"/>
      <c r="E5889" s="23"/>
    </row>
    <row r="5890" spans="1:5" x14ac:dyDescent="0.25">
      <c r="A5890" s="22"/>
      <c r="B5890" s="23"/>
      <c r="C5890" s="23"/>
      <c r="D5890" s="23"/>
      <c r="E5890" s="23"/>
    </row>
    <row r="5891" spans="1:5" x14ac:dyDescent="0.25">
      <c r="A5891" s="22"/>
      <c r="B5891" s="23"/>
      <c r="C5891" s="23"/>
      <c r="D5891" s="23"/>
      <c r="E5891" s="23"/>
    </row>
    <row r="5892" spans="1:5" x14ac:dyDescent="0.25">
      <c r="A5892" s="22"/>
      <c r="B5892" s="23"/>
      <c r="C5892" s="23"/>
      <c r="D5892" s="23"/>
      <c r="E5892" s="23"/>
    </row>
    <row r="5893" spans="1:5" x14ac:dyDescent="0.25">
      <c r="A5893" s="22"/>
      <c r="B5893" s="23"/>
      <c r="C5893" s="23"/>
      <c r="D5893" s="23"/>
      <c r="E5893" s="23"/>
    </row>
    <row r="5894" spans="1:5" x14ac:dyDescent="0.25">
      <c r="A5894" s="22"/>
      <c r="B5894" s="23"/>
      <c r="C5894" s="23"/>
      <c r="D5894" s="23"/>
      <c r="E5894" s="23"/>
    </row>
    <row r="5895" spans="1:5" x14ac:dyDescent="0.25">
      <c r="A5895" s="22"/>
      <c r="B5895" s="23"/>
      <c r="C5895" s="23"/>
      <c r="D5895" s="23"/>
      <c r="E5895" s="23"/>
    </row>
    <row r="5896" spans="1:5" x14ac:dyDescent="0.25">
      <c r="A5896" s="22"/>
      <c r="B5896" s="23"/>
      <c r="C5896" s="23"/>
      <c r="D5896" s="23"/>
      <c r="E5896" s="23"/>
    </row>
    <row r="5897" spans="1:5" x14ac:dyDescent="0.25">
      <c r="A5897" s="22"/>
      <c r="B5897" s="23"/>
      <c r="C5897" s="23"/>
      <c r="D5897" s="23"/>
      <c r="E5897" s="23"/>
    </row>
    <row r="5898" spans="1:5" x14ac:dyDescent="0.25">
      <c r="A5898" s="22"/>
      <c r="B5898" s="23"/>
      <c r="C5898" s="23"/>
      <c r="D5898" s="23"/>
      <c r="E5898" s="23"/>
    </row>
    <row r="5899" spans="1:5" x14ac:dyDescent="0.25">
      <c r="A5899" s="22"/>
      <c r="B5899" s="23"/>
      <c r="C5899" s="23"/>
      <c r="D5899" s="23"/>
      <c r="E5899" s="23"/>
    </row>
    <row r="5900" spans="1:5" x14ac:dyDescent="0.25">
      <c r="A5900" s="22"/>
      <c r="B5900" s="23"/>
      <c r="C5900" s="23"/>
      <c r="D5900" s="23"/>
      <c r="E5900" s="23"/>
    </row>
    <row r="5901" spans="1:5" x14ac:dyDescent="0.25">
      <c r="A5901" s="22"/>
      <c r="B5901" s="23"/>
      <c r="C5901" s="23"/>
      <c r="D5901" s="23"/>
      <c r="E5901" s="23"/>
    </row>
    <row r="5902" spans="1:5" x14ac:dyDescent="0.25">
      <c r="A5902" s="22"/>
      <c r="B5902" s="23"/>
      <c r="C5902" s="23"/>
      <c r="D5902" s="23"/>
      <c r="E5902" s="23"/>
    </row>
    <row r="5903" spans="1:5" x14ac:dyDescent="0.25">
      <c r="A5903" s="22"/>
      <c r="B5903" s="23"/>
      <c r="C5903" s="23"/>
      <c r="D5903" s="23"/>
      <c r="E5903" s="23"/>
    </row>
    <row r="5904" spans="1:5" x14ac:dyDescent="0.25">
      <c r="A5904" s="22"/>
      <c r="B5904" s="23"/>
      <c r="C5904" s="23"/>
      <c r="D5904" s="23"/>
      <c r="E5904" s="23"/>
    </row>
    <row r="5905" spans="1:5" x14ac:dyDescent="0.25">
      <c r="A5905" s="22"/>
      <c r="B5905" s="23"/>
      <c r="C5905" s="23"/>
      <c r="D5905" s="23"/>
      <c r="E5905" s="23"/>
    </row>
    <row r="5906" spans="1:5" x14ac:dyDescent="0.25">
      <c r="A5906" s="22"/>
      <c r="B5906" s="23"/>
      <c r="C5906" s="23"/>
      <c r="D5906" s="23"/>
      <c r="E5906" s="23"/>
    </row>
    <row r="5907" spans="1:5" x14ac:dyDescent="0.25">
      <c r="A5907" s="22"/>
      <c r="B5907" s="23"/>
      <c r="C5907" s="23"/>
      <c r="D5907" s="23"/>
      <c r="E5907" s="23"/>
    </row>
    <row r="5908" spans="1:5" x14ac:dyDescent="0.25">
      <c r="A5908" s="22"/>
      <c r="B5908" s="23"/>
      <c r="C5908" s="23"/>
      <c r="D5908" s="23"/>
      <c r="E5908" s="23"/>
    </row>
    <row r="5909" spans="1:5" x14ac:dyDescent="0.25">
      <c r="A5909" s="22"/>
      <c r="B5909" s="23"/>
      <c r="C5909" s="23"/>
      <c r="D5909" s="23"/>
      <c r="E5909" s="23"/>
    </row>
    <row r="5910" spans="1:5" x14ac:dyDescent="0.25">
      <c r="A5910" s="22"/>
      <c r="B5910" s="23"/>
      <c r="C5910" s="23"/>
      <c r="D5910" s="23"/>
      <c r="E5910" s="23"/>
    </row>
    <row r="5911" spans="1:5" x14ac:dyDescent="0.25">
      <c r="A5911" s="22"/>
      <c r="B5911" s="23"/>
      <c r="C5911" s="23"/>
      <c r="D5911" s="23"/>
      <c r="E5911" s="23"/>
    </row>
    <row r="5912" spans="1:5" x14ac:dyDescent="0.25">
      <c r="A5912" s="22"/>
      <c r="B5912" s="23"/>
      <c r="C5912" s="23"/>
      <c r="D5912" s="23"/>
      <c r="E5912" s="23"/>
    </row>
    <row r="5913" spans="1:5" x14ac:dyDescent="0.25">
      <c r="A5913" s="22"/>
      <c r="B5913" s="23"/>
      <c r="C5913" s="23"/>
      <c r="D5913" s="23"/>
      <c r="E5913" s="23"/>
    </row>
    <row r="5914" spans="1:5" x14ac:dyDescent="0.25">
      <c r="A5914" s="22"/>
      <c r="B5914" s="23"/>
      <c r="C5914" s="23"/>
      <c r="D5914" s="23"/>
      <c r="E5914" s="23"/>
    </row>
    <row r="5915" spans="1:5" x14ac:dyDescent="0.25">
      <c r="A5915" s="22"/>
      <c r="B5915" s="23"/>
      <c r="C5915" s="23"/>
      <c r="D5915" s="23"/>
      <c r="E5915" s="23"/>
    </row>
    <row r="5916" spans="1:5" x14ac:dyDescent="0.25">
      <c r="A5916" s="22"/>
      <c r="B5916" s="23"/>
      <c r="C5916" s="23"/>
      <c r="D5916" s="23"/>
      <c r="E5916" s="23"/>
    </row>
    <row r="5917" spans="1:5" x14ac:dyDescent="0.25">
      <c r="A5917" s="22"/>
      <c r="B5917" s="23"/>
      <c r="C5917" s="23"/>
      <c r="D5917" s="23"/>
      <c r="E5917" s="23"/>
    </row>
    <row r="5918" spans="1:5" x14ac:dyDescent="0.25">
      <c r="A5918" s="22"/>
      <c r="B5918" s="23"/>
      <c r="C5918" s="23"/>
      <c r="D5918" s="23"/>
      <c r="E5918" s="23"/>
    </row>
    <row r="5919" spans="1:5" x14ac:dyDescent="0.25">
      <c r="A5919" s="22"/>
      <c r="B5919" s="23"/>
      <c r="C5919" s="23"/>
      <c r="D5919" s="23"/>
      <c r="E5919" s="23"/>
    </row>
    <row r="5920" spans="1:5" x14ac:dyDescent="0.25">
      <c r="A5920" s="22"/>
      <c r="B5920" s="23"/>
      <c r="C5920" s="23"/>
      <c r="D5920" s="23"/>
      <c r="E5920" s="23"/>
    </row>
    <row r="5921" spans="1:5" x14ac:dyDescent="0.25">
      <c r="A5921" s="22"/>
      <c r="B5921" s="23"/>
      <c r="C5921" s="23"/>
      <c r="D5921" s="23"/>
      <c r="E5921" s="23"/>
    </row>
    <row r="5922" spans="1:5" x14ac:dyDescent="0.25">
      <c r="A5922" s="22"/>
      <c r="B5922" s="23"/>
      <c r="C5922" s="23"/>
      <c r="D5922" s="23"/>
      <c r="E5922" s="23"/>
    </row>
    <row r="5923" spans="1:5" x14ac:dyDescent="0.25">
      <c r="A5923" s="22"/>
      <c r="B5923" s="23"/>
      <c r="C5923" s="23"/>
      <c r="D5923" s="23"/>
      <c r="E5923" s="23"/>
    </row>
    <row r="5924" spans="1:5" x14ac:dyDescent="0.25">
      <c r="A5924" s="22"/>
      <c r="B5924" s="23"/>
      <c r="C5924" s="23"/>
      <c r="D5924" s="23"/>
      <c r="E5924" s="23"/>
    </row>
    <row r="5925" spans="1:5" x14ac:dyDescent="0.25">
      <c r="A5925" s="22"/>
      <c r="B5925" s="23"/>
      <c r="C5925" s="23"/>
      <c r="D5925" s="23"/>
      <c r="E5925" s="23"/>
    </row>
    <row r="5926" spans="1:5" x14ac:dyDescent="0.25">
      <c r="A5926" s="22"/>
      <c r="B5926" s="23"/>
      <c r="C5926" s="23"/>
      <c r="D5926" s="23"/>
      <c r="E5926" s="23"/>
    </row>
    <row r="5927" spans="1:5" x14ac:dyDescent="0.25">
      <c r="A5927" s="22"/>
      <c r="B5927" s="23"/>
      <c r="C5927" s="23"/>
      <c r="D5927" s="23"/>
      <c r="E5927" s="23"/>
    </row>
    <row r="5928" spans="1:5" x14ac:dyDescent="0.25">
      <c r="A5928" s="22"/>
      <c r="B5928" s="23"/>
      <c r="C5928" s="23"/>
      <c r="D5928" s="23"/>
      <c r="E5928" s="23"/>
    </row>
    <row r="5929" spans="1:5" x14ac:dyDescent="0.25">
      <c r="A5929" s="22"/>
      <c r="B5929" s="23"/>
      <c r="C5929" s="23"/>
      <c r="D5929" s="23"/>
      <c r="E5929" s="23"/>
    </row>
    <row r="5930" spans="1:5" x14ac:dyDescent="0.25">
      <c r="A5930" s="22"/>
      <c r="B5930" s="23"/>
      <c r="C5930" s="23"/>
      <c r="D5930" s="23"/>
      <c r="E5930" s="23"/>
    </row>
    <row r="5931" spans="1:5" x14ac:dyDescent="0.25">
      <c r="A5931" s="22"/>
      <c r="B5931" s="23"/>
      <c r="C5931" s="23"/>
      <c r="D5931" s="23"/>
      <c r="E5931" s="23"/>
    </row>
    <row r="5932" spans="1:5" x14ac:dyDescent="0.25">
      <c r="A5932" s="22"/>
      <c r="B5932" s="23"/>
      <c r="C5932" s="23"/>
      <c r="D5932" s="23"/>
      <c r="E5932" s="23"/>
    </row>
    <row r="5933" spans="1:5" x14ac:dyDescent="0.25">
      <c r="A5933" s="22"/>
      <c r="B5933" s="23"/>
      <c r="C5933" s="23"/>
      <c r="D5933" s="23"/>
      <c r="E5933" s="23"/>
    </row>
    <row r="5934" spans="1:5" x14ac:dyDescent="0.25">
      <c r="A5934" s="22"/>
      <c r="B5934" s="23"/>
      <c r="C5934" s="23"/>
      <c r="D5934" s="23"/>
      <c r="E5934" s="23"/>
    </row>
    <row r="5935" spans="1:5" x14ac:dyDescent="0.25">
      <c r="A5935" s="22"/>
      <c r="B5935" s="23"/>
      <c r="C5935" s="23"/>
      <c r="D5935" s="23"/>
      <c r="E5935" s="23"/>
    </row>
    <row r="5936" spans="1:5" x14ac:dyDescent="0.25">
      <c r="A5936" s="22"/>
      <c r="B5936" s="23"/>
      <c r="C5936" s="23"/>
      <c r="D5936" s="23"/>
      <c r="E5936" s="23"/>
    </row>
    <row r="5937" spans="1:5" x14ac:dyDescent="0.25">
      <c r="A5937" s="22"/>
      <c r="B5937" s="23"/>
      <c r="C5937" s="23"/>
      <c r="D5937" s="23"/>
      <c r="E5937" s="23"/>
    </row>
    <row r="5938" spans="1:5" x14ac:dyDescent="0.25">
      <c r="A5938" s="22"/>
      <c r="B5938" s="23"/>
      <c r="C5938" s="23"/>
      <c r="D5938" s="23"/>
      <c r="E5938" s="23"/>
    </row>
    <row r="5939" spans="1:5" x14ac:dyDescent="0.25">
      <c r="A5939" s="22"/>
      <c r="B5939" s="23"/>
      <c r="C5939" s="23"/>
      <c r="D5939" s="23"/>
      <c r="E5939" s="23"/>
    </row>
    <row r="5940" spans="1:5" x14ac:dyDescent="0.25">
      <c r="A5940" s="22"/>
      <c r="B5940" s="23"/>
      <c r="C5940" s="23"/>
      <c r="D5940" s="23"/>
      <c r="E5940" s="23"/>
    </row>
    <row r="5941" spans="1:5" x14ac:dyDescent="0.25">
      <c r="A5941" s="22"/>
      <c r="B5941" s="23"/>
      <c r="C5941" s="23"/>
      <c r="D5941" s="23"/>
      <c r="E5941" s="23"/>
    </row>
    <row r="5942" spans="1:5" x14ac:dyDescent="0.25">
      <c r="A5942" s="22"/>
      <c r="B5942" s="23"/>
      <c r="C5942" s="23"/>
      <c r="D5942" s="23"/>
      <c r="E5942" s="23"/>
    </row>
    <row r="5943" spans="1:5" x14ac:dyDescent="0.25">
      <c r="A5943" s="22"/>
      <c r="B5943" s="23"/>
      <c r="C5943" s="23"/>
      <c r="D5943" s="23"/>
      <c r="E5943" s="23"/>
    </row>
    <row r="5944" spans="1:5" x14ac:dyDescent="0.25">
      <c r="A5944" s="22"/>
      <c r="B5944" s="23"/>
      <c r="C5944" s="23"/>
      <c r="D5944" s="23"/>
      <c r="E5944" s="23"/>
    </row>
    <row r="5945" spans="1:5" x14ac:dyDescent="0.25">
      <c r="A5945" s="22"/>
      <c r="B5945" s="23"/>
      <c r="C5945" s="23"/>
      <c r="D5945" s="23"/>
      <c r="E5945" s="23"/>
    </row>
    <row r="5946" spans="1:5" x14ac:dyDescent="0.25">
      <c r="A5946" s="22"/>
      <c r="B5946" s="23"/>
      <c r="C5946" s="23"/>
      <c r="D5946" s="23"/>
      <c r="E5946" s="23"/>
    </row>
    <row r="5947" spans="1:5" x14ac:dyDescent="0.25">
      <c r="A5947" s="22"/>
      <c r="B5947" s="23"/>
      <c r="C5947" s="23"/>
      <c r="D5947" s="23"/>
      <c r="E5947" s="23"/>
    </row>
    <row r="5948" spans="1:5" x14ac:dyDescent="0.25">
      <c r="A5948" s="22"/>
      <c r="B5948" s="23"/>
      <c r="C5948" s="23"/>
      <c r="D5948" s="23"/>
      <c r="E5948" s="23"/>
    </row>
    <row r="5949" spans="1:5" x14ac:dyDescent="0.25">
      <c r="A5949" s="22"/>
      <c r="B5949" s="23"/>
      <c r="C5949" s="23"/>
      <c r="D5949" s="23"/>
      <c r="E5949" s="23"/>
    </row>
    <row r="5950" spans="1:5" x14ac:dyDescent="0.25">
      <c r="A5950" s="22"/>
      <c r="B5950" s="23"/>
      <c r="C5950" s="23"/>
      <c r="D5950" s="23"/>
      <c r="E5950" s="23"/>
    </row>
    <row r="5951" spans="1:5" x14ac:dyDescent="0.25">
      <c r="A5951" s="22"/>
      <c r="B5951" s="23"/>
      <c r="C5951" s="23"/>
      <c r="D5951" s="23"/>
      <c r="E5951" s="23"/>
    </row>
    <row r="5952" spans="1:5" x14ac:dyDescent="0.25">
      <c r="A5952" s="22"/>
      <c r="B5952" s="23"/>
      <c r="C5952" s="23"/>
      <c r="D5952" s="23"/>
      <c r="E5952" s="23"/>
    </row>
    <row r="5953" spans="1:5" x14ac:dyDescent="0.25">
      <c r="A5953" s="22"/>
      <c r="B5953" s="23"/>
      <c r="C5953" s="23"/>
      <c r="D5953" s="23"/>
      <c r="E5953" s="23"/>
    </row>
    <row r="5954" spans="1:5" x14ac:dyDescent="0.25">
      <c r="A5954" s="22"/>
      <c r="B5954" s="23"/>
      <c r="C5954" s="23"/>
      <c r="D5954" s="23"/>
      <c r="E5954" s="23"/>
    </row>
    <row r="5955" spans="1:5" x14ac:dyDescent="0.25">
      <c r="A5955" s="22"/>
      <c r="B5955" s="23"/>
      <c r="C5955" s="23"/>
      <c r="D5955" s="23"/>
      <c r="E5955" s="23"/>
    </row>
    <row r="5956" spans="1:5" x14ac:dyDescent="0.25">
      <c r="A5956" s="22"/>
      <c r="B5956" s="23"/>
      <c r="C5956" s="23"/>
      <c r="D5956" s="23"/>
      <c r="E5956" s="23"/>
    </row>
    <row r="5957" spans="1:5" x14ac:dyDescent="0.25">
      <c r="A5957" s="22"/>
      <c r="B5957" s="23"/>
      <c r="C5957" s="23"/>
      <c r="D5957" s="23"/>
      <c r="E5957" s="23"/>
    </row>
    <row r="5958" spans="1:5" x14ac:dyDescent="0.25">
      <c r="A5958" s="22"/>
      <c r="B5958" s="23"/>
      <c r="C5958" s="23"/>
      <c r="D5958" s="23"/>
      <c r="E5958" s="23"/>
    </row>
    <row r="5959" spans="1:5" x14ac:dyDescent="0.25">
      <c r="A5959" s="22"/>
      <c r="B5959" s="23"/>
      <c r="C5959" s="23"/>
      <c r="D5959" s="23"/>
      <c r="E5959" s="23"/>
    </row>
    <row r="5960" spans="1:5" x14ac:dyDescent="0.25">
      <c r="A5960" s="22"/>
      <c r="B5960" s="23"/>
      <c r="C5960" s="23"/>
      <c r="D5960" s="23"/>
      <c r="E5960" s="23"/>
    </row>
    <row r="5961" spans="1:5" x14ac:dyDescent="0.25">
      <c r="A5961" s="22"/>
      <c r="B5961" s="23"/>
      <c r="C5961" s="23"/>
      <c r="D5961" s="23"/>
      <c r="E5961" s="23"/>
    </row>
    <row r="5962" spans="1:5" x14ac:dyDescent="0.25">
      <c r="A5962" s="22"/>
      <c r="B5962" s="23"/>
      <c r="C5962" s="23"/>
      <c r="D5962" s="23"/>
      <c r="E5962" s="23"/>
    </row>
    <row r="5963" spans="1:5" x14ac:dyDescent="0.25">
      <c r="A5963" s="22"/>
      <c r="B5963" s="23"/>
      <c r="C5963" s="23"/>
      <c r="D5963" s="23"/>
      <c r="E5963" s="23"/>
    </row>
    <row r="5964" spans="1:5" x14ac:dyDescent="0.25">
      <c r="A5964" s="22"/>
      <c r="B5964" s="23"/>
      <c r="C5964" s="23"/>
      <c r="D5964" s="23"/>
      <c r="E5964" s="23"/>
    </row>
    <row r="5965" spans="1:5" x14ac:dyDescent="0.25">
      <c r="A5965" s="22"/>
      <c r="B5965" s="23"/>
      <c r="C5965" s="23"/>
      <c r="D5965" s="23"/>
      <c r="E5965" s="23"/>
    </row>
    <row r="5966" spans="1:5" x14ac:dyDescent="0.25">
      <c r="A5966" s="22"/>
      <c r="B5966" s="23"/>
      <c r="C5966" s="23"/>
      <c r="D5966" s="23"/>
      <c r="E5966" s="23"/>
    </row>
    <row r="5967" spans="1:5" x14ac:dyDescent="0.25">
      <c r="A5967" s="22"/>
      <c r="B5967" s="23"/>
      <c r="C5967" s="23"/>
      <c r="D5967" s="23"/>
      <c r="E5967" s="23"/>
    </row>
    <row r="5968" spans="1:5" x14ac:dyDescent="0.25">
      <c r="A5968" s="22"/>
      <c r="B5968" s="23"/>
      <c r="C5968" s="23"/>
      <c r="D5968" s="23"/>
      <c r="E5968" s="23"/>
    </row>
    <row r="5969" spans="1:5" x14ac:dyDescent="0.25">
      <c r="A5969" s="22"/>
      <c r="B5969" s="23"/>
      <c r="C5969" s="23"/>
      <c r="D5969" s="23"/>
      <c r="E5969" s="23"/>
    </row>
    <row r="5970" spans="1:5" x14ac:dyDescent="0.25">
      <c r="A5970" s="22"/>
      <c r="B5970" s="23"/>
      <c r="C5970" s="23"/>
      <c r="D5970" s="23"/>
      <c r="E5970" s="23"/>
    </row>
    <row r="5971" spans="1:5" x14ac:dyDescent="0.25">
      <c r="A5971" s="22"/>
      <c r="B5971" s="23"/>
      <c r="C5971" s="23"/>
      <c r="D5971" s="23"/>
      <c r="E5971" s="23"/>
    </row>
    <row r="5972" spans="1:5" x14ac:dyDescent="0.25">
      <c r="A5972" s="22"/>
      <c r="B5972" s="23"/>
      <c r="C5972" s="23"/>
      <c r="D5972" s="23"/>
      <c r="E5972" s="23"/>
    </row>
    <row r="5973" spans="1:5" x14ac:dyDescent="0.25">
      <c r="A5973" s="22"/>
      <c r="B5973" s="23"/>
      <c r="C5973" s="23"/>
      <c r="D5973" s="23"/>
      <c r="E5973" s="23"/>
    </row>
    <row r="5974" spans="1:5" x14ac:dyDescent="0.25">
      <c r="A5974" s="22"/>
      <c r="B5974" s="23"/>
      <c r="C5974" s="23"/>
      <c r="D5974" s="23"/>
      <c r="E5974" s="23"/>
    </row>
    <row r="5975" spans="1:5" x14ac:dyDescent="0.25">
      <c r="A5975" s="22"/>
      <c r="B5975" s="23"/>
      <c r="C5975" s="23"/>
      <c r="D5975" s="23"/>
      <c r="E5975" s="23"/>
    </row>
    <row r="5976" spans="1:5" x14ac:dyDescent="0.25">
      <c r="A5976" s="22"/>
      <c r="B5976" s="23"/>
      <c r="C5976" s="23"/>
      <c r="D5976" s="23"/>
      <c r="E5976" s="23"/>
    </row>
    <row r="5977" spans="1:5" x14ac:dyDescent="0.25">
      <c r="A5977" s="22"/>
      <c r="B5977" s="23"/>
      <c r="C5977" s="23"/>
      <c r="D5977" s="23"/>
      <c r="E5977" s="23"/>
    </row>
    <row r="5978" spans="1:5" x14ac:dyDescent="0.25">
      <c r="A5978" s="22"/>
      <c r="B5978" s="23"/>
      <c r="C5978" s="23"/>
      <c r="D5978" s="23"/>
      <c r="E5978" s="23"/>
    </row>
    <row r="5979" spans="1:5" x14ac:dyDescent="0.25">
      <c r="A5979" s="22"/>
      <c r="B5979" s="23"/>
      <c r="C5979" s="23"/>
      <c r="D5979" s="23"/>
      <c r="E5979" s="23"/>
    </row>
    <row r="5980" spans="1:5" x14ac:dyDescent="0.25">
      <c r="A5980" s="22"/>
      <c r="B5980" s="23"/>
      <c r="C5980" s="23"/>
      <c r="D5980" s="23"/>
      <c r="E5980" s="23"/>
    </row>
    <row r="5981" spans="1:5" x14ac:dyDescent="0.25">
      <c r="A5981" s="22"/>
      <c r="B5981" s="23"/>
      <c r="C5981" s="23"/>
      <c r="D5981" s="23"/>
      <c r="E5981" s="23"/>
    </row>
    <row r="5982" spans="1:5" x14ac:dyDescent="0.25">
      <c r="A5982" s="22"/>
      <c r="B5982" s="23"/>
      <c r="C5982" s="23"/>
      <c r="D5982" s="23"/>
      <c r="E5982" s="23"/>
    </row>
    <row r="5983" spans="1:5" x14ac:dyDescent="0.25">
      <c r="A5983" s="22"/>
      <c r="B5983" s="23"/>
      <c r="C5983" s="23"/>
      <c r="D5983" s="23"/>
      <c r="E5983" s="23"/>
    </row>
    <row r="5984" spans="1:5" x14ac:dyDescent="0.25">
      <c r="A5984" s="22"/>
      <c r="B5984" s="23"/>
      <c r="C5984" s="23"/>
      <c r="D5984" s="23"/>
      <c r="E5984" s="23"/>
    </row>
    <row r="5985" spans="1:5" x14ac:dyDescent="0.25">
      <c r="A5985" s="22"/>
      <c r="B5985" s="23"/>
      <c r="C5985" s="23"/>
      <c r="D5985" s="23"/>
      <c r="E5985" s="23"/>
    </row>
    <row r="5986" spans="1:5" x14ac:dyDescent="0.25">
      <c r="A5986" s="22"/>
      <c r="B5986" s="23"/>
      <c r="C5986" s="23"/>
      <c r="D5986" s="23"/>
      <c r="E5986" s="23"/>
    </row>
    <row r="5987" spans="1:5" x14ac:dyDescent="0.25">
      <c r="A5987" s="22"/>
      <c r="B5987" s="23"/>
      <c r="C5987" s="23"/>
      <c r="D5987" s="23"/>
      <c r="E5987" s="23"/>
    </row>
    <row r="5988" spans="1:5" x14ac:dyDescent="0.25">
      <c r="A5988" s="22"/>
      <c r="B5988" s="23"/>
      <c r="C5988" s="23"/>
      <c r="D5988" s="23"/>
      <c r="E5988" s="23"/>
    </row>
    <row r="5989" spans="1:5" x14ac:dyDescent="0.25">
      <c r="A5989" s="22"/>
      <c r="B5989" s="23"/>
      <c r="C5989" s="23"/>
      <c r="D5989" s="23"/>
      <c r="E5989" s="23"/>
    </row>
    <row r="5990" spans="1:5" x14ac:dyDescent="0.25">
      <c r="A5990" s="22"/>
      <c r="B5990" s="23"/>
      <c r="C5990" s="23"/>
      <c r="D5990" s="23"/>
      <c r="E5990" s="23"/>
    </row>
    <row r="5991" spans="1:5" x14ac:dyDescent="0.25">
      <c r="A5991" s="22"/>
      <c r="B5991" s="23"/>
      <c r="C5991" s="23"/>
      <c r="D5991" s="23"/>
      <c r="E5991" s="23"/>
    </row>
    <row r="5992" spans="1:5" x14ac:dyDescent="0.25">
      <c r="A5992" s="22"/>
      <c r="B5992" s="23"/>
      <c r="C5992" s="23"/>
      <c r="D5992" s="23"/>
      <c r="E5992" s="23"/>
    </row>
    <row r="5993" spans="1:5" x14ac:dyDescent="0.25">
      <c r="A5993" s="22"/>
      <c r="B5993" s="23"/>
      <c r="C5993" s="23"/>
      <c r="D5993" s="23"/>
      <c r="E5993" s="23"/>
    </row>
    <row r="5994" spans="1:5" x14ac:dyDescent="0.25">
      <c r="A5994" s="22"/>
      <c r="B5994" s="23"/>
      <c r="C5994" s="23"/>
      <c r="D5994" s="23"/>
      <c r="E5994" s="23"/>
    </row>
    <row r="5995" spans="1:5" x14ac:dyDescent="0.25">
      <c r="A5995" s="22"/>
      <c r="B5995" s="23"/>
      <c r="C5995" s="23"/>
      <c r="D5995" s="23"/>
      <c r="E5995" s="23"/>
    </row>
    <row r="5996" spans="1:5" x14ac:dyDescent="0.25">
      <c r="A5996" s="22"/>
      <c r="B5996" s="23"/>
      <c r="C5996" s="23"/>
      <c r="D5996" s="23"/>
      <c r="E5996" s="23"/>
    </row>
    <row r="5997" spans="1:5" x14ac:dyDescent="0.25">
      <c r="A5997" s="22"/>
      <c r="B5997" s="23"/>
      <c r="C5997" s="23"/>
      <c r="D5997" s="23"/>
      <c r="E5997" s="23"/>
    </row>
    <row r="5998" spans="1:5" x14ac:dyDescent="0.25">
      <c r="A5998" s="22"/>
      <c r="B5998" s="23"/>
      <c r="C5998" s="23"/>
      <c r="D5998" s="23"/>
      <c r="E5998" s="23"/>
    </row>
    <row r="5999" spans="1:5" x14ac:dyDescent="0.25">
      <c r="A5999" s="22"/>
      <c r="B5999" s="23"/>
      <c r="C5999" s="23"/>
      <c r="D5999" s="23"/>
      <c r="E5999" s="23"/>
    </row>
    <row r="6000" spans="1:5" x14ac:dyDescent="0.25">
      <c r="A6000" s="22"/>
      <c r="B6000" s="23"/>
      <c r="C6000" s="23"/>
      <c r="D6000" s="23"/>
      <c r="E6000" s="23"/>
    </row>
    <row r="6001" spans="1:5" x14ac:dyDescent="0.25">
      <c r="A6001" s="22"/>
      <c r="B6001" s="23"/>
      <c r="C6001" s="23"/>
      <c r="D6001" s="23"/>
      <c r="E6001" s="23"/>
    </row>
    <row r="6002" spans="1:5" x14ac:dyDescent="0.25">
      <c r="A6002" s="22"/>
      <c r="B6002" s="23"/>
      <c r="C6002" s="23"/>
      <c r="D6002" s="23"/>
      <c r="E6002" s="23"/>
    </row>
    <row r="6003" spans="1:5" x14ac:dyDescent="0.25">
      <c r="A6003" s="22"/>
      <c r="B6003" s="23"/>
      <c r="C6003" s="23"/>
      <c r="D6003" s="23"/>
      <c r="E6003" s="23"/>
    </row>
    <row r="6004" spans="1:5" x14ac:dyDescent="0.25">
      <c r="A6004" s="22"/>
      <c r="B6004" s="23"/>
      <c r="C6004" s="23"/>
      <c r="D6004" s="23"/>
      <c r="E6004" s="23"/>
    </row>
    <row r="6005" spans="1:5" x14ac:dyDescent="0.25">
      <c r="A6005" s="22"/>
      <c r="B6005" s="23"/>
      <c r="C6005" s="23"/>
      <c r="D6005" s="23"/>
      <c r="E6005" s="23"/>
    </row>
    <row r="6006" spans="1:5" x14ac:dyDescent="0.25">
      <c r="A6006" s="22"/>
      <c r="B6006" s="23"/>
      <c r="C6006" s="23"/>
      <c r="D6006" s="23"/>
      <c r="E6006" s="23"/>
    </row>
    <row r="6007" spans="1:5" x14ac:dyDescent="0.25">
      <c r="A6007" s="22"/>
      <c r="B6007" s="23"/>
      <c r="C6007" s="23"/>
      <c r="D6007" s="23"/>
      <c r="E6007" s="23"/>
    </row>
    <row r="6008" spans="1:5" x14ac:dyDescent="0.25">
      <c r="A6008" s="22"/>
      <c r="B6008" s="23"/>
      <c r="C6008" s="23"/>
      <c r="D6008" s="23"/>
      <c r="E6008" s="23"/>
    </row>
    <row r="6009" spans="1:5" x14ac:dyDescent="0.25">
      <c r="A6009" s="22"/>
      <c r="B6009" s="23"/>
      <c r="C6009" s="23"/>
      <c r="D6009" s="23"/>
      <c r="E6009" s="23"/>
    </row>
    <row r="6010" spans="1:5" x14ac:dyDescent="0.25">
      <c r="A6010" s="22"/>
      <c r="B6010" s="23"/>
      <c r="C6010" s="23"/>
      <c r="D6010" s="23"/>
      <c r="E6010" s="23"/>
    </row>
    <row r="6011" spans="1:5" x14ac:dyDescent="0.25">
      <c r="A6011" s="22"/>
      <c r="B6011" s="23"/>
      <c r="C6011" s="23"/>
      <c r="D6011" s="23"/>
      <c r="E6011" s="23"/>
    </row>
    <row r="6012" spans="1:5" x14ac:dyDescent="0.25">
      <c r="A6012" s="22"/>
      <c r="B6012" s="23"/>
      <c r="C6012" s="23"/>
      <c r="D6012" s="23"/>
      <c r="E6012" s="23"/>
    </row>
    <row r="6013" spans="1:5" x14ac:dyDescent="0.25">
      <c r="A6013" s="22"/>
      <c r="B6013" s="23"/>
      <c r="C6013" s="23"/>
      <c r="D6013" s="23"/>
      <c r="E6013" s="23"/>
    </row>
    <row r="6014" spans="1:5" x14ac:dyDescent="0.25">
      <c r="A6014" s="22"/>
      <c r="B6014" s="23"/>
      <c r="C6014" s="23"/>
      <c r="D6014" s="23"/>
      <c r="E6014" s="23"/>
    </row>
    <row r="6015" spans="1:5" x14ac:dyDescent="0.25">
      <c r="A6015" s="22"/>
      <c r="B6015" s="23"/>
      <c r="C6015" s="23"/>
      <c r="D6015" s="23"/>
      <c r="E6015" s="23"/>
    </row>
    <row r="6016" spans="1:5" x14ac:dyDescent="0.25">
      <c r="A6016" s="22"/>
      <c r="B6016" s="23"/>
      <c r="C6016" s="23"/>
      <c r="D6016" s="23"/>
      <c r="E6016" s="23"/>
    </row>
    <row r="6017" spans="1:5" x14ac:dyDescent="0.25">
      <c r="A6017" s="22"/>
      <c r="B6017" s="23"/>
      <c r="C6017" s="23"/>
      <c r="D6017" s="23"/>
      <c r="E6017" s="23"/>
    </row>
    <row r="6018" spans="1:5" x14ac:dyDescent="0.25">
      <c r="A6018" s="22"/>
      <c r="B6018" s="23"/>
      <c r="C6018" s="23"/>
      <c r="D6018" s="23"/>
      <c r="E6018" s="23"/>
    </row>
    <row r="6019" spans="1:5" x14ac:dyDescent="0.25">
      <c r="A6019" s="22"/>
      <c r="B6019" s="23"/>
      <c r="C6019" s="23"/>
      <c r="D6019" s="23"/>
      <c r="E6019" s="23"/>
    </row>
    <row r="6020" spans="1:5" x14ac:dyDescent="0.25">
      <c r="A6020" s="22"/>
      <c r="B6020" s="23"/>
      <c r="C6020" s="23"/>
      <c r="D6020" s="23"/>
      <c r="E6020" s="23"/>
    </row>
    <row r="6021" spans="1:5" x14ac:dyDescent="0.25">
      <c r="A6021" s="22"/>
      <c r="B6021" s="23"/>
      <c r="C6021" s="23"/>
      <c r="D6021" s="23"/>
      <c r="E6021" s="23"/>
    </row>
    <row r="6022" spans="1:5" x14ac:dyDescent="0.25">
      <c r="A6022" s="22"/>
      <c r="B6022" s="23"/>
      <c r="C6022" s="23"/>
      <c r="D6022" s="23"/>
      <c r="E6022" s="23"/>
    </row>
    <row r="6023" spans="1:5" x14ac:dyDescent="0.25">
      <c r="A6023" s="22"/>
      <c r="B6023" s="23"/>
      <c r="C6023" s="23"/>
      <c r="D6023" s="23"/>
      <c r="E6023" s="23"/>
    </row>
    <row r="6024" spans="1:5" x14ac:dyDescent="0.25">
      <c r="A6024" s="22"/>
      <c r="B6024" s="23"/>
      <c r="C6024" s="23"/>
      <c r="D6024" s="23"/>
      <c r="E6024" s="23"/>
    </row>
    <row r="6025" spans="1:5" x14ac:dyDescent="0.25">
      <c r="A6025" s="22"/>
      <c r="B6025" s="23"/>
      <c r="C6025" s="23"/>
      <c r="D6025" s="23"/>
      <c r="E6025" s="23"/>
    </row>
    <row r="6026" spans="1:5" x14ac:dyDescent="0.25">
      <c r="A6026" s="22"/>
      <c r="B6026" s="23"/>
      <c r="C6026" s="23"/>
      <c r="D6026" s="23"/>
      <c r="E6026" s="23"/>
    </row>
    <row r="6027" spans="1:5" x14ac:dyDescent="0.25">
      <c r="A6027" s="22"/>
      <c r="B6027" s="23"/>
      <c r="C6027" s="23"/>
      <c r="D6027" s="23"/>
      <c r="E6027" s="23"/>
    </row>
    <row r="6028" spans="1:5" x14ac:dyDescent="0.25">
      <c r="A6028" s="22"/>
      <c r="B6028" s="23"/>
      <c r="C6028" s="23"/>
      <c r="D6028" s="23"/>
      <c r="E6028" s="23"/>
    </row>
    <row r="6029" spans="1:5" x14ac:dyDescent="0.25">
      <c r="A6029" s="22"/>
      <c r="B6029" s="23"/>
      <c r="C6029" s="23"/>
      <c r="D6029" s="23"/>
      <c r="E6029" s="23"/>
    </row>
    <row r="6030" spans="1:5" x14ac:dyDescent="0.25">
      <c r="A6030" s="22"/>
      <c r="B6030" s="23"/>
      <c r="C6030" s="23"/>
      <c r="D6030" s="23"/>
      <c r="E6030" s="23"/>
    </row>
    <row r="6031" spans="1:5" x14ac:dyDescent="0.25">
      <c r="A6031" s="22"/>
      <c r="B6031" s="23"/>
      <c r="C6031" s="23"/>
      <c r="D6031" s="23"/>
      <c r="E6031" s="23"/>
    </row>
    <row r="6032" spans="1:5" x14ac:dyDescent="0.25">
      <c r="A6032" s="22"/>
      <c r="B6032" s="23"/>
      <c r="C6032" s="23"/>
      <c r="D6032" s="23"/>
      <c r="E6032" s="23"/>
    </row>
    <row r="6033" spans="1:5" x14ac:dyDescent="0.25">
      <c r="A6033" s="22"/>
      <c r="B6033" s="23"/>
      <c r="C6033" s="23"/>
      <c r="D6033" s="23"/>
      <c r="E6033" s="23"/>
    </row>
    <row r="6034" spans="1:5" x14ac:dyDescent="0.25">
      <c r="A6034" s="22"/>
      <c r="B6034" s="23"/>
      <c r="C6034" s="23"/>
      <c r="D6034" s="23"/>
      <c r="E6034" s="23"/>
    </row>
    <row r="6035" spans="1:5" x14ac:dyDescent="0.25">
      <c r="A6035" s="22"/>
      <c r="B6035" s="23"/>
      <c r="C6035" s="23"/>
      <c r="D6035" s="23"/>
      <c r="E6035" s="23"/>
    </row>
    <row r="6036" spans="1:5" x14ac:dyDescent="0.25">
      <c r="A6036" s="22"/>
      <c r="B6036" s="23"/>
      <c r="C6036" s="23"/>
      <c r="D6036" s="23"/>
      <c r="E6036" s="23"/>
    </row>
    <row r="6037" spans="1:5" x14ac:dyDescent="0.25">
      <c r="A6037" s="22"/>
      <c r="B6037" s="23"/>
      <c r="C6037" s="23"/>
      <c r="D6037" s="23"/>
      <c r="E6037" s="23"/>
    </row>
    <row r="6038" spans="1:5" x14ac:dyDescent="0.25">
      <c r="A6038" s="22"/>
      <c r="B6038" s="23"/>
      <c r="C6038" s="23"/>
      <c r="D6038" s="23"/>
      <c r="E6038" s="23"/>
    </row>
    <row r="6039" spans="1:5" x14ac:dyDescent="0.25">
      <c r="A6039" s="22"/>
      <c r="B6039" s="23"/>
      <c r="C6039" s="23"/>
      <c r="D6039" s="23"/>
      <c r="E6039" s="23"/>
    </row>
    <row r="6040" spans="1:5" x14ac:dyDescent="0.25">
      <c r="A6040" s="22"/>
      <c r="B6040" s="23"/>
      <c r="C6040" s="23"/>
      <c r="D6040" s="23"/>
      <c r="E6040" s="23"/>
    </row>
    <row r="6041" spans="1:5" x14ac:dyDescent="0.25">
      <c r="A6041" s="22"/>
      <c r="B6041" s="23"/>
      <c r="C6041" s="23"/>
      <c r="D6041" s="23"/>
      <c r="E6041" s="23"/>
    </row>
    <row r="6042" spans="1:5" x14ac:dyDescent="0.25">
      <c r="A6042" s="22"/>
      <c r="B6042" s="23"/>
      <c r="C6042" s="23"/>
      <c r="D6042" s="23"/>
      <c r="E6042" s="23"/>
    </row>
    <row r="6043" spans="1:5" x14ac:dyDescent="0.25">
      <c r="A6043" s="22"/>
      <c r="B6043" s="23"/>
      <c r="C6043" s="23"/>
      <c r="D6043" s="23"/>
      <c r="E6043" s="23"/>
    </row>
    <row r="6044" spans="1:5" x14ac:dyDescent="0.25">
      <c r="A6044" s="22"/>
      <c r="B6044" s="23"/>
      <c r="C6044" s="23"/>
      <c r="D6044" s="23"/>
      <c r="E6044" s="23"/>
    </row>
    <row r="6045" spans="1:5" x14ac:dyDescent="0.25">
      <c r="A6045" s="22"/>
      <c r="B6045" s="23"/>
      <c r="C6045" s="23"/>
      <c r="D6045" s="23"/>
      <c r="E6045" s="23"/>
    </row>
    <row r="6046" spans="1:5" x14ac:dyDescent="0.25">
      <c r="A6046" s="22"/>
      <c r="B6046" s="23"/>
      <c r="C6046" s="23"/>
      <c r="D6046" s="23"/>
      <c r="E6046" s="23"/>
    </row>
    <row r="6047" spans="1:5" x14ac:dyDescent="0.25">
      <c r="A6047" s="22"/>
      <c r="B6047" s="23"/>
      <c r="C6047" s="23"/>
      <c r="D6047" s="23"/>
      <c r="E6047" s="23"/>
    </row>
    <row r="6048" spans="1:5" x14ac:dyDescent="0.25">
      <c r="A6048" s="22"/>
      <c r="B6048" s="23"/>
      <c r="C6048" s="23"/>
      <c r="D6048" s="23"/>
      <c r="E6048" s="23"/>
    </row>
    <row r="6049" spans="1:5" x14ac:dyDescent="0.25">
      <c r="A6049" s="22"/>
      <c r="B6049" s="23"/>
      <c r="C6049" s="23"/>
      <c r="D6049" s="23"/>
      <c r="E6049" s="23"/>
    </row>
    <row r="6050" spans="1:5" x14ac:dyDescent="0.25">
      <c r="A6050" s="22"/>
      <c r="B6050" s="23"/>
      <c r="C6050" s="23"/>
      <c r="D6050" s="23"/>
      <c r="E6050" s="23"/>
    </row>
    <row r="6051" spans="1:5" x14ac:dyDescent="0.25">
      <c r="A6051" s="22"/>
      <c r="B6051" s="23"/>
      <c r="C6051" s="23"/>
      <c r="D6051" s="23"/>
      <c r="E6051" s="23"/>
    </row>
    <row r="6052" spans="1:5" x14ac:dyDescent="0.25">
      <c r="A6052" s="22"/>
      <c r="B6052" s="23"/>
      <c r="C6052" s="23"/>
      <c r="D6052" s="23"/>
      <c r="E6052" s="23"/>
    </row>
    <row r="6053" spans="1:5" x14ac:dyDescent="0.25">
      <c r="A6053" s="22"/>
      <c r="B6053" s="23"/>
      <c r="C6053" s="23"/>
      <c r="D6053" s="23"/>
      <c r="E6053" s="23"/>
    </row>
    <row r="6054" spans="1:5" x14ac:dyDescent="0.25">
      <c r="A6054" s="22"/>
      <c r="B6054" s="23"/>
      <c r="C6054" s="23"/>
      <c r="D6054" s="23"/>
      <c r="E6054" s="23"/>
    </row>
    <row r="6055" spans="1:5" x14ac:dyDescent="0.25">
      <c r="A6055" s="22"/>
      <c r="B6055" s="23"/>
      <c r="C6055" s="23"/>
      <c r="D6055" s="23"/>
      <c r="E6055" s="23"/>
    </row>
    <row r="6056" spans="1:5" x14ac:dyDescent="0.25">
      <c r="A6056" s="22"/>
      <c r="B6056" s="23"/>
      <c r="C6056" s="23"/>
      <c r="D6056" s="23"/>
      <c r="E6056" s="23"/>
    </row>
    <row r="6057" spans="1:5" x14ac:dyDescent="0.25">
      <c r="A6057" s="22"/>
      <c r="B6057" s="23"/>
      <c r="C6057" s="23"/>
      <c r="D6057" s="23"/>
      <c r="E6057" s="23"/>
    </row>
    <row r="6058" spans="1:5" x14ac:dyDescent="0.25">
      <c r="A6058" s="22"/>
      <c r="B6058" s="23"/>
      <c r="C6058" s="23"/>
      <c r="D6058" s="23"/>
      <c r="E6058" s="23"/>
    </row>
    <row r="6059" spans="1:5" x14ac:dyDescent="0.25">
      <c r="A6059" s="22"/>
      <c r="B6059" s="23"/>
      <c r="C6059" s="23"/>
      <c r="D6059" s="23"/>
      <c r="E6059" s="23"/>
    </row>
    <row r="6060" spans="1:5" x14ac:dyDescent="0.25">
      <c r="A6060" s="22"/>
      <c r="B6060" s="23"/>
      <c r="C6060" s="23"/>
      <c r="D6060" s="23"/>
      <c r="E6060" s="23"/>
    </row>
    <row r="6061" spans="1:5" x14ac:dyDescent="0.25">
      <c r="A6061" s="22"/>
      <c r="B6061" s="23"/>
      <c r="C6061" s="23"/>
      <c r="D6061" s="23"/>
      <c r="E6061" s="23"/>
    </row>
    <row r="6062" spans="1:5" x14ac:dyDescent="0.25">
      <c r="A6062" s="22"/>
      <c r="B6062" s="23"/>
      <c r="C6062" s="23"/>
      <c r="D6062" s="23"/>
      <c r="E6062" s="23"/>
    </row>
    <row r="6063" spans="1:5" x14ac:dyDescent="0.25">
      <c r="A6063" s="22"/>
      <c r="B6063" s="23"/>
      <c r="C6063" s="23"/>
      <c r="D6063" s="23"/>
      <c r="E6063" s="23"/>
    </row>
    <row r="6064" spans="1:5" x14ac:dyDescent="0.25">
      <c r="A6064" s="22"/>
      <c r="B6064" s="23"/>
      <c r="C6064" s="23"/>
      <c r="D6064" s="23"/>
      <c r="E6064" s="23"/>
    </row>
    <row r="6065" spans="1:5" x14ac:dyDescent="0.25">
      <c r="A6065" s="22"/>
      <c r="B6065" s="23"/>
      <c r="C6065" s="23"/>
      <c r="D6065" s="23"/>
      <c r="E6065" s="23"/>
    </row>
    <row r="6066" spans="1:5" x14ac:dyDescent="0.25">
      <c r="A6066" s="22"/>
      <c r="B6066" s="23"/>
      <c r="C6066" s="23"/>
      <c r="D6066" s="23"/>
      <c r="E6066" s="23"/>
    </row>
    <row r="6067" spans="1:5" x14ac:dyDescent="0.25">
      <c r="A6067" s="22"/>
      <c r="B6067" s="23"/>
      <c r="C6067" s="23"/>
      <c r="D6067" s="23"/>
      <c r="E6067" s="23"/>
    </row>
    <row r="6068" spans="1:5" x14ac:dyDescent="0.25">
      <c r="A6068" s="22"/>
      <c r="B6068" s="23"/>
      <c r="C6068" s="23"/>
      <c r="D6068" s="23"/>
      <c r="E6068" s="23"/>
    </row>
    <row r="6069" spans="1:5" x14ac:dyDescent="0.25">
      <c r="A6069" s="22"/>
      <c r="B6069" s="23"/>
      <c r="C6069" s="23"/>
      <c r="D6069" s="23"/>
      <c r="E6069" s="23"/>
    </row>
    <row r="6070" spans="1:5" x14ac:dyDescent="0.25">
      <c r="A6070" s="22"/>
      <c r="B6070" s="23"/>
      <c r="C6070" s="23"/>
      <c r="D6070" s="23"/>
      <c r="E6070" s="23"/>
    </row>
    <row r="6071" spans="1:5" x14ac:dyDescent="0.25">
      <c r="A6071" s="22"/>
      <c r="B6071" s="23"/>
      <c r="C6071" s="23"/>
      <c r="D6071" s="23"/>
      <c r="E6071" s="23"/>
    </row>
    <row r="6072" spans="1:5" x14ac:dyDescent="0.25">
      <c r="A6072" s="22"/>
      <c r="B6072" s="23"/>
      <c r="C6072" s="23"/>
      <c r="D6072" s="23"/>
      <c r="E6072" s="23"/>
    </row>
    <row r="6073" spans="1:5" x14ac:dyDescent="0.25">
      <c r="A6073" s="22"/>
      <c r="B6073" s="23"/>
      <c r="C6073" s="23"/>
      <c r="D6073" s="23"/>
      <c r="E6073" s="23"/>
    </row>
    <row r="6074" spans="1:5" x14ac:dyDescent="0.25">
      <c r="A6074" s="22"/>
      <c r="B6074" s="23"/>
      <c r="C6074" s="23"/>
      <c r="D6074" s="23"/>
      <c r="E6074" s="23"/>
    </row>
    <row r="6075" spans="1:5" x14ac:dyDescent="0.25">
      <c r="A6075" s="22"/>
      <c r="B6075" s="23"/>
      <c r="C6075" s="23"/>
      <c r="D6075" s="23"/>
      <c r="E6075" s="23"/>
    </row>
    <row r="6076" spans="1:5" x14ac:dyDescent="0.25">
      <c r="A6076" s="22"/>
      <c r="B6076" s="23"/>
      <c r="C6076" s="23"/>
      <c r="D6076" s="23"/>
      <c r="E6076" s="23"/>
    </row>
    <row r="6077" spans="1:5" x14ac:dyDescent="0.25">
      <c r="A6077" s="22"/>
      <c r="B6077" s="23"/>
      <c r="C6077" s="23"/>
      <c r="D6077" s="23"/>
      <c r="E6077" s="23"/>
    </row>
    <row r="6078" spans="1:5" x14ac:dyDescent="0.25">
      <c r="A6078" s="22"/>
      <c r="B6078" s="23"/>
      <c r="C6078" s="23"/>
      <c r="D6078" s="23"/>
      <c r="E6078" s="23"/>
    </row>
    <row r="6079" spans="1:5" x14ac:dyDescent="0.25">
      <c r="A6079" s="22"/>
      <c r="B6079" s="23"/>
      <c r="C6079" s="23"/>
      <c r="D6079" s="23"/>
      <c r="E6079" s="23"/>
    </row>
    <row r="6080" spans="1:5" x14ac:dyDescent="0.25">
      <c r="A6080" s="22"/>
      <c r="B6080" s="23"/>
      <c r="C6080" s="23"/>
      <c r="D6080" s="23"/>
      <c r="E6080" s="23"/>
    </row>
    <row r="6081" spans="1:5" x14ac:dyDescent="0.25">
      <c r="A6081" s="22"/>
      <c r="B6081" s="23"/>
      <c r="C6081" s="23"/>
      <c r="D6081" s="23"/>
      <c r="E6081" s="23"/>
    </row>
    <row r="6082" spans="1:5" x14ac:dyDescent="0.25">
      <c r="A6082" s="22"/>
      <c r="B6082" s="23"/>
      <c r="C6082" s="23"/>
      <c r="D6082" s="23"/>
      <c r="E6082" s="23"/>
    </row>
    <row r="6083" spans="1:5" x14ac:dyDescent="0.25">
      <c r="A6083" s="22"/>
      <c r="B6083" s="23"/>
      <c r="C6083" s="23"/>
      <c r="D6083" s="23"/>
      <c r="E6083" s="23"/>
    </row>
    <row r="6084" spans="1:5" x14ac:dyDescent="0.25">
      <c r="A6084" s="22"/>
      <c r="B6084" s="23"/>
      <c r="C6084" s="23"/>
      <c r="D6084" s="23"/>
      <c r="E6084" s="23"/>
    </row>
    <row r="6085" spans="1:5" x14ac:dyDescent="0.25">
      <c r="A6085" s="22"/>
      <c r="B6085" s="23"/>
      <c r="C6085" s="23"/>
      <c r="D6085" s="23"/>
      <c r="E6085" s="23"/>
    </row>
    <row r="6086" spans="1:5" x14ac:dyDescent="0.25">
      <c r="A6086" s="22"/>
      <c r="B6086" s="23"/>
      <c r="C6086" s="23"/>
      <c r="D6086" s="23"/>
      <c r="E6086" s="23"/>
    </row>
    <row r="6087" spans="1:5" x14ac:dyDescent="0.25">
      <c r="A6087" s="22"/>
      <c r="B6087" s="23"/>
      <c r="C6087" s="23"/>
      <c r="D6087" s="23"/>
      <c r="E6087" s="23"/>
    </row>
    <row r="6088" spans="1:5" x14ac:dyDescent="0.25">
      <c r="A6088" s="22"/>
      <c r="B6088" s="23"/>
      <c r="C6088" s="23"/>
      <c r="D6088" s="23"/>
      <c r="E6088" s="23"/>
    </row>
    <row r="6089" spans="1:5" x14ac:dyDescent="0.25">
      <c r="A6089" s="22"/>
      <c r="B6089" s="23"/>
      <c r="C6089" s="23"/>
      <c r="D6089" s="23"/>
      <c r="E6089" s="23"/>
    </row>
    <row r="6090" spans="1:5" x14ac:dyDescent="0.25">
      <c r="A6090" s="22"/>
      <c r="B6090" s="23"/>
      <c r="C6090" s="23"/>
      <c r="D6090" s="23"/>
      <c r="E6090" s="23"/>
    </row>
    <row r="6091" spans="1:5" x14ac:dyDescent="0.25">
      <c r="A6091" s="22"/>
      <c r="B6091" s="23"/>
      <c r="C6091" s="23"/>
      <c r="D6091" s="23"/>
      <c r="E6091" s="23"/>
    </row>
    <row r="6092" spans="1:5" x14ac:dyDescent="0.25">
      <c r="A6092" s="22"/>
      <c r="B6092" s="23"/>
      <c r="C6092" s="23"/>
      <c r="D6092" s="23"/>
      <c r="E6092" s="23"/>
    </row>
    <row r="6093" spans="1:5" x14ac:dyDescent="0.25">
      <c r="A6093" s="22"/>
      <c r="B6093" s="23"/>
      <c r="C6093" s="23"/>
      <c r="D6093" s="23"/>
      <c r="E6093" s="23"/>
    </row>
    <row r="6094" spans="1:5" x14ac:dyDescent="0.25">
      <c r="A6094" s="22"/>
      <c r="B6094" s="23"/>
      <c r="C6094" s="23"/>
      <c r="D6094" s="23"/>
      <c r="E6094" s="23"/>
    </row>
    <row r="6095" spans="1:5" x14ac:dyDescent="0.25">
      <c r="A6095" s="22"/>
      <c r="B6095" s="23"/>
      <c r="C6095" s="23"/>
      <c r="D6095" s="23"/>
      <c r="E6095" s="23"/>
    </row>
    <row r="6096" spans="1:5" x14ac:dyDescent="0.25">
      <c r="A6096" s="22"/>
      <c r="B6096" s="23"/>
      <c r="C6096" s="23"/>
      <c r="D6096" s="23"/>
      <c r="E6096" s="23"/>
    </row>
    <row r="6097" spans="1:5" x14ac:dyDescent="0.25">
      <c r="A6097" s="22"/>
      <c r="B6097" s="23"/>
      <c r="C6097" s="23"/>
      <c r="D6097" s="23"/>
      <c r="E6097" s="23"/>
    </row>
    <row r="6098" spans="1:5" x14ac:dyDescent="0.25">
      <c r="A6098" s="22"/>
      <c r="B6098" s="23"/>
      <c r="C6098" s="23"/>
      <c r="D6098" s="23"/>
      <c r="E6098" s="23"/>
    </row>
    <row r="6099" spans="1:5" x14ac:dyDescent="0.25">
      <c r="A6099" s="22"/>
      <c r="B6099" s="23"/>
      <c r="C6099" s="23"/>
      <c r="D6099" s="23"/>
      <c r="E6099" s="23"/>
    </row>
    <row r="6100" spans="1:5" x14ac:dyDescent="0.25">
      <c r="A6100" s="22"/>
      <c r="B6100" s="23"/>
      <c r="C6100" s="23"/>
      <c r="D6100" s="23"/>
      <c r="E6100" s="23"/>
    </row>
    <row r="6101" spans="1:5" x14ac:dyDescent="0.25">
      <c r="A6101" s="22"/>
      <c r="B6101" s="23"/>
      <c r="C6101" s="23"/>
      <c r="D6101" s="23"/>
      <c r="E6101" s="23"/>
    </row>
    <row r="6102" spans="1:5" x14ac:dyDescent="0.25">
      <c r="A6102" s="22"/>
      <c r="B6102" s="23"/>
      <c r="C6102" s="23"/>
      <c r="D6102" s="23"/>
      <c r="E6102" s="23"/>
    </row>
    <row r="6103" spans="1:5" x14ac:dyDescent="0.25">
      <c r="A6103" s="22"/>
      <c r="B6103" s="23"/>
      <c r="C6103" s="23"/>
      <c r="D6103" s="23"/>
      <c r="E6103" s="23"/>
    </row>
    <row r="6104" spans="1:5" x14ac:dyDescent="0.25">
      <c r="A6104" s="22"/>
      <c r="B6104" s="23"/>
      <c r="C6104" s="23"/>
      <c r="D6104" s="23"/>
      <c r="E6104" s="23"/>
    </row>
    <row r="6105" spans="1:5" x14ac:dyDescent="0.25">
      <c r="A6105" s="22"/>
      <c r="B6105" s="23"/>
      <c r="C6105" s="23"/>
      <c r="D6105" s="23"/>
      <c r="E6105" s="23"/>
    </row>
    <row r="6106" spans="1:5" x14ac:dyDescent="0.25">
      <c r="A6106" s="22"/>
      <c r="B6106" s="23"/>
      <c r="C6106" s="23"/>
      <c r="D6106" s="23"/>
      <c r="E6106" s="23"/>
    </row>
    <row r="6107" spans="1:5" x14ac:dyDescent="0.25">
      <c r="A6107" s="22"/>
      <c r="B6107" s="23"/>
      <c r="C6107" s="23"/>
      <c r="D6107" s="23"/>
      <c r="E6107" s="23"/>
    </row>
    <row r="6108" spans="1:5" x14ac:dyDescent="0.25">
      <c r="A6108" s="22"/>
      <c r="B6108" s="23"/>
      <c r="C6108" s="23"/>
      <c r="D6108" s="23"/>
      <c r="E6108" s="23"/>
    </row>
    <row r="6109" spans="1:5" x14ac:dyDescent="0.25">
      <c r="A6109" s="22"/>
      <c r="B6109" s="23"/>
      <c r="C6109" s="23"/>
      <c r="D6109" s="23"/>
      <c r="E6109" s="23"/>
    </row>
    <row r="6110" spans="1:5" x14ac:dyDescent="0.25">
      <c r="A6110" s="22"/>
      <c r="B6110" s="23"/>
      <c r="C6110" s="23"/>
      <c r="D6110" s="23"/>
      <c r="E6110" s="23"/>
    </row>
    <row r="6111" spans="1:5" x14ac:dyDescent="0.25">
      <c r="A6111" s="22"/>
      <c r="B6111" s="23"/>
      <c r="C6111" s="23"/>
      <c r="D6111" s="23"/>
      <c r="E6111" s="23"/>
    </row>
    <row r="6112" spans="1:5" x14ac:dyDescent="0.25">
      <c r="A6112" s="22"/>
      <c r="B6112" s="23"/>
      <c r="C6112" s="23"/>
      <c r="D6112" s="23"/>
      <c r="E6112" s="23"/>
    </row>
    <row r="6113" spans="1:5" x14ac:dyDescent="0.25">
      <c r="A6113" s="22"/>
      <c r="B6113" s="23"/>
      <c r="C6113" s="23"/>
      <c r="D6113" s="23"/>
      <c r="E6113" s="23"/>
    </row>
    <row r="6114" spans="1:5" x14ac:dyDescent="0.25">
      <c r="A6114" s="22"/>
      <c r="B6114" s="23"/>
      <c r="C6114" s="23"/>
      <c r="D6114" s="23"/>
      <c r="E6114" s="23"/>
    </row>
    <row r="6115" spans="1:5" x14ac:dyDescent="0.25">
      <c r="A6115" s="22"/>
      <c r="B6115" s="23"/>
      <c r="C6115" s="23"/>
      <c r="D6115" s="23"/>
      <c r="E6115" s="23"/>
    </row>
    <row r="6116" spans="1:5" x14ac:dyDescent="0.25">
      <c r="A6116" s="22"/>
      <c r="B6116" s="23"/>
      <c r="C6116" s="23"/>
      <c r="D6116" s="23"/>
      <c r="E6116" s="23"/>
    </row>
    <row r="6117" spans="1:5" x14ac:dyDescent="0.25">
      <c r="A6117" s="22"/>
      <c r="B6117" s="23"/>
      <c r="C6117" s="23"/>
      <c r="D6117" s="23"/>
      <c r="E6117" s="23"/>
    </row>
    <row r="6118" spans="1:5" x14ac:dyDescent="0.25">
      <c r="A6118" s="22"/>
      <c r="B6118" s="23"/>
      <c r="C6118" s="23"/>
      <c r="D6118" s="23"/>
      <c r="E6118" s="23"/>
    </row>
    <row r="6119" spans="1:5" x14ac:dyDescent="0.25">
      <c r="A6119" s="22"/>
      <c r="B6119" s="23"/>
      <c r="C6119" s="23"/>
      <c r="D6119" s="23"/>
      <c r="E6119" s="23"/>
    </row>
    <row r="6120" spans="1:5" x14ac:dyDescent="0.25">
      <c r="A6120" s="22"/>
      <c r="B6120" s="23"/>
      <c r="C6120" s="23"/>
      <c r="D6120" s="23"/>
      <c r="E6120" s="23"/>
    </row>
    <row r="6121" spans="1:5" x14ac:dyDescent="0.25">
      <c r="A6121" s="22"/>
      <c r="B6121" s="23"/>
      <c r="C6121" s="23"/>
      <c r="D6121" s="23"/>
      <c r="E6121" s="23"/>
    </row>
    <row r="6122" spans="1:5" x14ac:dyDescent="0.25">
      <c r="A6122" s="22"/>
      <c r="B6122" s="23"/>
      <c r="C6122" s="23"/>
      <c r="D6122" s="23"/>
      <c r="E6122" s="23"/>
    </row>
    <row r="6123" spans="1:5" x14ac:dyDescent="0.25">
      <c r="A6123" s="22"/>
      <c r="B6123" s="23"/>
      <c r="C6123" s="23"/>
      <c r="D6123" s="23"/>
      <c r="E6123" s="23"/>
    </row>
    <row r="6124" spans="1:5" x14ac:dyDescent="0.25">
      <c r="A6124" s="22"/>
      <c r="B6124" s="23"/>
      <c r="C6124" s="23"/>
      <c r="D6124" s="23"/>
      <c r="E6124" s="23"/>
    </row>
    <row r="6125" spans="1:5" x14ac:dyDescent="0.25">
      <c r="A6125" s="22"/>
      <c r="B6125" s="23"/>
      <c r="C6125" s="23"/>
      <c r="D6125" s="23"/>
      <c r="E6125" s="23"/>
    </row>
    <row r="6126" spans="1:5" x14ac:dyDescent="0.25">
      <c r="A6126" s="22"/>
      <c r="B6126" s="23"/>
      <c r="C6126" s="23"/>
      <c r="D6126" s="23"/>
      <c r="E6126" s="23"/>
    </row>
    <row r="6127" spans="1:5" x14ac:dyDescent="0.25">
      <c r="A6127" s="22"/>
      <c r="B6127" s="23"/>
      <c r="C6127" s="23"/>
      <c r="D6127" s="23"/>
      <c r="E6127" s="23"/>
    </row>
    <row r="6128" spans="1:5" x14ac:dyDescent="0.25">
      <c r="A6128" s="22"/>
      <c r="B6128" s="23"/>
      <c r="C6128" s="23"/>
      <c r="D6128" s="23"/>
      <c r="E6128" s="23"/>
    </row>
    <row r="6129" spans="1:5" x14ac:dyDescent="0.25">
      <c r="A6129" s="22"/>
      <c r="B6129" s="23"/>
      <c r="C6129" s="23"/>
      <c r="D6129" s="23"/>
      <c r="E6129" s="23"/>
    </row>
    <row r="6130" spans="1:5" x14ac:dyDescent="0.25">
      <c r="A6130" s="22"/>
      <c r="B6130" s="23"/>
      <c r="C6130" s="23"/>
      <c r="D6130" s="23"/>
      <c r="E6130" s="23"/>
    </row>
    <row r="6131" spans="1:5" x14ac:dyDescent="0.25">
      <c r="A6131" s="22"/>
      <c r="B6131" s="23"/>
      <c r="C6131" s="23"/>
      <c r="D6131" s="23"/>
      <c r="E6131" s="23"/>
    </row>
    <row r="6132" spans="1:5" x14ac:dyDescent="0.25">
      <c r="A6132" s="22"/>
      <c r="B6132" s="23"/>
      <c r="C6132" s="23"/>
      <c r="D6132" s="23"/>
      <c r="E6132" s="23"/>
    </row>
    <row r="6133" spans="1:5" x14ac:dyDescent="0.25">
      <c r="A6133" s="22"/>
      <c r="B6133" s="23"/>
      <c r="C6133" s="23"/>
      <c r="D6133" s="23"/>
      <c r="E6133" s="23"/>
    </row>
    <row r="6134" spans="1:5" x14ac:dyDescent="0.25">
      <c r="A6134" s="22"/>
      <c r="B6134" s="23"/>
      <c r="C6134" s="23"/>
      <c r="D6134" s="23"/>
      <c r="E6134" s="23"/>
    </row>
    <row r="6135" spans="1:5" x14ac:dyDescent="0.25">
      <c r="A6135" s="22"/>
      <c r="B6135" s="23"/>
      <c r="C6135" s="23"/>
      <c r="D6135" s="23"/>
      <c r="E6135" s="23"/>
    </row>
    <row r="6136" spans="1:5" x14ac:dyDescent="0.25">
      <c r="A6136" s="22"/>
      <c r="B6136" s="23"/>
      <c r="C6136" s="23"/>
      <c r="D6136" s="23"/>
      <c r="E6136" s="23"/>
    </row>
    <row r="6137" spans="1:5" x14ac:dyDescent="0.25">
      <c r="A6137" s="22"/>
      <c r="B6137" s="23"/>
      <c r="C6137" s="23"/>
      <c r="D6137" s="23"/>
      <c r="E6137" s="23"/>
    </row>
    <row r="6138" spans="1:5" x14ac:dyDescent="0.25">
      <c r="A6138" s="22"/>
      <c r="B6138" s="23"/>
      <c r="C6138" s="23"/>
      <c r="D6138" s="23"/>
      <c r="E6138" s="23"/>
    </row>
    <row r="6139" spans="1:5" x14ac:dyDescent="0.25">
      <c r="A6139" s="22"/>
      <c r="B6139" s="23"/>
      <c r="C6139" s="23"/>
      <c r="D6139" s="23"/>
      <c r="E6139" s="23"/>
    </row>
    <row r="6140" spans="1:5" x14ac:dyDescent="0.25">
      <c r="A6140" s="22"/>
      <c r="B6140" s="23"/>
      <c r="C6140" s="23"/>
      <c r="D6140" s="23"/>
      <c r="E6140" s="23"/>
    </row>
    <row r="6141" spans="1:5" x14ac:dyDescent="0.25">
      <c r="A6141" s="22"/>
      <c r="B6141" s="23"/>
      <c r="C6141" s="23"/>
      <c r="D6141" s="23"/>
      <c r="E6141" s="23"/>
    </row>
    <row r="6142" spans="1:5" x14ac:dyDescent="0.25">
      <c r="A6142" s="22"/>
      <c r="B6142" s="23"/>
      <c r="C6142" s="23"/>
      <c r="D6142" s="23"/>
      <c r="E6142" s="23"/>
    </row>
    <row r="6143" spans="1:5" x14ac:dyDescent="0.25">
      <c r="A6143" s="22"/>
      <c r="B6143" s="23"/>
      <c r="C6143" s="23"/>
      <c r="D6143" s="23"/>
      <c r="E6143" s="23"/>
    </row>
    <row r="6144" spans="1:5" x14ac:dyDescent="0.25">
      <c r="A6144" s="22"/>
      <c r="B6144" s="23"/>
      <c r="C6144" s="23"/>
      <c r="D6144" s="23"/>
      <c r="E6144" s="23"/>
    </row>
    <row r="6145" spans="1:5" x14ac:dyDescent="0.25">
      <c r="A6145" s="22"/>
      <c r="B6145" s="23"/>
      <c r="C6145" s="23"/>
      <c r="D6145" s="23"/>
      <c r="E6145" s="23"/>
    </row>
    <row r="6146" spans="1:5" x14ac:dyDescent="0.25">
      <c r="A6146" s="22"/>
      <c r="B6146" s="23"/>
      <c r="C6146" s="23"/>
      <c r="D6146" s="23"/>
      <c r="E6146" s="23"/>
    </row>
    <row r="6147" spans="1:5" x14ac:dyDescent="0.25">
      <c r="A6147" s="22"/>
      <c r="B6147" s="23"/>
      <c r="C6147" s="23"/>
      <c r="D6147" s="23"/>
      <c r="E6147" s="23"/>
    </row>
    <row r="6148" spans="1:5" x14ac:dyDescent="0.25">
      <c r="A6148" s="22"/>
      <c r="B6148" s="23"/>
      <c r="C6148" s="23"/>
      <c r="D6148" s="23"/>
      <c r="E6148" s="23"/>
    </row>
    <row r="6149" spans="1:5" x14ac:dyDescent="0.25">
      <c r="A6149" s="22"/>
      <c r="B6149" s="23"/>
      <c r="C6149" s="23"/>
      <c r="D6149" s="23"/>
      <c r="E6149" s="23"/>
    </row>
    <row r="6150" spans="1:5" x14ac:dyDescent="0.25">
      <c r="A6150" s="22"/>
      <c r="B6150" s="23"/>
      <c r="C6150" s="23"/>
      <c r="D6150" s="23"/>
      <c r="E6150" s="23"/>
    </row>
    <row r="6151" spans="1:5" x14ac:dyDescent="0.25">
      <c r="A6151" s="22"/>
      <c r="B6151" s="23"/>
      <c r="C6151" s="23"/>
      <c r="D6151" s="23"/>
      <c r="E6151" s="23"/>
    </row>
    <row r="6152" spans="1:5" x14ac:dyDescent="0.25">
      <c r="A6152" s="22"/>
      <c r="B6152" s="23"/>
      <c r="C6152" s="23"/>
      <c r="D6152" s="23"/>
      <c r="E6152" s="23"/>
    </row>
    <row r="6153" spans="1:5" x14ac:dyDescent="0.25">
      <c r="A6153" s="22"/>
      <c r="B6153" s="23"/>
      <c r="C6153" s="23"/>
      <c r="D6153" s="23"/>
      <c r="E6153" s="23"/>
    </row>
    <row r="6154" spans="1:5" x14ac:dyDescent="0.25">
      <c r="A6154" s="22"/>
      <c r="B6154" s="23"/>
      <c r="C6154" s="23"/>
      <c r="D6154" s="23"/>
      <c r="E6154" s="23"/>
    </row>
    <row r="6155" spans="1:5" x14ac:dyDescent="0.25">
      <c r="A6155" s="22"/>
      <c r="B6155" s="23"/>
      <c r="C6155" s="23"/>
      <c r="D6155" s="23"/>
      <c r="E6155" s="23"/>
    </row>
    <row r="6156" spans="1:5" x14ac:dyDescent="0.25">
      <c r="A6156" s="22"/>
      <c r="B6156" s="23"/>
      <c r="C6156" s="23"/>
      <c r="D6156" s="23"/>
      <c r="E6156" s="23"/>
    </row>
    <row r="6157" spans="1:5" x14ac:dyDescent="0.25">
      <c r="A6157" s="22"/>
      <c r="B6157" s="23"/>
      <c r="C6157" s="23"/>
      <c r="D6157" s="23"/>
      <c r="E6157" s="23"/>
    </row>
    <row r="6158" spans="1:5" x14ac:dyDescent="0.25">
      <c r="A6158" s="22"/>
      <c r="B6158" s="23"/>
      <c r="C6158" s="23"/>
      <c r="D6158" s="23"/>
      <c r="E6158" s="23"/>
    </row>
    <row r="6159" spans="1:5" x14ac:dyDescent="0.25">
      <c r="A6159" s="22"/>
      <c r="B6159" s="23"/>
      <c r="C6159" s="23"/>
      <c r="D6159" s="23"/>
      <c r="E6159" s="23"/>
    </row>
    <row r="6160" spans="1:5" x14ac:dyDescent="0.25">
      <c r="A6160" s="22"/>
      <c r="B6160" s="23"/>
      <c r="C6160" s="23"/>
      <c r="D6160" s="23"/>
      <c r="E6160" s="23"/>
    </row>
    <row r="6161" spans="1:5" x14ac:dyDescent="0.25">
      <c r="A6161" s="22"/>
      <c r="B6161" s="23"/>
      <c r="C6161" s="23"/>
      <c r="D6161" s="23"/>
      <c r="E6161" s="23"/>
    </row>
    <row r="6162" spans="1:5" x14ac:dyDescent="0.25">
      <c r="A6162" s="22"/>
      <c r="B6162" s="23"/>
      <c r="C6162" s="23"/>
      <c r="D6162" s="23"/>
      <c r="E6162" s="23"/>
    </row>
    <row r="6163" spans="1:5" x14ac:dyDescent="0.25">
      <c r="A6163" s="22"/>
      <c r="B6163" s="23"/>
      <c r="C6163" s="23"/>
      <c r="D6163" s="23"/>
      <c r="E6163" s="23"/>
    </row>
    <row r="6164" spans="1:5" x14ac:dyDescent="0.25">
      <c r="A6164" s="22"/>
      <c r="B6164" s="23"/>
      <c r="C6164" s="23"/>
      <c r="D6164" s="23"/>
      <c r="E6164" s="23"/>
    </row>
    <row r="6165" spans="1:5" x14ac:dyDescent="0.25">
      <c r="A6165" s="22"/>
      <c r="B6165" s="23"/>
      <c r="C6165" s="23"/>
      <c r="D6165" s="23"/>
      <c r="E6165" s="23"/>
    </row>
    <row r="6166" spans="1:5" x14ac:dyDescent="0.25">
      <c r="A6166" s="22"/>
      <c r="B6166" s="23"/>
      <c r="C6166" s="23"/>
      <c r="D6166" s="23"/>
      <c r="E6166" s="23"/>
    </row>
    <row r="6167" spans="1:5" x14ac:dyDescent="0.25">
      <c r="A6167" s="22"/>
      <c r="B6167" s="23"/>
      <c r="C6167" s="23"/>
      <c r="D6167" s="23"/>
      <c r="E6167" s="23"/>
    </row>
    <row r="6168" spans="1:5" x14ac:dyDescent="0.25">
      <c r="A6168" s="22"/>
      <c r="B6168" s="23"/>
      <c r="C6168" s="23"/>
      <c r="D6168" s="23"/>
      <c r="E6168" s="23"/>
    </row>
    <row r="6169" spans="1:5" x14ac:dyDescent="0.25">
      <c r="A6169" s="22"/>
      <c r="B6169" s="23"/>
      <c r="C6169" s="23"/>
      <c r="D6169" s="23"/>
      <c r="E6169" s="23"/>
    </row>
    <row r="6170" spans="1:5" x14ac:dyDescent="0.25">
      <c r="A6170" s="22"/>
      <c r="B6170" s="23"/>
      <c r="C6170" s="23"/>
      <c r="D6170" s="23"/>
      <c r="E6170" s="23"/>
    </row>
    <row r="6171" spans="1:5" x14ac:dyDescent="0.25">
      <c r="A6171" s="22"/>
      <c r="B6171" s="23"/>
      <c r="C6171" s="23"/>
      <c r="D6171" s="23"/>
      <c r="E6171" s="23"/>
    </row>
    <row r="6172" spans="1:5" x14ac:dyDescent="0.25">
      <c r="A6172" s="22"/>
      <c r="B6172" s="23"/>
      <c r="C6172" s="23"/>
      <c r="D6172" s="23"/>
      <c r="E6172" s="23"/>
    </row>
    <row r="6173" spans="1:5" x14ac:dyDescent="0.25">
      <c r="A6173" s="22"/>
      <c r="B6173" s="23"/>
      <c r="C6173" s="23"/>
      <c r="D6173" s="23"/>
      <c r="E6173" s="23"/>
    </row>
    <row r="6174" spans="1:5" x14ac:dyDescent="0.25">
      <c r="A6174" s="22"/>
      <c r="B6174" s="23"/>
      <c r="C6174" s="23"/>
      <c r="D6174" s="23"/>
      <c r="E6174" s="23"/>
    </row>
    <row r="6175" spans="1:5" x14ac:dyDescent="0.25">
      <c r="A6175" s="22"/>
      <c r="B6175" s="23"/>
      <c r="C6175" s="23"/>
      <c r="D6175" s="23"/>
      <c r="E6175" s="23"/>
    </row>
    <row r="6176" spans="1:5" x14ac:dyDescent="0.25">
      <c r="A6176" s="22"/>
      <c r="B6176" s="23"/>
      <c r="C6176" s="23"/>
      <c r="D6176" s="23"/>
      <c r="E6176" s="23"/>
    </row>
    <row r="6177" spans="1:5" x14ac:dyDescent="0.25">
      <c r="A6177" s="22"/>
      <c r="B6177" s="23"/>
      <c r="C6177" s="23"/>
      <c r="D6177" s="23"/>
      <c r="E6177" s="23"/>
    </row>
    <row r="6178" spans="1:5" x14ac:dyDescent="0.25">
      <c r="A6178" s="22"/>
      <c r="B6178" s="23"/>
      <c r="C6178" s="23"/>
      <c r="D6178" s="23"/>
      <c r="E6178" s="23"/>
    </row>
    <row r="6179" spans="1:5" x14ac:dyDescent="0.25">
      <c r="A6179" s="22"/>
      <c r="B6179" s="23"/>
      <c r="C6179" s="23"/>
      <c r="D6179" s="23"/>
      <c r="E6179" s="23"/>
    </row>
    <row r="6180" spans="1:5" x14ac:dyDescent="0.25">
      <c r="A6180" s="22"/>
      <c r="B6180" s="23"/>
      <c r="C6180" s="23"/>
      <c r="D6180" s="23"/>
      <c r="E6180" s="23"/>
    </row>
    <row r="6181" spans="1:5" x14ac:dyDescent="0.25">
      <c r="A6181" s="22"/>
      <c r="B6181" s="23"/>
      <c r="C6181" s="23"/>
      <c r="D6181" s="23"/>
      <c r="E6181" s="23"/>
    </row>
    <row r="6182" spans="1:5" x14ac:dyDescent="0.25">
      <c r="A6182" s="22"/>
      <c r="B6182" s="23"/>
      <c r="C6182" s="23"/>
      <c r="D6182" s="23"/>
      <c r="E6182" s="23"/>
    </row>
    <row r="6183" spans="1:5" x14ac:dyDescent="0.25">
      <c r="A6183" s="22"/>
      <c r="B6183" s="23"/>
      <c r="C6183" s="23"/>
      <c r="D6183" s="23"/>
      <c r="E6183" s="23"/>
    </row>
    <row r="6184" spans="1:5" x14ac:dyDescent="0.25">
      <c r="A6184" s="22"/>
      <c r="B6184" s="23"/>
      <c r="C6184" s="23"/>
      <c r="D6184" s="23"/>
      <c r="E6184" s="23"/>
    </row>
    <row r="6185" spans="1:5" x14ac:dyDescent="0.25">
      <c r="A6185" s="22"/>
      <c r="B6185" s="23"/>
      <c r="C6185" s="23"/>
      <c r="D6185" s="23"/>
      <c r="E6185" s="23"/>
    </row>
    <row r="6186" spans="1:5" x14ac:dyDescent="0.25">
      <c r="A6186" s="22"/>
      <c r="B6186" s="23"/>
      <c r="C6186" s="23"/>
      <c r="D6186" s="23"/>
      <c r="E6186" s="23"/>
    </row>
    <row r="6187" spans="1:5" x14ac:dyDescent="0.25">
      <c r="A6187" s="22"/>
      <c r="B6187" s="23"/>
      <c r="C6187" s="23"/>
      <c r="D6187" s="23"/>
      <c r="E6187" s="23"/>
    </row>
    <row r="6188" spans="1:5" x14ac:dyDescent="0.25">
      <c r="A6188" s="22"/>
      <c r="B6188" s="23"/>
      <c r="C6188" s="23"/>
      <c r="D6188" s="23"/>
      <c r="E6188" s="23"/>
    </row>
    <row r="6189" spans="1:5" x14ac:dyDescent="0.25">
      <c r="A6189" s="22"/>
      <c r="B6189" s="23"/>
      <c r="C6189" s="23"/>
      <c r="D6189" s="23"/>
      <c r="E6189" s="23"/>
    </row>
    <row r="6190" spans="1:5" x14ac:dyDescent="0.25">
      <c r="A6190" s="22"/>
      <c r="B6190" s="23"/>
      <c r="C6190" s="23"/>
      <c r="D6190" s="23"/>
      <c r="E6190" s="23"/>
    </row>
    <row r="6191" spans="1:5" x14ac:dyDescent="0.25">
      <c r="A6191" s="22"/>
      <c r="B6191" s="23"/>
      <c r="C6191" s="23"/>
      <c r="D6191" s="23"/>
      <c r="E6191" s="23"/>
    </row>
    <row r="6192" spans="1:5" x14ac:dyDescent="0.25">
      <c r="A6192" s="22"/>
      <c r="B6192" s="23"/>
      <c r="C6192" s="23"/>
      <c r="D6192" s="23"/>
      <c r="E6192" s="23"/>
    </row>
    <row r="6193" spans="1:5" x14ac:dyDescent="0.25">
      <c r="A6193" s="22"/>
      <c r="B6193" s="23"/>
      <c r="C6193" s="23"/>
      <c r="D6193" s="23"/>
      <c r="E6193" s="23"/>
    </row>
    <row r="6194" spans="1:5" x14ac:dyDescent="0.25">
      <c r="A6194" s="22"/>
      <c r="B6194" s="23"/>
      <c r="C6194" s="23"/>
      <c r="D6194" s="23"/>
      <c r="E6194" s="23"/>
    </row>
    <row r="6195" spans="1:5" x14ac:dyDescent="0.25">
      <c r="A6195" s="22"/>
      <c r="B6195" s="23"/>
      <c r="C6195" s="23"/>
      <c r="D6195" s="23"/>
      <c r="E6195" s="23"/>
    </row>
    <row r="6196" spans="1:5" x14ac:dyDescent="0.25">
      <c r="A6196" s="22"/>
      <c r="B6196" s="23"/>
      <c r="C6196" s="23"/>
      <c r="D6196" s="23"/>
      <c r="E6196" s="23"/>
    </row>
    <row r="6197" spans="1:5" x14ac:dyDescent="0.25">
      <c r="A6197" s="22"/>
      <c r="B6197" s="23"/>
      <c r="C6197" s="23"/>
      <c r="D6197" s="23"/>
      <c r="E6197" s="23"/>
    </row>
    <row r="6198" spans="1:5" x14ac:dyDescent="0.25">
      <c r="A6198" s="22"/>
      <c r="B6198" s="23"/>
      <c r="C6198" s="23"/>
      <c r="D6198" s="23"/>
      <c r="E6198" s="23"/>
    </row>
    <row r="6199" spans="1:5" x14ac:dyDescent="0.25">
      <c r="A6199" s="22"/>
      <c r="B6199" s="23"/>
      <c r="C6199" s="23"/>
      <c r="D6199" s="23"/>
      <c r="E6199" s="23"/>
    </row>
    <row r="6200" spans="1:5" x14ac:dyDescent="0.25">
      <c r="A6200" s="22"/>
      <c r="B6200" s="23"/>
      <c r="C6200" s="23"/>
      <c r="D6200" s="23"/>
      <c r="E6200" s="23"/>
    </row>
    <row r="6201" spans="1:5" x14ac:dyDescent="0.25">
      <c r="A6201" s="22"/>
      <c r="B6201" s="23"/>
      <c r="C6201" s="23"/>
      <c r="D6201" s="23"/>
      <c r="E6201" s="23"/>
    </row>
    <row r="6202" spans="1:5" x14ac:dyDescent="0.25">
      <c r="A6202" s="22"/>
      <c r="B6202" s="23"/>
      <c r="C6202" s="23"/>
      <c r="D6202" s="23"/>
      <c r="E6202" s="23"/>
    </row>
    <row r="6203" spans="1:5" x14ac:dyDescent="0.25">
      <c r="A6203" s="22"/>
      <c r="B6203" s="23"/>
      <c r="C6203" s="23"/>
      <c r="D6203" s="23"/>
      <c r="E6203" s="23"/>
    </row>
    <row r="6204" spans="1:5" x14ac:dyDescent="0.25">
      <c r="A6204" s="22"/>
      <c r="B6204" s="23"/>
      <c r="C6204" s="23"/>
      <c r="D6204" s="23"/>
      <c r="E6204" s="23"/>
    </row>
    <row r="6205" spans="1:5" x14ac:dyDescent="0.25">
      <c r="A6205" s="22"/>
      <c r="B6205" s="23"/>
      <c r="C6205" s="23"/>
      <c r="D6205" s="23"/>
      <c r="E6205" s="23"/>
    </row>
    <row r="6206" spans="1:5" x14ac:dyDescent="0.25">
      <c r="A6206" s="22"/>
      <c r="B6206" s="23"/>
      <c r="C6206" s="23"/>
      <c r="D6206" s="23"/>
      <c r="E6206" s="23"/>
    </row>
    <row r="6207" spans="1:5" x14ac:dyDescent="0.25">
      <c r="A6207" s="22"/>
      <c r="B6207" s="23"/>
      <c r="C6207" s="23"/>
      <c r="D6207" s="23"/>
      <c r="E6207" s="23"/>
    </row>
    <row r="6208" spans="1:5" x14ac:dyDescent="0.25">
      <c r="A6208" s="22"/>
      <c r="B6208" s="23"/>
      <c r="C6208" s="23"/>
      <c r="D6208" s="23"/>
      <c r="E6208" s="23"/>
    </row>
    <row r="6209" spans="1:5" x14ac:dyDescent="0.25">
      <c r="A6209" s="22"/>
      <c r="B6209" s="23"/>
      <c r="C6209" s="23"/>
      <c r="D6209" s="23"/>
      <c r="E6209" s="23"/>
    </row>
    <row r="6210" spans="1:5" x14ac:dyDescent="0.25">
      <c r="A6210" s="22"/>
      <c r="B6210" s="23"/>
      <c r="C6210" s="23"/>
      <c r="D6210" s="23"/>
      <c r="E6210" s="23"/>
    </row>
    <row r="6211" spans="1:5" x14ac:dyDescent="0.25">
      <c r="A6211" s="22"/>
      <c r="B6211" s="23"/>
      <c r="C6211" s="23"/>
      <c r="D6211" s="23"/>
      <c r="E6211" s="23"/>
    </row>
    <row r="6212" spans="1:5" x14ac:dyDescent="0.25">
      <c r="A6212" s="22"/>
      <c r="B6212" s="23"/>
      <c r="C6212" s="23"/>
      <c r="D6212" s="23"/>
      <c r="E6212" s="23"/>
    </row>
    <row r="6213" spans="1:5" x14ac:dyDescent="0.25">
      <c r="A6213" s="22"/>
      <c r="B6213" s="23"/>
      <c r="C6213" s="23"/>
      <c r="D6213" s="23"/>
      <c r="E6213" s="23"/>
    </row>
    <row r="6214" spans="1:5" x14ac:dyDescent="0.25">
      <c r="A6214" s="22"/>
      <c r="B6214" s="23"/>
      <c r="C6214" s="23"/>
      <c r="D6214" s="23"/>
      <c r="E6214" s="23"/>
    </row>
    <row r="6215" spans="1:5" x14ac:dyDescent="0.25">
      <c r="A6215" s="22"/>
      <c r="B6215" s="23"/>
      <c r="C6215" s="23"/>
      <c r="D6215" s="23"/>
      <c r="E6215" s="23"/>
    </row>
    <row r="6216" spans="1:5" x14ac:dyDescent="0.25">
      <c r="A6216" s="22"/>
      <c r="B6216" s="23"/>
      <c r="C6216" s="23"/>
      <c r="D6216" s="23"/>
      <c r="E6216" s="23"/>
    </row>
    <row r="6217" spans="1:5" x14ac:dyDescent="0.25">
      <c r="A6217" s="22"/>
      <c r="B6217" s="23"/>
      <c r="C6217" s="23"/>
      <c r="D6217" s="23"/>
      <c r="E6217" s="23"/>
    </row>
    <row r="6218" spans="1:5" x14ac:dyDescent="0.25">
      <c r="A6218" s="22"/>
      <c r="B6218" s="23"/>
      <c r="C6218" s="23"/>
      <c r="D6218" s="23"/>
      <c r="E6218" s="23"/>
    </row>
    <row r="6219" spans="1:5" x14ac:dyDescent="0.25">
      <c r="A6219" s="22"/>
      <c r="B6219" s="23"/>
      <c r="C6219" s="23"/>
      <c r="D6219" s="23"/>
      <c r="E6219" s="23"/>
    </row>
    <row r="6220" spans="1:5" x14ac:dyDescent="0.25">
      <c r="A6220" s="22"/>
      <c r="B6220" s="23"/>
      <c r="C6220" s="23"/>
      <c r="D6220" s="23"/>
      <c r="E6220" s="23"/>
    </row>
    <row r="6221" spans="1:5" x14ac:dyDescent="0.25">
      <c r="A6221" s="22"/>
      <c r="B6221" s="23"/>
      <c r="C6221" s="23"/>
      <c r="D6221" s="23"/>
      <c r="E6221" s="23"/>
    </row>
    <row r="6222" spans="1:5" x14ac:dyDescent="0.25">
      <c r="A6222" s="22"/>
      <c r="B6222" s="23"/>
      <c r="C6222" s="23"/>
      <c r="D6222" s="23"/>
      <c r="E6222" s="23"/>
    </row>
    <row r="6223" spans="1:5" x14ac:dyDescent="0.25">
      <c r="A6223" s="22"/>
      <c r="B6223" s="23"/>
      <c r="C6223" s="23"/>
      <c r="D6223" s="23"/>
      <c r="E6223" s="23"/>
    </row>
    <row r="6224" spans="1:5" x14ac:dyDescent="0.25">
      <c r="A6224" s="22"/>
      <c r="B6224" s="23"/>
      <c r="C6224" s="23"/>
      <c r="D6224" s="23"/>
      <c r="E6224" s="23"/>
    </row>
    <row r="6225" spans="1:5" x14ac:dyDescent="0.25">
      <c r="A6225" s="22"/>
      <c r="B6225" s="23"/>
      <c r="C6225" s="23"/>
      <c r="D6225" s="23"/>
      <c r="E6225" s="23"/>
    </row>
    <row r="6226" spans="1:5" x14ac:dyDescent="0.25">
      <c r="A6226" s="22"/>
      <c r="B6226" s="23"/>
      <c r="C6226" s="23"/>
      <c r="D6226" s="23"/>
      <c r="E6226" s="23"/>
    </row>
    <row r="6227" spans="1:5" x14ac:dyDescent="0.25">
      <c r="A6227" s="22"/>
      <c r="B6227" s="23"/>
      <c r="C6227" s="23"/>
      <c r="D6227" s="23"/>
      <c r="E6227" s="23"/>
    </row>
    <row r="6228" spans="1:5" x14ac:dyDescent="0.25">
      <c r="A6228" s="22"/>
      <c r="B6228" s="23"/>
      <c r="C6228" s="23"/>
      <c r="D6228" s="23"/>
      <c r="E6228" s="23"/>
    </row>
    <row r="6229" spans="1:5" x14ac:dyDescent="0.25">
      <c r="A6229" s="22"/>
      <c r="B6229" s="23"/>
      <c r="C6229" s="23"/>
      <c r="D6229" s="23"/>
      <c r="E6229" s="23"/>
    </row>
    <row r="6230" spans="1:5" x14ac:dyDescent="0.25">
      <c r="A6230" s="22"/>
      <c r="B6230" s="23"/>
      <c r="C6230" s="23"/>
      <c r="D6230" s="23"/>
      <c r="E6230" s="23"/>
    </row>
    <row r="6231" spans="1:5" x14ac:dyDescent="0.25">
      <c r="A6231" s="22"/>
      <c r="B6231" s="23"/>
      <c r="C6231" s="23"/>
      <c r="D6231" s="23"/>
      <c r="E6231" s="23"/>
    </row>
    <row r="6232" spans="1:5" x14ac:dyDescent="0.25">
      <c r="A6232" s="22"/>
      <c r="B6232" s="23"/>
      <c r="C6232" s="23"/>
      <c r="D6232" s="23"/>
      <c r="E6232" s="23"/>
    </row>
    <row r="6233" spans="1:5" x14ac:dyDescent="0.25">
      <c r="A6233" s="22"/>
      <c r="B6233" s="23"/>
      <c r="C6233" s="23"/>
      <c r="D6233" s="23"/>
      <c r="E6233" s="23"/>
    </row>
    <row r="6234" spans="1:5" x14ac:dyDescent="0.25">
      <c r="A6234" s="22"/>
      <c r="B6234" s="23"/>
      <c r="C6234" s="23"/>
      <c r="D6234" s="23"/>
      <c r="E6234" s="23"/>
    </row>
    <row r="6235" spans="1:5" x14ac:dyDescent="0.25">
      <c r="A6235" s="22"/>
      <c r="B6235" s="23"/>
      <c r="C6235" s="23"/>
      <c r="D6235" s="23"/>
      <c r="E6235" s="23"/>
    </row>
    <row r="6236" spans="1:5" x14ac:dyDescent="0.25">
      <c r="A6236" s="22"/>
      <c r="B6236" s="23"/>
      <c r="C6236" s="23"/>
      <c r="D6236" s="23"/>
      <c r="E6236" s="23"/>
    </row>
    <row r="6237" spans="1:5" x14ac:dyDescent="0.25">
      <c r="A6237" s="22"/>
      <c r="B6237" s="23"/>
      <c r="C6237" s="23"/>
      <c r="D6237" s="23"/>
      <c r="E6237" s="23"/>
    </row>
    <row r="6238" spans="1:5" x14ac:dyDescent="0.25">
      <c r="A6238" s="22"/>
      <c r="B6238" s="23"/>
      <c r="C6238" s="23"/>
      <c r="D6238" s="23"/>
      <c r="E6238" s="23"/>
    </row>
    <row r="6239" spans="1:5" x14ac:dyDescent="0.25">
      <c r="A6239" s="22"/>
      <c r="B6239" s="23"/>
      <c r="C6239" s="23"/>
      <c r="D6239" s="23"/>
      <c r="E6239" s="23"/>
    </row>
    <row r="6240" spans="1:5" x14ac:dyDescent="0.25">
      <c r="A6240" s="22"/>
      <c r="B6240" s="23"/>
      <c r="C6240" s="23"/>
      <c r="D6240" s="23"/>
      <c r="E6240" s="23"/>
    </row>
    <row r="6241" spans="1:5" x14ac:dyDescent="0.25">
      <c r="A6241" s="22"/>
      <c r="B6241" s="23"/>
      <c r="C6241" s="23"/>
      <c r="D6241" s="23"/>
      <c r="E6241" s="23"/>
    </row>
    <row r="6242" spans="1:5" x14ac:dyDescent="0.25">
      <c r="A6242" s="22"/>
      <c r="B6242" s="23"/>
      <c r="C6242" s="23"/>
      <c r="D6242" s="23"/>
      <c r="E6242" s="23"/>
    </row>
    <row r="6243" spans="1:5" x14ac:dyDescent="0.25">
      <c r="A6243" s="22"/>
      <c r="B6243" s="23"/>
      <c r="C6243" s="23"/>
      <c r="D6243" s="23"/>
      <c r="E6243" s="23"/>
    </row>
    <row r="6244" spans="1:5" x14ac:dyDescent="0.25">
      <c r="A6244" s="22"/>
      <c r="B6244" s="23"/>
      <c r="C6244" s="23"/>
      <c r="D6244" s="23"/>
      <c r="E6244" s="23"/>
    </row>
    <row r="6245" spans="1:5" x14ac:dyDescent="0.25">
      <c r="A6245" s="22"/>
      <c r="B6245" s="23"/>
      <c r="C6245" s="23"/>
      <c r="D6245" s="23"/>
      <c r="E6245" s="23"/>
    </row>
    <row r="6246" spans="1:5" x14ac:dyDescent="0.25">
      <c r="A6246" s="22"/>
      <c r="B6246" s="23"/>
      <c r="C6246" s="23"/>
      <c r="D6246" s="23"/>
      <c r="E6246" s="23"/>
    </row>
    <row r="6247" spans="1:5" x14ac:dyDescent="0.25">
      <c r="A6247" s="22"/>
      <c r="B6247" s="23"/>
      <c r="C6247" s="23"/>
      <c r="D6247" s="23"/>
      <c r="E6247" s="23"/>
    </row>
    <row r="6248" spans="1:5" x14ac:dyDescent="0.25">
      <c r="A6248" s="22"/>
      <c r="B6248" s="23"/>
      <c r="C6248" s="23"/>
      <c r="D6248" s="23"/>
      <c r="E6248" s="23"/>
    </row>
    <row r="6249" spans="1:5" x14ac:dyDescent="0.25">
      <c r="A6249" s="22"/>
      <c r="B6249" s="23"/>
      <c r="C6249" s="23"/>
      <c r="D6249" s="23"/>
      <c r="E6249" s="23"/>
    </row>
    <row r="6250" spans="1:5" x14ac:dyDescent="0.25">
      <c r="A6250" s="22"/>
      <c r="B6250" s="23"/>
      <c r="C6250" s="23"/>
      <c r="D6250" s="23"/>
      <c r="E6250" s="23"/>
    </row>
    <row r="6251" spans="1:5" x14ac:dyDescent="0.25">
      <c r="A6251" s="22"/>
      <c r="B6251" s="23"/>
      <c r="C6251" s="23"/>
      <c r="D6251" s="23"/>
      <c r="E6251" s="23"/>
    </row>
    <row r="6252" spans="1:5" x14ac:dyDescent="0.25">
      <c r="A6252" s="22"/>
      <c r="B6252" s="23"/>
      <c r="C6252" s="23"/>
      <c r="D6252" s="23"/>
      <c r="E6252" s="23"/>
    </row>
    <row r="6253" spans="1:5" x14ac:dyDescent="0.25">
      <c r="A6253" s="22"/>
      <c r="B6253" s="23"/>
      <c r="C6253" s="23"/>
      <c r="D6253" s="23"/>
      <c r="E6253" s="23"/>
    </row>
    <row r="6254" spans="1:5" x14ac:dyDescent="0.25">
      <c r="A6254" s="22"/>
      <c r="B6254" s="23"/>
      <c r="C6254" s="23"/>
      <c r="D6254" s="23"/>
      <c r="E6254" s="23"/>
    </row>
    <row r="6255" spans="1:5" x14ac:dyDescent="0.25">
      <c r="A6255" s="22"/>
      <c r="B6255" s="23"/>
      <c r="C6255" s="23"/>
      <c r="D6255" s="23"/>
      <c r="E6255" s="23"/>
    </row>
    <row r="6256" spans="1:5" x14ac:dyDescent="0.25">
      <c r="A6256" s="22"/>
      <c r="B6256" s="23"/>
      <c r="C6256" s="23"/>
      <c r="D6256" s="23"/>
      <c r="E6256" s="23"/>
    </row>
    <row r="6257" spans="1:5" x14ac:dyDescent="0.25">
      <c r="A6257" s="22"/>
      <c r="B6257" s="23"/>
      <c r="C6257" s="23"/>
      <c r="D6257" s="23"/>
      <c r="E6257" s="23"/>
    </row>
    <row r="6258" spans="1:5" x14ac:dyDescent="0.25">
      <c r="A6258" s="22"/>
      <c r="B6258" s="23"/>
      <c r="C6258" s="23"/>
      <c r="D6258" s="23"/>
      <c r="E6258" s="23"/>
    </row>
    <row r="6259" spans="1:5" x14ac:dyDescent="0.25">
      <c r="A6259" s="22"/>
      <c r="B6259" s="23"/>
      <c r="C6259" s="23"/>
      <c r="D6259" s="23"/>
      <c r="E6259" s="23"/>
    </row>
    <row r="6260" spans="1:5" x14ac:dyDescent="0.25">
      <c r="A6260" s="22"/>
      <c r="B6260" s="23"/>
      <c r="C6260" s="23"/>
      <c r="D6260" s="23"/>
      <c r="E6260" s="23"/>
    </row>
    <row r="6261" spans="1:5" x14ac:dyDescent="0.25">
      <c r="A6261" s="22"/>
      <c r="B6261" s="23"/>
      <c r="C6261" s="23"/>
      <c r="D6261" s="23"/>
      <c r="E6261" s="23"/>
    </row>
    <row r="6262" spans="1:5" x14ac:dyDescent="0.25">
      <c r="A6262" s="22"/>
      <c r="B6262" s="23"/>
      <c r="C6262" s="23"/>
      <c r="D6262" s="23"/>
      <c r="E6262" s="23"/>
    </row>
    <row r="6263" spans="1:5" x14ac:dyDescent="0.25">
      <c r="A6263" s="22"/>
      <c r="B6263" s="23"/>
      <c r="C6263" s="23"/>
      <c r="D6263" s="23"/>
      <c r="E6263" s="23"/>
    </row>
    <row r="6264" spans="1:5" x14ac:dyDescent="0.25">
      <c r="A6264" s="22"/>
      <c r="B6264" s="23"/>
      <c r="C6264" s="23"/>
      <c r="D6264" s="23"/>
      <c r="E6264" s="23"/>
    </row>
    <row r="6265" spans="1:5" x14ac:dyDescent="0.25">
      <c r="A6265" s="22"/>
      <c r="B6265" s="23"/>
      <c r="C6265" s="23"/>
      <c r="D6265" s="23"/>
      <c r="E6265" s="23"/>
    </row>
    <row r="6266" spans="1:5" x14ac:dyDescent="0.25">
      <c r="A6266" s="22"/>
      <c r="B6266" s="23"/>
      <c r="C6266" s="23"/>
      <c r="D6266" s="23"/>
      <c r="E6266" s="23"/>
    </row>
    <row r="6267" spans="1:5" x14ac:dyDescent="0.25">
      <c r="A6267" s="22"/>
      <c r="B6267" s="23"/>
      <c r="C6267" s="23"/>
      <c r="D6267" s="23"/>
      <c r="E6267" s="23"/>
    </row>
    <row r="6268" spans="1:5" x14ac:dyDescent="0.25">
      <c r="A6268" s="22"/>
      <c r="B6268" s="23"/>
      <c r="C6268" s="23"/>
      <c r="D6268" s="23"/>
      <c r="E6268" s="23"/>
    </row>
    <row r="6269" spans="1:5" x14ac:dyDescent="0.25">
      <c r="A6269" s="22"/>
      <c r="B6269" s="23"/>
      <c r="C6269" s="23"/>
      <c r="D6269" s="23"/>
      <c r="E6269" s="23"/>
    </row>
    <row r="6270" spans="1:5" x14ac:dyDescent="0.25">
      <c r="A6270" s="22"/>
      <c r="B6270" s="23"/>
      <c r="C6270" s="23"/>
      <c r="D6270" s="23"/>
      <c r="E6270" s="23"/>
    </row>
    <row r="6271" spans="1:5" x14ac:dyDescent="0.25">
      <c r="A6271" s="22"/>
      <c r="B6271" s="23"/>
      <c r="C6271" s="23"/>
      <c r="D6271" s="23"/>
      <c r="E6271" s="23"/>
    </row>
    <row r="6272" spans="1:5" x14ac:dyDescent="0.25">
      <c r="A6272" s="22"/>
      <c r="B6272" s="23"/>
      <c r="C6272" s="23"/>
      <c r="D6272" s="23"/>
      <c r="E6272" s="23"/>
    </row>
    <row r="6273" spans="1:5" x14ac:dyDescent="0.25">
      <c r="A6273" s="22"/>
      <c r="B6273" s="23"/>
      <c r="C6273" s="23"/>
      <c r="D6273" s="23"/>
      <c r="E6273" s="23"/>
    </row>
    <row r="6274" spans="1:5" x14ac:dyDescent="0.25">
      <c r="A6274" s="22"/>
      <c r="B6274" s="23"/>
      <c r="C6274" s="23"/>
      <c r="D6274" s="23"/>
      <c r="E6274" s="23"/>
    </row>
    <row r="6275" spans="1:5" x14ac:dyDescent="0.25">
      <c r="A6275" s="22"/>
      <c r="B6275" s="23"/>
      <c r="C6275" s="23"/>
      <c r="D6275" s="23"/>
      <c r="E6275" s="23"/>
    </row>
    <row r="6276" spans="1:5" x14ac:dyDescent="0.25">
      <c r="A6276" s="22"/>
      <c r="B6276" s="23"/>
      <c r="C6276" s="23"/>
      <c r="D6276" s="23"/>
      <c r="E6276" s="23"/>
    </row>
    <row r="6277" spans="1:5" x14ac:dyDescent="0.25">
      <c r="A6277" s="22"/>
      <c r="B6277" s="23"/>
      <c r="C6277" s="23"/>
      <c r="D6277" s="23"/>
      <c r="E6277" s="23"/>
    </row>
    <row r="6278" spans="1:5" x14ac:dyDescent="0.25">
      <c r="A6278" s="22"/>
      <c r="B6278" s="23"/>
      <c r="C6278" s="23"/>
      <c r="D6278" s="23"/>
      <c r="E6278" s="23"/>
    </row>
    <row r="6279" spans="1:5" x14ac:dyDescent="0.25">
      <c r="A6279" s="22"/>
      <c r="B6279" s="23"/>
      <c r="C6279" s="23"/>
      <c r="D6279" s="23"/>
      <c r="E6279" s="23"/>
    </row>
    <row r="6280" spans="1:5" x14ac:dyDescent="0.25">
      <c r="A6280" s="22"/>
      <c r="B6280" s="23"/>
      <c r="C6280" s="23"/>
      <c r="D6280" s="23"/>
      <c r="E6280" s="23"/>
    </row>
    <row r="6281" spans="1:5" x14ac:dyDescent="0.25">
      <c r="A6281" s="22"/>
      <c r="B6281" s="23"/>
      <c r="C6281" s="23"/>
      <c r="D6281" s="23"/>
      <c r="E6281" s="23"/>
    </row>
    <row r="6282" spans="1:5" x14ac:dyDescent="0.25">
      <c r="A6282" s="22"/>
      <c r="B6282" s="23"/>
      <c r="C6282" s="23"/>
      <c r="D6282" s="23"/>
      <c r="E6282" s="23"/>
    </row>
    <row r="6283" spans="1:5" x14ac:dyDescent="0.25">
      <c r="A6283" s="22"/>
      <c r="B6283" s="23"/>
      <c r="C6283" s="23"/>
      <c r="D6283" s="23"/>
      <c r="E6283" s="23"/>
    </row>
    <row r="6284" spans="1:5" x14ac:dyDescent="0.25">
      <c r="A6284" s="22"/>
      <c r="B6284" s="23"/>
      <c r="C6284" s="23"/>
      <c r="D6284" s="23"/>
      <c r="E6284" s="23"/>
    </row>
    <row r="6285" spans="1:5" x14ac:dyDescent="0.25">
      <c r="A6285" s="22"/>
      <c r="B6285" s="23"/>
      <c r="C6285" s="23"/>
      <c r="D6285" s="23"/>
      <c r="E6285" s="23"/>
    </row>
    <row r="6286" spans="1:5" x14ac:dyDescent="0.25">
      <c r="A6286" s="22"/>
      <c r="B6286" s="23"/>
      <c r="C6286" s="23"/>
      <c r="D6286" s="23"/>
      <c r="E6286" s="23"/>
    </row>
    <row r="6287" spans="1:5" x14ac:dyDescent="0.25">
      <c r="A6287" s="22"/>
      <c r="B6287" s="23"/>
      <c r="C6287" s="23"/>
      <c r="D6287" s="23"/>
      <c r="E6287" s="23"/>
    </row>
    <row r="6288" spans="1:5" x14ac:dyDescent="0.25">
      <c r="A6288" s="22"/>
      <c r="B6288" s="23"/>
      <c r="C6288" s="23"/>
      <c r="D6288" s="23"/>
      <c r="E6288" s="23"/>
    </row>
    <row r="6289" spans="1:5" x14ac:dyDescent="0.25">
      <c r="A6289" s="22"/>
      <c r="B6289" s="23"/>
      <c r="C6289" s="23"/>
      <c r="D6289" s="23"/>
      <c r="E6289" s="23"/>
    </row>
    <row r="6290" spans="1:5" x14ac:dyDescent="0.25">
      <c r="A6290" s="22"/>
      <c r="B6290" s="23"/>
      <c r="C6290" s="23"/>
      <c r="D6290" s="23"/>
      <c r="E6290" s="23"/>
    </row>
    <row r="6291" spans="1:5" x14ac:dyDescent="0.25">
      <c r="A6291" s="22"/>
      <c r="B6291" s="23"/>
      <c r="C6291" s="23"/>
      <c r="D6291" s="23"/>
      <c r="E6291" s="23"/>
    </row>
    <row r="6292" spans="1:5" x14ac:dyDescent="0.25">
      <c r="A6292" s="22"/>
      <c r="B6292" s="23"/>
      <c r="C6292" s="23"/>
      <c r="D6292" s="23"/>
      <c r="E6292" s="23"/>
    </row>
    <row r="6293" spans="1:5" x14ac:dyDescent="0.25">
      <c r="A6293" s="22"/>
      <c r="B6293" s="23"/>
      <c r="C6293" s="23"/>
      <c r="D6293" s="23"/>
      <c r="E6293" s="23"/>
    </row>
    <row r="6294" spans="1:5" x14ac:dyDescent="0.25">
      <c r="A6294" s="22"/>
      <c r="B6294" s="23"/>
      <c r="C6294" s="23"/>
      <c r="D6294" s="23"/>
      <c r="E6294" s="23"/>
    </row>
    <row r="6295" spans="1:5" x14ac:dyDescent="0.25">
      <c r="A6295" s="22"/>
      <c r="B6295" s="23"/>
      <c r="C6295" s="23"/>
      <c r="D6295" s="23"/>
      <c r="E6295" s="23"/>
    </row>
    <row r="6296" spans="1:5" x14ac:dyDescent="0.25">
      <c r="A6296" s="22"/>
      <c r="B6296" s="23"/>
      <c r="C6296" s="23"/>
      <c r="D6296" s="23"/>
      <c r="E6296" s="23"/>
    </row>
    <row r="6297" spans="1:5" x14ac:dyDescent="0.25">
      <c r="A6297" s="22"/>
      <c r="B6297" s="23"/>
      <c r="C6297" s="23"/>
      <c r="D6297" s="23"/>
      <c r="E6297" s="23"/>
    </row>
    <row r="6298" spans="1:5" x14ac:dyDescent="0.25">
      <c r="A6298" s="22"/>
      <c r="B6298" s="23"/>
      <c r="C6298" s="23"/>
      <c r="D6298" s="23"/>
      <c r="E6298" s="23"/>
    </row>
    <row r="6299" spans="1:5" x14ac:dyDescent="0.25">
      <c r="A6299" s="22"/>
      <c r="B6299" s="23"/>
      <c r="C6299" s="23"/>
      <c r="D6299" s="23"/>
      <c r="E6299" s="23"/>
    </row>
    <row r="6300" spans="1:5" x14ac:dyDescent="0.25">
      <c r="A6300" s="22"/>
      <c r="B6300" s="23"/>
      <c r="C6300" s="23"/>
      <c r="D6300" s="23"/>
      <c r="E6300" s="23"/>
    </row>
    <row r="6301" spans="1:5" x14ac:dyDescent="0.25">
      <c r="A6301" s="22"/>
      <c r="B6301" s="23"/>
      <c r="C6301" s="23"/>
      <c r="D6301" s="23"/>
      <c r="E6301" s="23"/>
    </row>
    <row r="6302" spans="1:5" x14ac:dyDescent="0.25">
      <c r="A6302" s="22"/>
      <c r="B6302" s="23"/>
      <c r="C6302" s="23"/>
      <c r="D6302" s="23"/>
      <c r="E6302" s="23"/>
    </row>
    <row r="6303" spans="1:5" x14ac:dyDescent="0.25">
      <c r="A6303" s="22"/>
      <c r="B6303" s="23"/>
      <c r="C6303" s="23"/>
      <c r="D6303" s="23"/>
      <c r="E6303" s="23"/>
    </row>
    <row r="6304" spans="1:5" x14ac:dyDescent="0.25">
      <c r="A6304" s="22"/>
      <c r="B6304" s="23"/>
      <c r="C6304" s="23"/>
      <c r="D6304" s="23"/>
      <c r="E6304" s="23"/>
    </row>
    <row r="6305" spans="1:5" x14ac:dyDescent="0.25">
      <c r="A6305" s="22"/>
      <c r="B6305" s="23"/>
      <c r="C6305" s="23"/>
      <c r="D6305" s="23"/>
      <c r="E6305" s="23"/>
    </row>
    <row r="6306" spans="1:5" x14ac:dyDescent="0.25">
      <c r="A6306" s="22"/>
      <c r="B6306" s="23"/>
      <c r="C6306" s="23"/>
      <c r="D6306" s="23"/>
      <c r="E6306" s="23"/>
    </row>
    <row r="6307" spans="1:5" x14ac:dyDescent="0.25">
      <c r="A6307" s="22"/>
      <c r="B6307" s="23"/>
      <c r="C6307" s="23"/>
      <c r="D6307" s="23"/>
      <c r="E6307" s="23"/>
    </row>
    <row r="6308" spans="1:5" x14ac:dyDescent="0.25">
      <c r="A6308" s="22"/>
      <c r="B6308" s="23"/>
      <c r="C6308" s="23"/>
      <c r="D6308" s="23"/>
      <c r="E6308" s="23"/>
    </row>
    <row r="6309" spans="1:5" x14ac:dyDescent="0.25">
      <c r="A6309" s="22"/>
      <c r="B6309" s="23"/>
      <c r="C6309" s="23"/>
      <c r="D6309" s="23"/>
      <c r="E6309" s="23"/>
    </row>
    <row r="6310" spans="1:5" x14ac:dyDescent="0.25">
      <c r="A6310" s="22"/>
      <c r="B6310" s="23"/>
      <c r="C6310" s="23"/>
      <c r="D6310" s="23"/>
      <c r="E6310" s="23"/>
    </row>
    <row r="6311" spans="1:5" x14ac:dyDescent="0.25">
      <c r="A6311" s="22"/>
      <c r="B6311" s="23"/>
      <c r="C6311" s="23"/>
      <c r="D6311" s="23"/>
      <c r="E6311" s="23"/>
    </row>
    <row r="6312" spans="1:5" x14ac:dyDescent="0.25">
      <c r="A6312" s="22"/>
      <c r="B6312" s="23"/>
      <c r="C6312" s="23"/>
      <c r="D6312" s="23"/>
      <c r="E6312" s="23"/>
    </row>
    <row r="6313" spans="1:5" x14ac:dyDescent="0.25">
      <c r="A6313" s="22"/>
      <c r="B6313" s="23"/>
      <c r="C6313" s="23"/>
      <c r="D6313" s="23"/>
      <c r="E6313" s="23"/>
    </row>
    <row r="6314" spans="1:5" x14ac:dyDescent="0.25">
      <c r="A6314" s="22"/>
      <c r="B6314" s="23"/>
      <c r="C6314" s="23"/>
      <c r="D6314" s="23"/>
      <c r="E6314" s="23"/>
    </row>
    <row r="6315" spans="1:5" x14ac:dyDescent="0.25">
      <c r="A6315" s="22"/>
      <c r="B6315" s="23"/>
      <c r="C6315" s="23"/>
      <c r="D6315" s="23"/>
      <c r="E6315" s="23"/>
    </row>
    <row r="6316" spans="1:5" x14ac:dyDescent="0.25">
      <c r="A6316" s="22"/>
      <c r="B6316" s="23"/>
      <c r="C6316" s="23"/>
      <c r="D6316" s="23"/>
      <c r="E6316" s="23"/>
    </row>
    <row r="6317" spans="1:5" x14ac:dyDescent="0.25">
      <c r="A6317" s="22"/>
      <c r="B6317" s="23"/>
      <c r="C6317" s="23"/>
      <c r="D6317" s="23"/>
      <c r="E6317" s="23"/>
    </row>
    <row r="6318" spans="1:5" x14ac:dyDescent="0.25">
      <c r="A6318" s="22"/>
      <c r="B6318" s="23"/>
      <c r="C6318" s="23"/>
      <c r="D6318" s="23"/>
      <c r="E6318" s="23"/>
    </row>
    <row r="6319" spans="1:5" x14ac:dyDescent="0.25">
      <c r="A6319" s="22"/>
      <c r="B6319" s="23"/>
      <c r="C6319" s="23"/>
      <c r="D6319" s="23"/>
      <c r="E6319" s="23"/>
    </row>
    <row r="6320" spans="1:5" x14ac:dyDescent="0.25">
      <c r="A6320" s="22"/>
      <c r="B6320" s="23"/>
      <c r="C6320" s="23"/>
      <c r="D6320" s="23"/>
      <c r="E6320" s="23"/>
    </row>
    <row r="6321" spans="1:5" x14ac:dyDescent="0.25">
      <c r="A6321" s="22"/>
      <c r="B6321" s="23"/>
      <c r="C6321" s="23"/>
      <c r="D6321" s="23"/>
      <c r="E6321" s="23"/>
    </row>
    <row r="6322" spans="1:5" x14ac:dyDescent="0.25">
      <c r="A6322" s="22"/>
      <c r="B6322" s="23"/>
      <c r="C6322" s="23"/>
      <c r="D6322" s="23"/>
      <c r="E6322" s="23"/>
    </row>
    <row r="6323" spans="1:5" x14ac:dyDescent="0.25">
      <c r="A6323" s="22"/>
      <c r="B6323" s="23"/>
      <c r="C6323" s="23"/>
      <c r="D6323" s="23"/>
      <c r="E6323" s="23"/>
    </row>
    <row r="6324" spans="1:5" x14ac:dyDescent="0.25">
      <c r="A6324" s="22"/>
      <c r="B6324" s="23"/>
      <c r="C6324" s="23"/>
      <c r="D6324" s="23"/>
      <c r="E6324" s="23"/>
    </row>
    <row r="6325" spans="1:5" x14ac:dyDescent="0.25">
      <c r="A6325" s="22"/>
      <c r="B6325" s="23"/>
      <c r="C6325" s="23"/>
      <c r="D6325" s="23"/>
      <c r="E6325" s="23"/>
    </row>
    <row r="6326" spans="1:5" x14ac:dyDescent="0.25">
      <c r="A6326" s="22"/>
      <c r="B6326" s="23"/>
      <c r="C6326" s="23"/>
      <c r="D6326" s="23"/>
      <c r="E6326" s="23"/>
    </row>
    <row r="6327" spans="1:5" x14ac:dyDescent="0.25">
      <c r="A6327" s="22"/>
      <c r="B6327" s="23"/>
      <c r="C6327" s="23"/>
      <c r="D6327" s="23"/>
      <c r="E6327" s="23"/>
    </row>
    <row r="6328" spans="1:5" x14ac:dyDescent="0.25">
      <c r="A6328" s="22"/>
      <c r="B6328" s="23"/>
      <c r="C6328" s="23"/>
      <c r="D6328" s="23"/>
      <c r="E6328" s="23"/>
    </row>
    <row r="6329" spans="1:5" x14ac:dyDescent="0.25">
      <c r="A6329" s="22"/>
      <c r="B6329" s="23"/>
      <c r="C6329" s="23"/>
      <c r="D6329" s="23"/>
      <c r="E6329" s="23"/>
    </row>
    <row r="6330" spans="1:5" x14ac:dyDescent="0.25">
      <c r="A6330" s="22"/>
      <c r="B6330" s="23"/>
      <c r="C6330" s="23"/>
      <c r="D6330" s="23"/>
      <c r="E6330" s="23"/>
    </row>
    <row r="6331" spans="1:5" x14ac:dyDescent="0.25">
      <c r="A6331" s="22"/>
      <c r="B6331" s="23"/>
      <c r="C6331" s="23"/>
      <c r="D6331" s="23"/>
      <c r="E6331" s="23"/>
    </row>
    <row r="6332" spans="1:5" x14ac:dyDescent="0.25">
      <c r="A6332" s="22"/>
      <c r="B6332" s="23"/>
      <c r="C6332" s="23"/>
      <c r="D6332" s="23"/>
      <c r="E6332" s="23"/>
    </row>
    <row r="6333" spans="1:5" x14ac:dyDescent="0.25">
      <c r="A6333" s="22"/>
      <c r="B6333" s="23"/>
      <c r="C6333" s="23"/>
      <c r="D6333" s="23"/>
      <c r="E6333" s="23"/>
    </row>
    <row r="6334" spans="1:5" x14ac:dyDescent="0.25">
      <c r="A6334" s="22"/>
      <c r="B6334" s="23"/>
      <c r="C6334" s="23"/>
      <c r="D6334" s="23"/>
      <c r="E6334" s="23"/>
    </row>
    <row r="6335" spans="1:5" x14ac:dyDescent="0.25">
      <c r="A6335" s="22"/>
      <c r="B6335" s="23"/>
      <c r="C6335" s="23"/>
      <c r="D6335" s="23"/>
      <c r="E6335" s="23"/>
    </row>
    <row r="6336" spans="1:5" x14ac:dyDescent="0.25">
      <c r="A6336" s="22"/>
      <c r="B6336" s="23"/>
      <c r="C6336" s="23"/>
      <c r="D6336" s="23"/>
      <c r="E6336" s="23"/>
    </row>
    <row r="6337" spans="1:5" x14ac:dyDescent="0.25">
      <c r="A6337" s="22"/>
      <c r="B6337" s="23"/>
      <c r="C6337" s="23"/>
      <c r="D6337" s="23"/>
      <c r="E6337" s="23"/>
    </row>
    <row r="6338" spans="1:5" x14ac:dyDescent="0.25">
      <c r="A6338" s="22"/>
      <c r="B6338" s="23"/>
      <c r="C6338" s="23"/>
      <c r="D6338" s="23"/>
      <c r="E6338" s="23"/>
    </row>
    <row r="6339" spans="1:5" x14ac:dyDescent="0.25">
      <c r="A6339" s="22"/>
      <c r="B6339" s="23"/>
      <c r="C6339" s="23"/>
      <c r="D6339" s="23"/>
      <c r="E6339" s="23"/>
    </row>
    <row r="6340" spans="1:5" x14ac:dyDescent="0.25">
      <c r="A6340" s="22"/>
      <c r="B6340" s="23"/>
      <c r="C6340" s="23"/>
      <c r="D6340" s="23"/>
      <c r="E6340" s="23"/>
    </row>
    <row r="6341" spans="1:5" x14ac:dyDescent="0.25">
      <c r="A6341" s="22"/>
      <c r="B6341" s="23"/>
      <c r="C6341" s="23"/>
      <c r="D6341" s="23"/>
      <c r="E6341" s="23"/>
    </row>
    <row r="6342" spans="1:5" x14ac:dyDescent="0.25">
      <c r="A6342" s="22"/>
      <c r="B6342" s="23"/>
      <c r="C6342" s="23"/>
      <c r="D6342" s="23"/>
      <c r="E6342" s="23"/>
    </row>
    <row r="6343" spans="1:5" x14ac:dyDescent="0.25">
      <c r="A6343" s="22"/>
      <c r="B6343" s="23"/>
      <c r="C6343" s="23"/>
      <c r="D6343" s="23"/>
      <c r="E6343" s="23"/>
    </row>
    <row r="6344" spans="1:5" x14ac:dyDescent="0.25">
      <c r="A6344" s="22"/>
      <c r="B6344" s="23"/>
      <c r="C6344" s="23"/>
      <c r="D6344" s="23"/>
      <c r="E6344" s="23"/>
    </row>
    <row r="6345" spans="1:5" x14ac:dyDescent="0.25">
      <c r="A6345" s="22"/>
      <c r="B6345" s="23"/>
      <c r="C6345" s="23"/>
      <c r="D6345" s="23"/>
      <c r="E6345" s="23"/>
    </row>
    <row r="6346" spans="1:5" x14ac:dyDescent="0.25">
      <c r="A6346" s="22"/>
      <c r="B6346" s="23"/>
      <c r="C6346" s="23"/>
      <c r="D6346" s="23"/>
      <c r="E6346" s="23"/>
    </row>
    <row r="6347" spans="1:5" x14ac:dyDescent="0.25">
      <c r="A6347" s="22"/>
      <c r="B6347" s="23"/>
      <c r="C6347" s="23"/>
      <c r="D6347" s="23"/>
      <c r="E6347" s="23"/>
    </row>
    <row r="6348" spans="1:5" x14ac:dyDescent="0.25">
      <c r="A6348" s="22"/>
      <c r="B6348" s="23"/>
      <c r="C6348" s="23"/>
      <c r="D6348" s="23"/>
      <c r="E6348" s="23"/>
    </row>
    <row r="6349" spans="1:5" x14ac:dyDescent="0.25">
      <c r="A6349" s="22"/>
      <c r="B6349" s="23"/>
      <c r="C6349" s="23"/>
      <c r="D6349" s="23"/>
      <c r="E6349" s="23"/>
    </row>
    <row r="6350" spans="1:5" x14ac:dyDescent="0.25">
      <c r="A6350" s="22"/>
      <c r="B6350" s="23"/>
      <c r="C6350" s="23"/>
      <c r="D6350" s="23"/>
      <c r="E6350" s="23"/>
    </row>
    <row r="6351" spans="1:5" x14ac:dyDescent="0.25">
      <c r="A6351" s="22"/>
      <c r="B6351" s="23"/>
      <c r="C6351" s="23"/>
      <c r="D6351" s="23"/>
      <c r="E6351" s="23"/>
    </row>
    <row r="6352" spans="1:5" x14ac:dyDescent="0.25">
      <c r="A6352" s="22"/>
      <c r="B6352" s="23"/>
      <c r="C6352" s="23"/>
      <c r="D6352" s="23"/>
      <c r="E6352" s="23"/>
    </row>
    <row r="6353" spans="1:5" x14ac:dyDescent="0.25">
      <c r="A6353" s="22"/>
      <c r="B6353" s="23"/>
      <c r="C6353" s="23"/>
      <c r="D6353" s="23"/>
      <c r="E6353" s="23"/>
    </row>
    <row r="6354" spans="1:5" x14ac:dyDescent="0.25">
      <c r="A6354" s="22"/>
      <c r="B6354" s="23"/>
      <c r="C6354" s="23"/>
      <c r="D6354" s="23"/>
      <c r="E6354" s="23"/>
    </row>
    <row r="6355" spans="1:5" x14ac:dyDescent="0.25">
      <c r="A6355" s="22"/>
      <c r="B6355" s="23"/>
      <c r="C6355" s="23"/>
      <c r="D6355" s="23"/>
      <c r="E6355" s="23"/>
    </row>
    <row r="6356" spans="1:5" x14ac:dyDescent="0.25">
      <c r="A6356" s="22"/>
      <c r="B6356" s="23"/>
      <c r="C6356" s="23"/>
      <c r="D6356" s="23"/>
      <c r="E6356" s="23"/>
    </row>
    <row r="6357" spans="1:5" x14ac:dyDescent="0.25">
      <c r="A6357" s="22"/>
      <c r="B6357" s="23"/>
      <c r="C6357" s="23"/>
      <c r="D6357" s="23"/>
      <c r="E6357" s="23"/>
    </row>
    <row r="6358" spans="1:5" x14ac:dyDescent="0.25">
      <c r="A6358" s="22"/>
      <c r="B6358" s="23"/>
      <c r="C6358" s="23"/>
      <c r="D6358" s="23"/>
      <c r="E6358" s="23"/>
    </row>
    <row r="6359" spans="1:5" x14ac:dyDescent="0.25">
      <c r="A6359" s="22"/>
      <c r="B6359" s="23"/>
      <c r="C6359" s="23"/>
      <c r="D6359" s="23"/>
      <c r="E6359" s="23"/>
    </row>
    <row r="6360" spans="1:5" x14ac:dyDescent="0.25">
      <c r="A6360" s="22"/>
      <c r="B6360" s="23"/>
      <c r="C6360" s="23"/>
      <c r="D6360" s="23"/>
      <c r="E6360" s="23"/>
    </row>
    <row r="6361" spans="1:5" x14ac:dyDescent="0.25">
      <c r="A6361" s="22"/>
      <c r="B6361" s="23"/>
      <c r="C6361" s="23"/>
      <c r="D6361" s="23"/>
      <c r="E6361" s="23"/>
    </row>
    <row r="6362" spans="1:5" x14ac:dyDescent="0.25">
      <c r="A6362" s="22"/>
      <c r="B6362" s="23"/>
      <c r="C6362" s="23"/>
      <c r="D6362" s="23"/>
      <c r="E6362" s="23"/>
    </row>
    <row r="6363" spans="1:5" x14ac:dyDescent="0.25">
      <c r="A6363" s="22"/>
      <c r="B6363" s="23"/>
      <c r="C6363" s="23"/>
      <c r="D6363" s="23"/>
      <c r="E6363" s="23"/>
    </row>
    <row r="6364" spans="1:5" x14ac:dyDescent="0.25">
      <c r="A6364" s="22"/>
      <c r="B6364" s="23"/>
      <c r="C6364" s="23"/>
      <c r="D6364" s="23"/>
      <c r="E6364" s="23"/>
    </row>
    <row r="6365" spans="1:5" x14ac:dyDescent="0.25">
      <c r="A6365" s="22"/>
      <c r="B6365" s="23"/>
      <c r="C6365" s="23"/>
      <c r="D6365" s="23"/>
      <c r="E6365" s="23"/>
    </row>
    <row r="6366" spans="1:5" x14ac:dyDescent="0.25">
      <c r="A6366" s="22"/>
      <c r="B6366" s="23"/>
      <c r="C6366" s="23"/>
      <c r="D6366" s="23"/>
      <c r="E6366" s="23"/>
    </row>
    <row r="6367" spans="1:5" x14ac:dyDescent="0.25">
      <c r="A6367" s="22"/>
      <c r="B6367" s="23"/>
      <c r="C6367" s="23"/>
      <c r="D6367" s="23"/>
      <c r="E6367" s="23"/>
    </row>
    <row r="6368" spans="1:5" x14ac:dyDescent="0.25">
      <c r="A6368" s="22"/>
      <c r="B6368" s="23"/>
      <c r="C6368" s="23"/>
      <c r="D6368" s="23"/>
      <c r="E6368" s="23"/>
    </row>
    <row r="6369" spans="1:5" x14ac:dyDescent="0.25">
      <c r="A6369" s="22"/>
      <c r="B6369" s="23"/>
      <c r="C6369" s="23"/>
      <c r="D6369" s="23"/>
      <c r="E6369" s="23"/>
    </row>
    <row r="6370" spans="1:5" x14ac:dyDescent="0.25">
      <c r="A6370" s="22"/>
      <c r="B6370" s="23"/>
      <c r="C6370" s="23"/>
      <c r="D6370" s="23"/>
      <c r="E6370" s="23"/>
    </row>
    <row r="6371" spans="1:5" x14ac:dyDescent="0.25">
      <c r="A6371" s="22"/>
      <c r="B6371" s="23"/>
      <c r="C6371" s="23"/>
      <c r="D6371" s="23"/>
      <c r="E6371" s="23"/>
    </row>
    <row r="6372" spans="1:5" x14ac:dyDescent="0.25">
      <c r="A6372" s="22"/>
      <c r="B6372" s="23"/>
      <c r="C6372" s="23"/>
      <c r="D6372" s="23"/>
      <c r="E6372" s="23"/>
    </row>
    <row r="6373" spans="1:5" x14ac:dyDescent="0.25">
      <c r="A6373" s="22"/>
      <c r="B6373" s="23"/>
      <c r="C6373" s="23"/>
      <c r="D6373" s="23"/>
      <c r="E6373" s="23"/>
    </row>
    <row r="6374" spans="1:5" x14ac:dyDescent="0.25">
      <c r="A6374" s="22"/>
      <c r="B6374" s="23"/>
      <c r="C6374" s="23"/>
      <c r="D6374" s="23"/>
      <c r="E6374" s="23"/>
    </row>
    <row r="6375" spans="1:5" x14ac:dyDescent="0.25">
      <c r="A6375" s="22"/>
      <c r="B6375" s="23"/>
      <c r="C6375" s="23"/>
      <c r="D6375" s="23"/>
      <c r="E6375" s="23"/>
    </row>
    <row r="6376" spans="1:5" x14ac:dyDescent="0.25">
      <c r="A6376" s="22"/>
      <c r="B6376" s="23"/>
      <c r="C6376" s="23"/>
      <c r="D6376" s="23"/>
      <c r="E6376" s="23"/>
    </row>
    <row r="6377" spans="1:5" x14ac:dyDescent="0.25">
      <c r="A6377" s="22"/>
      <c r="B6377" s="23"/>
      <c r="C6377" s="23"/>
      <c r="D6377" s="23"/>
      <c r="E6377" s="23"/>
    </row>
    <row r="6378" spans="1:5" x14ac:dyDescent="0.25">
      <c r="A6378" s="22"/>
      <c r="B6378" s="23"/>
      <c r="C6378" s="23"/>
      <c r="D6378" s="23"/>
      <c r="E6378" s="23"/>
    </row>
    <row r="6379" spans="1:5" x14ac:dyDescent="0.25">
      <c r="A6379" s="22"/>
      <c r="B6379" s="23"/>
      <c r="C6379" s="23"/>
      <c r="D6379" s="23"/>
      <c r="E6379" s="23"/>
    </row>
    <row r="6380" spans="1:5" x14ac:dyDescent="0.25">
      <c r="A6380" s="22"/>
      <c r="B6380" s="23"/>
      <c r="C6380" s="23"/>
      <c r="D6380" s="23"/>
      <c r="E6380" s="23"/>
    </row>
    <row r="6381" spans="1:5" x14ac:dyDescent="0.25">
      <c r="A6381" s="22"/>
      <c r="B6381" s="23"/>
      <c r="C6381" s="23"/>
      <c r="D6381" s="23"/>
      <c r="E6381" s="23"/>
    </row>
    <row r="6382" spans="1:5" x14ac:dyDescent="0.25">
      <c r="A6382" s="22"/>
      <c r="B6382" s="23"/>
      <c r="C6382" s="23"/>
      <c r="D6382" s="23"/>
      <c r="E6382" s="23"/>
    </row>
    <row r="6383" spans="1:5" x14ac:dyDescent="0.25">
      <c r="A6383" s="22"/>
      <c r="B6383" s="23"/>
      <c r="C6383" s="23"/>
      <c r="D6383" s="23"/>
      <c r="E6383" s="23"/>
    </row>
    <row r="6384" spans="1:5" x14ac:dyDescent="0.25">
      <c r="A6384" s="22"/>
      <c r="B6384" s="23"/>
      <c r="C6384" s="23"/>
      <c r="D6384" s="23"/>
      <c r="E6384" s="23"/>
    </row>
    <row r="6385" spans="1:5" x14ac:dyDescent="0.25">
      <c r="A6385" s="22"/>
      <c r="B6385" s="23"/>
      <c r="C6385" s="23"/>
      <c r="D6385" s="23"/>
      <c r="E6385" s="23"/>
    </row>
    <row r="6386" spans="1:5" x14ac:dyDescent="0.25">
      <c r="A6386" s="22"/>
      <c r="B6386" s="23"/>
      <c r="C6386" s="23"/>
      <c r="D6386" s="23"/>
      <c r="E6386" s="23"/>
    </row>
    <row r="6387" spans="1:5" x14ac:dyDescent="0.25">
      <c r="A6387" s="22"/>
      <c r="B6387" s="23"/>
      <c r="C6387" s="23"/>
      <c r="D6387" s="23"/>
      <c r="E6387" s="23"/>
    </row>
    <row r="6388" spans="1:5" x14ac:dyDescent="0.25">
      <c r="A6388" s="22"/>
      <c r="B6388" s="23"/>
      <c r="C6388" s="23"/>
      <c r="D6388" s="23"/>
      <c r="E6388" s="23"/>
    </row>
    <row r="6389" spans="1:5" x14ac:dyDescent="0.25">
      <c r="A6389" s="22"/>
      <c r="B6389" s="23"/>
      <c r="C6389" s="23"/>
      <c r="D6389" s="23"/>
      <c r="E6389" s="23"/>
    </row>
    <row r="6390" spans="1:5" x14ac:dyDescent="0.25">
      <c r="A6390" s="22"/>
      <c r="B6390" s="23"/>
      <c r="C6390" s="23"/>
      <c r="D6390" s="23"/>
      <c r="E6390" s="23"/>
    </row>
    <row r="6391" spans="1:5" x14ac:dyDescent="0.25">
      <c r="A6391" s="22"/>
      <c r="B6391" s="23"/>
      <c r="C6391" s="23"/>
      <c r="D6391" s="23"/>
      <c r="E6391" s="23"/>
    </row>
    <row r="6392" spans="1:5" x14ac:dyDescent="0.25">
      <c r="A6392" s="22"/>
      <c r="B6392" s="23"/>
      <c r="C6392" s="23"/>
      <c r="D6392" s="23"/>
      <c r="E6392" s="23"/>
    </row>
    <row r="6393" spans="1:5" x14ac:dyDescent="0.25">
      <c r="A6393" s="22"/>
      <c r="B6393" s="23"/>
      <c r="C6393" s="23"/>
      <c r="D6393" s="23"/>
      <c r="E6393" s="23"/>
    </row>
    <row r="6394" spans="1:5" x14ac:dyDescent="0.25">
      <c r="A6394" s="22"/>
      <c r="B6394" s="23"/>
      <c r="C6394" s="23"/>
      <c r="D6394" s="23"/>
      <c r="E6394" s="23"/>
    </row>
    <row r="6395" spans="1:5" x14ac:dyDescent="0.25">
      <c r="A6395" s="22"/>
      <c r="B6395" s="23"/>
      <c r="C6395" s="23"/>
      <c r="D6395" s="23"/>
      <c r="E6395" s="23"/>
    </row>
    <row r="6396" spans="1:5" x14ac:dyDescent="0.25">
      <c r="A6396" s="22"/>
      <c r="B6396" s="23"/>
      <c r="C6396" s="23"/>
      <c r="D6396" s="23"/>
      <c r="E6396" s="23"/>
    </row>
    <row r="6397" spans="1:5" x14ac:dyDescent="0.25">
      <c r="A6397" s="22"/>
      <c r="B6397" s="23"/>
      <c r="C6397" s="23"/>
      <c r="D6397" s="23"/>
      <c r="E6397" s="23"/>
    </row>
    <row r="6398" spans="1:5" x14ac:dyDescent="0.25">
      <c r="A6398" s="22"/>
      <c r="B6398" s="23"/>
      <c r="C6398" s="23"/>
      <c r="D6398" s="23"/>
      <c r="E6398" s="23"/>
    </row>
    <row r="6399" spans="1:5" x14ac:dyDescent="0.25">
      <c r="A6399" s="22"/>
      <c r="B6399" s="23"/>
      <c r="C6399" s="23"/>
      <c r="D6399" s="23"/>
      <c r="E6399" s="23"/>
    </row>
    <row r="6400" spans="1:5" x14ac:dyDescent="0.25">
      <c r="A6400" s="22"/>
      <c r="B6400" s="23"/>
      <c r="C6400" s="23"/>
      <c r="D6400" s="23"/>
      <c r="E6400" s="23"/>
    </row>
    <row r="6401" spans="1:5" x14ac:dyDescent="0.25">
      <c r="A6401" s="22"/>
      <c r="B6401" s="23"/>
      <c r="C6401" s="23"/>
      <c r="D6401" s="23"/>
      <c r="E6401" s="23"/>
    </row>
    <row r="6402" spans="1:5" x14ac:dyDescent="0.25">
      <c r="A6402" s="22"/>
      <c r="B6402" s="23"/>
      <c r="C6402" s="23"/>
      <c r="D6402" s="23"/>
      <c r="E6402" s="23"/>
    </row>
    <row r="6403" spans="1:5" x14ac:dyDescent="0.25">
      <c r="A6403" s="22"/>
      <c r="B6403" s="23"/>
      <c r="C6403" s="23"/>
      <c r="D6403" s="23"/>
      <c r="E6403" s="23"/>
    </row>
    <row r="6404" spans="1:5" x14ac:dyDescent="0.25">
      <c r="A6404" s="22"/>
      <c r="B6404" s="23"/>
      <c r="C6404" s="23"/>
      <c r="D6404" s="23"/>
      <c r="E6404" s="23"/>
    </row>
    <row r="6405" spans="1:5" x14ac:dyDescent="0.25">
      <c r="A6405" s="22"/>
      <c r="B6405" s="23"/>
      <c r="C6405" s="23"/>
      <c r="D6405" s="23"/>
      <c r="E6405" s="23"/>
    </row>
    <row r="6406" spans="1:5" x14ac:dyDescent="0.25">
      <c r="A6406" s="22"/>
      <c r="B6406" s="23"/>
      <c r="C6406" s="23"/>
      <c r="D6406" s="23"/>
      <c r="E6406" s="23"/>
    </row>
    <row r="6407" spans="1:5" x14ac:dyDescent="0.25">
      <c r="A6407" s="22"/>
      <c r="B6407" s="23"/>
      <c r="C6407" s="23"/>
      <c r="D6407" s="23"/>
      <c r="E6407" s="23"/>
    </row>
    <row r="6408" spans="1:5" x14ac:dyDescent="0.25">
      <c r="A6408" s="22"/>
      <c r="B6408" s="23"/>
      <c r="C6408" s="23"/>
      <c r="D6408" s="23"/>
      <c r="E6408" s="23"/>
    </row>
    <row r="6409" spans="1:5" x14ac:dyDescent="0.25">
      <c r="A6409" s="22"/>
      <c r="B6409" s="23"/>
      <c r="C6409" s="23"/>
      <c r="D6409" s="23"/>
      <c r="E6409" s="23"/>
    </row>
    <row r="6410" spans="1:5" x14ac:dyDescent="0.25">
      <c r="A6410" s="22"/>
      <c r="B6410" s="23"/>
      <c r="C6410" s="23"/>
      <c r="D6410" s="23"/>
      <c r="E6410" s="23"/>
    </row>
    <row r="6411" spans="1:5" x14ac:dyDescent="0.25">
      <c r="A6411" s="22"/>
      <c r="B6411" s="23"/>
      <c r="C6411" s="23"/>
      <c r="D6411" s="23"/>
      <c r="E6411" s="23"/>
    </row>
    <row r="6412" spans="1:5" x14ac:dyDescent="0.25">
      <c r="A6412" s="22"/>
      <c r="B6412" s="23"/>
      <c r="C6412" s="23"/>
      <c r="D6412" s="23"/>
      <c r="E6412" s="23"/>
    </row>
    <row r="6413" spans="1:5" x14ac:dyDescent="0.25">
      <c r="A6413" s="22"/>
      <c r="B6413" s="23"/>
      <c r="C6413" s="23"/>
      <c r="D6413" s="23"/>
      <c r="E6413" s="23"/>
    </row>
    <row r="6414" spans="1:5" x14ac:dyDescent="0.25">
      <c r="A6414" s="22"/>
      <c r="B6414" s="23"/>
      <c r="C6414" s="23"/>
      <c r="D6414" s="23"/>
      <c r="E6414" s="23"/>
    </row>
    <row r="6415" spans="1:5" x14ac:dyDescent="0.25">
      <c r="A6415" s="22"/>
      <c r="B6415" s="23"/>
      <c r="C6415" s="23"/>
      <c r="D6415" s="23"/>
      <c r="E6415" s="23"/>
    </row>
    <row r="6416" spans="1:5" x14ac:dyDescent="0.25">
      <c r="A6416" s="22"/>
      <c r="B6416" s="23"/>
      <c r="C6416" s="23"/>
      <c r="D6416" s="23"/>
      <c r="E6416" s="23"/>
    </row>
    <row r="6417" spans="1:5" x14ac:dyDescent="0.25">
      <c r="A6417" s="22"/>
      <c r="B6417" s="23"/>
      <c r="C6417" s="23"/>
      <c r="D6417" s="23"/>
      <c r="E6417" s="23"/>
    </row>
    <row r="6418" spans="1:5" x14ac:dyDescent="0.25">
      <c r="A6418" s="22"/>
      <c r="B6418" s="23"/>
      <c r="C6418" s="23"/>
      <c r="D6418" s="23"/>
      <c r="E6418" s="23"/>
    </row>
    <row r="6419" spans="1:5" x14ac:dyDescent="0.25">
      <c r="A6419" s="22"/>
      <c r="B6419" s="23"/>
      <c r="C6419" s="23"/>
      <c r="D6419" s="23"/>
      <c r="E6419" s="23"/>
    </row>
    <row r="6420" spans="1:5" x14ac:dyDescent="0.25">
      <c r="A6420" s="22"/>
      <c r="B6420" s="23"/>
      <c r="C6420" s="23"/>
      <c r="D6420" s="23"/>
      <c r="E6420" s="23"/>
    </row>
    <row r="6421" spans="1:5" x14ac:dyDescent="0.25">
      <c r="A6421" s="22"/>
      <c r="B6421" s="23"/>
      <c r="C6421" s="23"/>
      <c r="D6421" s="23"/>
      <c r="E6421" s="23"/>
    </row>
    <row r="6422" spans="1:5" x14ac:dyDescent="0.25">
      <c r="A6422" s="22"/>
      <c r="B6422" s="23"/>
      <c r="C6422" s="23"/>
      <c r="D6422" s="23"/>
      <c r="E6422" s="23"/>
    </row>
    <row r="6423" spans="1:5" x14ac:dyDescent="0.25">
      <c r="A6423" s="22"/>
      <c r="B6423" s="23"/>
      <c r="C6423" s="23"/>
      <c r="D6423" s="23"/>
      <c r="E6423" s="23"/>
    </row>
    <row r="6424" spans="1:5" x14ac:dyDescent="0.25">
      <c r="A6424" s="22"/>
      <c r="B6424" s="23"/>
      <c r="C6424" s="23"/>
      <c r="D6424" s="23"/>
      <c r="E6424" s="23"/>
    </row>
    <row r="6425" spans="1:5" x14ac:dyDescent="0.25">
      <c r="A6425" s="22"/>
      <c r="B6425" s="23"/>
      <c r="C6425" s="23"/>
      <c r="D6425" s="23"/>
      <c r="E6425" s="23"/>
    </row>
    <row r="6426" spans="1:5" x14ac:dyDescent="0.25">
      <c r="A6426" s="22"/>
      <c r="B6426" s="23"/>
      <c r="C6426" s="23"/>
      <c r="D6426" s="23"/>
      <c r="E6426" s="23"/>
    </row>
    <row r="6427" spans="1:5" x14ac:dyDescent="0.25">
      <c r="A6427" s="22"/>
      <c r="B6427" s="23"/>
      <c r="C6427" s="23"/>
      <c r="D6427" s="23"/>
      <c r="E6427" s="23"/>
    </row>
    <row r="6428" spans="1:5" x14ac:dyDescent="0.25">
      <c r="A6428" s="22"/>
      <c r="B6428" s="23"/>
      <c r="C6428" s="23"/>
      <c r="D6428" s="23"/>
      <c r="E6428" s="23"/>
    </row>
    <row r="6429" spans="1:5" x14ac:dyDescent="0.25">
      <c r="A6429" s="22"/>
      <c r="B6429" s="23"/>
      <c r="C6429" s="23"/>
      <c r="D6429" s="23"/>
      <c r="E6429" s="23"/>
    </row>
    <row r="6430" spans="1:5" x14ac:dyDescent="0.25">
      <c r="A6430" s="22"/>
      <c r="B6430" s="23"/>
      <c r="C6430" s="23"/>
      <c r="D6430" s="23"/>
      <c r="E6430" s="23"/>
    </row>
    <row r="6431" spans="1:5" x14ac:dyDescent="0.25">
      <c r="A6431" s="22"/>
      <c r="B6431" s="23"/>
      <c r="C6431" s="23"/>
      <c r="D6431" s="23"/>
      <c r="E6431" s="23"/>
    </row>
    <row r="6432" spans="1:5" x14ac:dyDescent="0.25">
      <c r="A6432" s="22"/>
      <c r="B6432" s="23"/>
      <c r="C6432" s="23"/>
      <c r="D6432" s="23"/>
      <c r="E6432" s="23"/>
    </row>
    <row r="6433" spans="1:5" x14ac:dyDescent="0.25">
      <c r="A6433" s="22"/>
      <c r="B6433" s="23"/>
      <c r="C6433" s="23"/>
      <c r="D6433" s="23"/>
      <c r="E6433" s="23"/>
    </row>
    <row r="6434" spans="1:5" x14ac:dyDescent="0.25">
      <c r="A6434" s="22"/>
      <c r="B6434" s="23"/>
      <c r="C6434" s="23"/>
      <c r="D6434" s="23"/>
      <c r="E6434" s="23"/>
    </row>
    <row r="6435" spans="1:5" x14ac:dyDescent="0.25">
      <c r="A6435" s="22"/>
      <c r="B6435" s="23"/>
      <c r="C6435" s="23"/>
      <c r="D6435" s="23"/>
      <c r="E6435" s="23"/>
    </row>
    <row r="6436" spans="1:5" x14ac:dyDescent="0.25">
      <c r="A6436" s="22"/>
      <c r="B6436" s="23"/>
      <c r="C6436" s="23"/>
      <c r="D6436" s="23"/>
      <c r="E6436" s="23"/>
    </row>
    <row r="6437" spans="1:5" x14ac:dyDescent="0.25">
      <c r="A6437" s="22"/>
      <c r="B6437" s="23"/>
      <c r="C6437" s="23"/>
      <c r="D6437" s="23"/>
      <c r="E6437" s="23"/>
    </row>
    <row r="6438" spans="1:5" x14ac:dyDescent="0.25">
      <c r="A6438" s="22"/>
      <c r="B6438" s="23"/>
      <c r="C6438" s="23"/>
      <c r="D6438" s="23"/>
      <c r="E6438" s="23"/>
    </row>
    <row r="6439" spans="1:5" x14ac:dyDescent="0.25">
      <c r="A6439" s="22"/>
      <c r="B6439" s="23"/>
      <c r="C6439" s="23"/>
      <c r="D6439" s="23"/>
      <c r="E6439" s="23"/>
    </row>
    <row r="6440" spans="1:5" x14ac:dyDescent="0.25">
      <c r="A6440" s="22"/>
      <c r="B6440" s="23"/>
      <c r="C6440" s="23"/>
      <c r="D6440" s="23"/>
      <c r="E6440" s="23"/>
    </row>
    <row r="6441" spans="1:5" x14ac:dyDescent="0.25">
      <c r="A6441" s="22"/>
      <c r="B6441" s="23"/>
      <c r="C6441" s="23"/>
      <c r="D6441" s="23"/>
      <c r="E6441" s="23"/>
    </row>
    <row r="6442" spans="1:5" x14ac:dyDescent="0.25">
      <c r="A6442" s="22"/>
      <c r="B6442" s="23"/>
      <c r="C6442" s="23"/>
      <c r="D6442" s="23"/>
      <c r="E6442" s="23"/>
    </row>
    <row r="6443" spans="1:5" x14ac:dyDescent="0.25">
      <c r="A6443" s="22"/>
      <c r="B6443" s="23"/>
      <c r="C6443" s="23"/>
      <c r="D6443" s="23"/>
      <c r="E6443" s="23"/>
    </row>
    <row r="6444" spans="1:5" x14ac:dyDescent="0.25">
      <c r="A6444" s="22"/>
      <c r="B6444" s="23"/>
      <c r="C6444" s="23"/>
      <c r="D6444" s="23"/>
      <c r="E6444" s="23"/>
    </row>
    <row r="6445" spans="1:5" x14ac:dyDescent="0.25">
      <c r="A6445" s="22"/>
      <c r="B6445" s="23"/>
      <c r="C6445" s="23"/>
      <c r="D6445" s="23"/>
      <c r="E6445" s="23"/>
    </row>
    <row r="6446" spans="1:5" x14ac:dyDescent="0.25">
      <c r="A6446" s="22"/>
      <c r="B6446" s="23"/>
      <c r="C6446" s="23"/>
      <c r="D6446" s="23"/>
      <c r="E6446" s="23"/>
    </row>
    <row r="6447" spans="1:5" x14ac:dyDescent="0.25">
      <c r="A6447" s="22"/>
      <c r="B6447" s="23"/>
      <c r="C6447" s="23"/>
      <c r="D6447" s="23"/>
      <c r="E6447" s="23"/>
    </row>
    <row r="6448" spans="1:5" x14ac:dyDescent="0.25">
      <c r="A6448" s="22"/>
      <c r="B6448" s="23"/>
      <c r="C6448" s="23"/>
      <c r="D6448" s="23"/>
      <c r="E6448" s="23"/>
    </row>
    <row r="6449" spans="1:5" x14ac:dyDescent="0.25">
      <c r="A6449" s="22"/>
      <c r="B6449" s="23"/>
      <c r="C6449" s="23"/>
      <c r="D6449" s="23"/>
      <c r="E6449" s="23"/>
    </row>
    <row r="6450" spans="1:5" x14ac:dyDescent="0.25">
      <c r="A6450" s="22"/>
      <c r="B6450" s="23"/>
      <c r="C6450" s="23"/>
      <c r="D6450" s="23"/>
      <c r="E6450" s="23"/>
    </row>
    <row r="6451" spans="1:5" x14ac:dyDescent="0.25">
      <c r="A6451" s="22"/>
      <c r="B6451" s="23"/>
      <c r="C6451" s="23"/>
      <c r="D6451" s="23"/>
      <c r="E6451" s="23"/>
    </row>
    <row r="6452" spans="1:5" x14ac:dyDescent="0.25">
      <c r="A6452" s="22"/>
      <c r="B6452" s="23"/>
      <c r="C6452" s="23"/>
      <c r="D6452" s="23"/>
      <c r="E6452" s="23"/>
    </row>
    <row r="6453" spans="1:5" x14ac:dyDescent="0.25">
      <c r="A6453" s="22"/>
      <c r="B6453" s="23"/>
      <c r="C6453" s="23"/>
      <c r="D6453" s="23"/>
      <c r="E6453" s="23"/>
    </row>
    <row r="6454" spans="1:5" x14ac:dyDescent="0.25">
      <c r="A6454" s="22"/>
      <c r="B6454" s="23"/>
      <c r="C6454" s="23"/>
      <c r="D6454" s="23"/>
      <c r="E6454" s="23"/>
    </row>
    <row r="6455" spans="1:5" x14ac:dyDescent="0.25">
      <c r="A6455" s="22"/>
      <c r="B6455" s="23"/>
      <c r="C6455" s="23"/>
      <c r="D6455" s="23"/>
      <c r="E6455" s="23"/>
    </row>
    <row r="6456" spans="1:5" x14ac:dyDescent="0.25">
      <c r="A6456" s="22"/>
      <c r="B6456" s="23"/>
      <c r="C6456" s="23"/>
      <c r="D6456" s="23"/>
      <c r="E6456" s="23"/>
    </row>
    <row r="6457" spans="1:5" x14ac:dyDescent="0.25">
      <c r="A6457" s="22"/>
      <c r="B6457" s="23"/>
      <c r="C6457" s="23"/>
      <c r="D6457" s="23"/>
      <c r="E6457" s="23"/>
    </row>
    <row r="6458" spans="1:5" x14ac:dyDescent="0.25">
      <c r="A6458" s="22"/>
      <c r="B6458" s="23"/>
      <c r="C6458" s="23"/>
      <c r="D6458" s="23"/>
      <c r="E6458" s="23"/>
    </row>
    <row r="6459" spans="1:5" x14ac:dyDescent="0.25">
      <c r="A6459" s="22"/>
      <c r="B6459" s="23"/>
      <c r="C6459" s="23"/>
      <c r="D6459" s="23"/>
      <c r="E6459" s="23"/>
    </row>
    <row r="6460" spans="1:5" x14ac:dyDescent="0.25">
      <c r="A6460" s="22"/>
      <c r="B6460" s="23"/>
      <c r="C6460" s="23"/>
      <c r="D6460" s="23"/>
      <c r="E6460" s="23"/>
    </row>
    <row r="6461" spans="1:5" x14ac:dyDescent="0.25">
      <c r="A6461" s="22"/>
      <c r="B6461" s="23"/>
      <c r="C6461" s="23"/>
      <c r="D6461" s="23"/>
      <c r="E6461" s="23"/>
    </row>
    <row r="6462" spans="1:5" x14ac:dyDescent="0.25">
      <c r="A6462" s="22"/>
      <c r="B6462" s="23"/>
      <c r="C6462" s="23"/>
      <c r="D6462" s="23"/>
      <c r="E6462" s="23"/>
    </row>
    <row r="6463" spans="1:5" x14ac:dyDescent="0.25">
      <c r="A6463" s="22"/>
      <c r="B6463" s="23"/>
      <c r="C6463" s="23"/>
      <c r="D6463" s="23"/>
      <c r="E6463" s="23"/>
    </row>
    <row r="6464" spans="1:5" x14ac:dyDescent="0.25">
      <c r="A6464" s="22"/>
      <c r="B6464" s="23"/>
      <c r="C6464" s="23"/>
      <c r="D6464" s="23"/>
      <c r="E6464" s="23"/>
    </row>
    <row r="6465" spans="1:5" x14ac:dyDescent="0.25">
      <c r="A6465" s="22"/>
      <c r="B6465" s="23"/>
      <c r="C6465" s="23"/>
      <c r="D6465" s="23"/>
      <c r="E6465" s="23"/>
    </row>
    <row r="6466" spans="1:5" x14ac:dyDescent="0.25">
      <c r="A6466" s="22"/>
      <c r="B6466" s="23"/>
      <c r="C6466" s="23"/>
      <c r="D6466" s="23"/>
      <c r="E6466" s="23"/>
    </row>
    <row r="6467" spans="1:5" x14ac:dyDescent="0.25">
      <c r="A6467" s="22"/>
      <c r="B6467" s="23"/>
      <c r="C6467" s="23"/>
      <c r="D6467" s="23"/>
      <c r="E6467" s="23"/>
    </row>
    <row r="6468" spans="1:5" x14ac:dyDescent="0.25">
      <c r="A6468" s="22"/>
      <c r="B6468" s="23"/>
      <c r="C6468" s="23"/>
      <c r="D6468" s="23"/>
      <c r="E6468" s="23"/>
    </row>
    <row r="6469" spans="1:5" x14ac:dyDescent="0.25">
      <c r="A6469" s="22"/>
      <c r="B6469" s="23"/>
      <c r="C6469" s="23"/>
      <c r="D6469" s="23"/>
      <c r="E6469" s="23"/>
    </row>
    <row r="6470" spans="1:5" x14ac:dyDescent="0.25">
      <c r="A6470" s="22"/>
      <c r="B6470" s="23"/>
      <c r="C6470" s="23"/>
      <c r="D6470" s="23"/>
      <c r="E6470" s="23"/>
    </row>
    <row r="6471" spans="1:5" x14ac:dyDescent="0.25">
      <c r="A6471" s="22"/>
      <c r="B6471" s="23"/>
      <c r="C6471" s="23"/>
      <c r="D6471" s="23"/>
      <c r="E6471" s="23"/>
    </row>
    <row r="6472" spans="1:5" x14ac:dyDescent="0.25">
      <c r="A6472" s="22"/>
      <c r="B6472" s="23"/>
      <c r="C6472" s="23"/>
      <c r="D6472" s="23"/>
      <c r="E6472" s="23"/>
    </row>
    <row r="6473" spans="1:5" x14ac:dyDescent="0.25">
      <c r="A6473" s="22"/>
      <c r="B6473" s="23"/>
      <c r="C6473" s="23"/>
      <c r="D6473" s="23"/>
      <c r="E6473" s="23"/>
    </row>
    <row r="6474" spans="1:5" x14ac:dyDescent="0.25">
      <c r="A6474" s="22"/>
      <c r="B6474" s="23"/>
      <c r="C6474" s="23"/>
      <c r="D6474" s="23"/>
      <c r="E6474" s="23"/>
    </row>
    <row r="6475" spans="1:5" x14ac:dyDescent="0.25">
      <c r="A6475" s="22"/>
      <c r="B6475" s="23"/>
      <c r="C6475" s="23"/>
      <c r="D6475" s="23"/>
      <c r="E6475" s="23"/>
    </row>
    <row r="6476" spans="1:5" x14ac:dyDescent="0.25">
      <c r="A6476" s="22"/>
      <c r="B6476" s="23"/>
      <c r="C6476" s="23"/>
      <c r="D6476" s="23"/>
      <c r="E6476" s="23"/>
    </row>
    <row r="6477" spans="1:5" x14ac:dyDescent="0.25">
      <c r="A6477" s="22"/>
      <c r="B6477" s="23"/>
      <c r="C6477" s="23"/>
      <c r="D6477" s="23"/>
      <c r="E6477" s="23"/>
    </row>
    <row r="6478" spans="1:5" x14ac:dyDescent="0.25">
      <c r="A6478" s="22"/>
      <c r="B6478" s="23"/>
      <c r="C6478" s="23"/>
      <c r="D6478" s="23"/>
      <c r="E6478" s="23"/>
    </row>
    <row r="6479" spans="1:5" x14ac:dyDescent="0.25">
      <c r="A6479" s="22"/>
      <c r="B6479" s="23"/>
      <c r="C6479" s="23"/>
      <c r="D6479" s="23"/>
      <c r="E6479" s="23"/>
    </row>
    <row r="6480" spans="1:5" x14ac:dyDescent="0.25">
      <c r="A6480" s="22"/>
      <c r="B6480" s="23"/>
      <c r="C6480" s="23"/>
      <c r="D6480" s="23"/>
      <c r="E6480" s="23"/>
    </row>
    <row r="6481" spans="1:5" x14ac:dyDescent="0.25">
      <c r="A6481" s="22"/>
      <c r="B6481" s="23"/>
      <c r="C6481" s="23"/>
      <c r="D6481" s="23"/>
      <c r="E6481" s="23"/>
    </row>
    <row r="6482" spans="1:5" x14ac:dyDescent="0.25">
      <c r="A6482" s="22"/>
      <c r="B6482" s="23"/>
      <c r="C6482" s="23"/>
      <c r="D6482" s="23"/>
      <c r="E6482" s="23"/>
    </row>
    <row r="6483" spans="1:5" x14ac:dyDescent="0.25">
      <c r="A6483" s="22"/>
      <c r="B6483" s="23"/>
      <c r="C6483" s="23"/>
      <c r="D6483" s="23"/>
      <c r="E6483" s="23"/>
    </row>
    <row r="6484" spans="1:5" x14ac:dyDescent="0.25">
      <c r="A6484" s="22"/>
      <c r="B6484" s="23"/>
      <c r="C6484" s="23"/>
      <c r="D6484" s="23"/>
      <c r="E6484" s="23"/>
    </row>
    <row r="6485" spans="1:5" x14ac:dyDescent="0.25">
      <c r="A6485" s="22"/>
      <c r="B6485" s="23"/>
      <c r="C6485" s="23"/>
      <c r="D6485" s="23"/>
      <c r="E6485" s="23"/>
    </row>
    <row r="6486" spans="1:5" x14ac:dyDescent="0.25">
      <c r="A6486" s="22"/>
      <c r="B6486" s="23"/>
      <c r="C6486" s="23"/>
      <c r="D6486" s="23"/>
      <c r="E6486" s="23"/>
    </row>
    <row r="6487" spans="1:5" x14ac:dyDescent="0.25">
      <c r="A6487" s="22"/>
      <c r="B6487" s="23"/>
      <c r="C6487" s="23"/>
      <c r="D6487" s="23"/>
      <c r="E6487" s="23"/>
    </row>
    <row r="6488" spans="1:5" x14ac:dyDescent="0.25">
      <c r="A6488" s="22"/>
      <c r="B6488" s="23"/>
      <c r="C6488" s="23"/>
      <c r="D6488" s="23"/>
      <c r="E6488" s="23"/>
    </row>
    <row r="6489" spans="1:5" x14ac:dyDescent="0.25">
      <c r="A6489" s="22"/>
      <c r="B6489" s="23"/>
      <c r="C6489" s="23"/>
      <c r="D6489" s="23"/>
      <c r="E6489" s="23"/>
    </row>
    <row r="6490" spans="1:5" x14ac:dyDescent="0.25">
      <c r="A6490" s="22"/>
      <c r="B6490" s="23"/>
      <c r="C6490" s="23"/>
      <c r="D6490" s="23"/>
      <c r="E6490" s="23"/>
    </row>
    <row r="6491" spans="1:5" x14ac:dyDescent="0.25">
      <c r="A6491" s="22"/>
      <c r="B6491" s="23"/>
      <c r="C6491" s="23"/>
      <c r="D6491" s="23"/>
      <c r="E6491" s="23"/>
    </row>
    <row r="6492" spans="1:5" x14ac:dyDescent="0.25">
      <c r="A6492" s="22"/>
      <c r="B6492" s="23"/>
      <c r="C6492" s="23"/>
      <c r="D6492" s="23"/>
      <c r="E6492" s="23"/>
    </row>
    <row r="6493" spans="1:5" x14ac:dyDescent="0.25">
      <c r="A6493" s="22"/>
      <c r="B6493" s="23"/>
      <c r="C6493" s="23"/>
      <c r="D6493" s="23"/>
      <c r="E6493" s="23"/>
    </row>
    <row r="6494" spans="1:5" x14ac:dyDescent="0.25">
      <c r="A6494" s="22"/>
      <c r="B6494" s="23"/>
      <c r="C6494" s="23"/>
      <c r="D6494" s="23"/>
      <c r="E6494" s="23"/>
    </row>
    <row r="6495" spans="1:5" x14ac:dyDescent="0.25">
      <c r="A6495" s="22"/>
      <c r="B6495" s="23"/>
      <c r="C6495" s="23"/>
      <c r="D6495" s="23"/>
      <c r="E6495" s="23"/>
    </row>
    <row r="6496" spans="1:5" x14ac:dyDescent="0.25">
      <c r="A6496" s="22"/>
      <c r="B6496" s="23"/>
      <c r="C6496" s="23"/>
      <c r="D6496" s="23"/>
      <c r="E6496" s="23"/>
    </row>
    <row r="6497" spans="1:5" x14ac:dyDescent="0.25">
      <c r="A6497" s="22"/>
      <c r="B6497" s="23"/>
      <c r="C6497" s="23"/>
      <c r="D6497" s="23"/>
      <c r="E6497" s="23"/>
    </row>
    <row r="6498" spans="1:5" x14ac:dyDescent="0.25">
      <c r="A6498" s="22"/>
      <c r="B6498" s="23"/>
      <c r="C6498" s="23"/>
      <c r="D6498" s="23"/>
      <c r="E6498" s="23"/>
    </row>
    <row r="6499" spans="1:5" x14ac:dyDescent="0.25">
      <c r="A6499" s="22"/>
      <c r="B6499" s="23"/>
      <c r="C6499" s="23"/>
      <c r="D6499" s="23"/>
      <c r="E6499" s="23"/>
    </row>
    <row r="6500" spans="1:5" x14ac:dyDescent="0.25">
      <c r="A6500" s="22"/>
      <c r="B6500" s="23"/>
      <c r="C6500" s="23"/>
      <c r="D6500" s="23"/>
      <c r="E6500" s="23"/>
    </row>
    <row r="6501" spans="1:5" x14ac:dyDescent="0.25">
      <c r="A6501" s="22"/>
      <c r="B6501" s="23"/>
      <c r="C6501" s="23"/>
      <c r="D6501" s="23"/>
      <c r="E6501" s="23"/>
    </row>
    <row r="6502" spans="1:5" x14ac:dyDescent="0.25">
      <c r="A6502" s="22"/>
      <c r="B6502" s="23"/>
      <c r="C6502" s="23"/>
      <c r="D6502" s="23"/>
      <c r="E6502" s="23"/>
    </row>
    <row r="6503" spans="1:5" x14ac:dyDescent="0.25">
      <c r="A6503" s="22"/>
      <c r="B6503" s="23"/>
      <c r="C6503" s="23"/>
      <c r="D6503" s="23"/>
      <c r="E6503" s="23"/>
    </row>
    <row r="6504" spans="1:5" x14ac:dyDescent="0.25">
      <c r="A6504" s="22"/>
      <c r="B6504" s="23"/>
      <c r="C6504" s="23"/>
      <c r="D6504" s="23"/>
      <c r="E6504" s="23"/>
    </row>
    <row r="6505" spans="1:5" x14ac:dyDescent="0.25">
      <c r="A6505" s="22"/>
      <c r="B6505" s="23"/>
      <c r="C6505" s="23"/>
      <c r="D6505" s="23"/>
      <c r="E6505" s="23"/>
    </row>
    <row r="6506" spans="1:5" x14ac:dyDescent="0.25">
      <c r="A6506" s="22"/>
      <c r="B6506" s="23"/>
      <c r="C6506" s="23"/>
      <c r="D6506" s="23"/>
      <c r="E6506" s="23"/>
    </row>
    <row r="6507" spans="1:5" x14ac:dyDescent="0.25">
      <c r="A6507" s="22"/>
      <c r="B6507" s="23"/>
      <c r="C6507" s="23"/>
      <c r="D6507" s="23"/>
      <c r="E6507" s="23"/>
    </row>
    <row r="6508" spans="1:5" x14ac:dyDescent="0.25">
      <c r="A6508" s="22"/>
      <c r="B6508" s="23"/>
      <c r="C6508" s="23"/>
      <c r="D6508" s="23"/>
      <c r="E6508" s="23"/>
    </row>
    <row r="6509" spans="1:5" x14ac:dyDescent="0.25">
      <c r="A6509" s="22"/>
      <c r="B6509" s="23"/>
      <c r="C6509" s="23"/>
      <c r="D6509" s="23"/>
      <c r="E6509" s="23"/>
    </row>
    <row r="6510" spans="1:5" x14ac:dyDescent="0.25">
      <c r="A6510" s="22"/>
      <c r="B6510" s="23"/>
      <c r="C6510" s="23"/>
      <c r="D6510" s="23"/>
      <c r="E6510" s="23"/>
    </row>
    <row r="6511" spans="1:5" x14ac:dyDescent="0.25">
      <c r="A6511" s="22"/>
      <c r="B6511" s="23"/>
      <c r="C6511" s="23"/>
      <c r="D6511" s="23"/>
      <c r="E6511" s="23"/>
    </row>
    <row r="6512" spans="1:5" x14ac:dyDescent="0.25">
      <c r="A6512" s="22"/>
      <c r="B6512" s="23"/>
      <c r="C6512" s="23"/>
      <c r="D6512" s="23"/>
      <c r="E6512" s="23"/>
    </row>
    <row r="6513" spans="1:5" x14ac:dyDescent="0.25">
      <c r="A6513" s="22"/>
      <c r="B6513" s="23"/>
      <c r="C6513" s="23"/>
      <c r="D6513" s="23"/>
      <c r="E6513" s="23"/>
    </row>
    <row r="6514" spans="1:5" x14ac:dyDescent="0.25">
      <c r="A6514" s="22"/>
      <c r="B6514" s="23"/>
      <c r="C6514" s="23"/>
      <c r="D6514" s="23"/>
      <c r="E6514" s="23"/>
    </row>
    <row r="6515" spans="1:5" x14ac:dyDescent="0.25">
      <c r="A6515" s="22"/>
      <c r="B6515" s="23"/>
      <c r="C6515" s="23"/>
      <c r="D6515" s="23"/>
      <c r="E6515" s="23"/>
    </row>
    <row r="6516" spans="1:5" x14ac:dyDescent="0.25">
      <c r="A6516" s="22"/>
      <c r="B6516" s="23"/>
      <c r="C6516" s="23"/>
      <c r="D6516" s="23"/>
      <c r="E6516" s="23"/>
    </row>
    <row r="6517" spans="1:5" x14ac:dyDescent="0.25">
      <c r="A6517" s="22"/>
      <c r="B6517" s="23"/>
      <c r="C6517" s="23"/>
      <c r="D6517" s="23"/>
      <c r="E6517" s="23"/>
    </row>
    <row r="6518" spans="1:5" x14ac:dyDescent="0.25">
      <c r="A6518" s="22"/>
      <c r="B6518" s="23"/>
      <c r="C6518" s="23"/>
      <c r="D6518" s="23"/>
      <c r="E6518" s="23"/>
    </row>
    <row r="6519" spans="1:5" x14ac:dyDescent="0.25">
      <c r="A6519" s="22"/>
      <c r="B6519" s="23"/>
      <c r="C6519" s="23"/>
      <c r="D6519" s="23"/>
      <c r="E6519" s="23"/>
    </row>
    <row r="6520" spans="1:5" x14ac:dyDescent="0.25">
      <c r="A6520" s="22"/>
      <c r="B6520" s="23"/>
      <c r="C6520" s="23"/>
      <c r="D6520" s="23"/>
      <c r="E6520" s="23"/>
    </row>
    <row r="6521" spans="1:5" x14ac:dyDescent="0.25">
      <c r="A6521" s="22"/>
      <c r="B6521" s="23"/>
      <c r="C6521" s="23"/>
      <c r="D6521" s="23"/>
      <c r="E6521" s="23"/>
    </row>
    <row r="6522" spans="1:5" x14ac:dyDescent="0.25">
      <c r="A6522" s="22"/>
      <c r="B6522" s="23"/>
      <c r="C6522" s="23"/>
      <c r="D6522" s="23"/>
      <c r="E6522" s="23"/>
    </row>
    <row r="6523" spans="1:5" x14ac:dyDescent="0.25">
      <c r="A6523" s="22"/>
      <c r="B6523" s="23"/>
      <c r="C6523" s="23"/>
      <c r="D6523" s="23"/>
      <c r="E6523" s="23"/>
    </row>
    <row r="6524" spans="1:5" x14ac:dyDescent="0.25">
      <c r="A6524" s="22"/>
      <c r="B6524" s="23"/>
      <c r="C6524" s="23"/>
      <c r="D6524" s="23"/>
      <c r="E6524" s="23"/>
    </row>
    <row r="6525" spans="1:5" x14ac:dyDescent="0.25">
      <c r="A6525" s="22"/>
      <c r="B6525" s="23"/>
      <c r="C6525" s="23"/>
      <c r="D6525" s="23"/>
      <c r="E6525" s="23"/>
    </row>
    <row r="6526" spans="1:5" x14ac:dyDescent="0.25">
      <c r="A6526" s="22"/>
      <c r="B6526" s="23"/>
      <c r="C6526" s="23"/>
      <c r="D6526" s="23"/>
      <c r="E6526" s="23"/>
    </row>
    <row r="6527" spans="1:5" x14ac:dyDescent="0.25">
      <c r="A6527" s="22"/>
      <c r="B6527" s="23"/>
      <c r="C6527" s="23"/>
      <c r="D6527" s="23"/>
      <c r="E6527" s="23"/>
    </row>
    <row r="6528" spans="1:5" x14ac:dyDescent="0.25">
      <c r="A6528" s="22"/>
      <c r="B6528" s="23"/>
      <c r="C6528" s="23"/>
      <c r="D6528" s="23"/>
      <c r="E6528" s="23"/>
    </row>
    <row r="6529" spans="1:5" x14ac:dyDescent="0.25">
      <c r="A6529" s="22"/>
      <c r="B6529" s="23"/>
      <c r="C6529" s="23"/>
      <c r="D6529" s="23"/>
      <c r="E6529" s="23"/>
    </row>
    <row r="6530" spans="1:5" x14ac:dyDescent="0.25">
      <c r="A6530" s="22"/>
      <c r="B6530" s="23"/>
      <c r="C6530" s="23"/>
      <c r="D6530" s="23"/>
      <c r="E6530" s="23"/>
    </row>
    <row r="6531" spans="1:5" x14ac:dyDescent="0.25">
      <c r="A6531" s="22"/>
      <c r="B6531" s="23"/>
      <c r="C6531" s="23"/>
      <c r="D6531" s="23"/>
      <c r="E6531" s="23"/>
    </row>
    <row r="6532" spans="1:5" x14ac:dyDescent="0.25">
      <c r="A6532" s="22"/>
      <c r="B6532" s="23"/>
      <c r="C6532" s="23"/>
      <c r="D6532" s="23"/>
      <c r="E6532" s="23"/>
    </row>
    <row r="6533" spans="1:5" x14ac:dyDescent="0.25">
      <c r="A6533" s="22"/>
      <c r="B6533" s="23"/>
      <c r="C6533" s="23"/>
      <c r="D6533" s="23"/>
      <c r="E6533" s="23"/>
    </row>
    <row r="6534" spans="1:5" x14ac:dyDescent="0.25">
      <c r="A6534" s="22"/>
      <c r="B6534" s="23"/>
      <c r="C6534" s="23"/>
      <c r="D6534" s="23"/>
      <c r="E6534" s="23"/>
    </row>
    <row r="6535" spans="1:5" x14ac:dyDescent="0.25">
      <c r="A6535" s="22"/>
      <c r="B6535" s="23"/>
      <c r="C6535" s="23"/>
      <c r="D6535" s="23"/>
      <c r="E6535" s="23"/>
    </row>
    <row r="6536" spans="1:5" x14ac:dyDescent="0.25">
      <c r="A6536" s="22"/>
      <c r="B6536" s="23"/>
      <c r="C6536" s="23"/>
      <c r="D6536" s="23"/>
      <c r="E6536" s="23"/>
    </row>
    <row r="6537" spans="1:5" x14ac:dyDescent="0.25">
      <c r="A6537" s="22"/>
      <c r="B6537" s="23"/>
      <c r="C6537" s="23"/>
      <c r="D6537" s="23"/>
      <c r="E6537" s="23"/>
    </row>
    <row r="6538" spans="1:5" x14ac:dyDescent="0.25">
      <c r="A6538" s="22"/>
      <c r="B6538" s="23"/>
      <c r="C6538" s="23"/>
      <c r="D6538" s="23"/>
      <c r="E6538" s="23"/>
    </row>
    <row r="6539" spans="1:5" x14ac:dyDescent="0.25">
      <c r="A6539" s="22"/>
      <c r="B6539" s="23"/>
      <c r="C6539" s="23"/>
      <c r="D6539" s="23"/>
      <c r="E6539" s="23"/>
    </row>
    <row r="6540" spans="1:5" x14ac:dyDescent="0.25">
      <c r="A6540" s="22"/>
      <c r="B6540" s="23"/>
      <c r="C6540" s="23"/>
      <c r="D6540" s="23"/>
      <c r="E6540" s="23"/>
    </row>
    <row r="6541" spans="1:5" x14ac:dyDescent="0.25">
      <c r="A6541" s="22"/>
      <c r="B6541" s="23"/>
      <c r="C6541" s="23"/>
      <c r="D6541" s="23"/>
      <c r="E6541" s="23"/>
    </row>
    <row r="6542" spans="1:5" x14ac:dyDescent="0.25">
      <c r="A6542" s="22"/>
      <c r="B6542" s="23"/>
      <c r="C6542" s="23"/>
      <c r="D6542" s="23"/>
      <c r="E6542" s="23"/>
    </row>
    <row r="6543" spans="1:5" x14ac:dyDescent="0.25">
      <c r="A6543" s="22"/>
      <c r="B6543" s="23"/>
      <c r="C6543" s="23"/>
      <c r="D6543" s="23"/>
      <c r="E6543" s="23"/>
    </row>
    <row r="6544" spans="1:5" x14ac:dyDescent="0.25">
      <c r="A6544" s="22"/>
      <c r="B6544" s="23"/>
      <c r="C6544" s="23"/>
      <c r="D6544" s="23"/>
      <c r="E6544" s="23"/>
    </row>
    <row r="6545" spans="1:5" x14ac:dyDescent="0.25">
      <c r="A6545" s="22"/>
      <c r="B6545" s="23"/>
      <c r="C6545" s="23"/>
      <c r="D6545" s="23"/>
      <c r="E6545" s="23"/>
    </row>
    <row r="6546" spans="1:5" x14ac:dyDescent="0.25">
      <c r="A6546" s="22"/>
      <c r="B6546" s="23"/>
      <c r="C6546" s="23"/>
      <c r="D6546" s="23"/>
      <c r="E6546" s="23"/>
    </row>
    <row r="6547" spans="1:5" x14ac:dyDescent="0.25">
      <c r="A6547" s="22"/>
      <c r="B6547" s="23"/>
      <c r="C6547" s="23"/>
      <c r="D6547" s="23"/>
      <c r="E6547" s="23"/>
    </row>
    <row r="6548" spans="1:5" x14ac:dyDescent="0.25">
      <c r="A6548" s="22"/>
      <c r="B6548" s="23"/>
      <c r="C6548" s="23"/>
      <c r="D6548" s="23"/>
      <c r="E6548" s="23"/>
    </row>
    <row r="6549" spans="1:5" x14ac:dyDescent="0.25">
      <c r="A6549" s="22"/>
      <c r="B6549" s="23"/>
      <c r="C6549" s="23"/>
      <c r="D6549" s="23"/>
      <c r="E6549" s="23"/>
    </row>
    <row r="6550" spans="1:5" x14ac:dyDescent="0.25">
      <c r="A6550" s="22"/>
      <c r="B6550" s="23"/>
      <c r="C6550" s="23"/>
      <c r="D6550" s="23"/>
      <c r="E6550" s="23"/>
    </row>
    <row r="6551" spans="1:5" x14ac:dyDescent="0.25">
      <c r="A6551" s="22"/>
      <c r="B6551" s="23"/>
      <c r="C6551" s="23"/>
      <c r="D6551" s="23"/>
      <c r="E6551" s="23"/>
    </row>
    <row r="6552" spans="1:5" x14ac:dyDescent="0.25">
      <c r="A6552" s="22"/>
      <c r="B6552" s="23"/>
      <c r="C6552" s="23"/>
      <c r="D6552" s="23"/>
      <c r="E6552" s="23"/>
    </row>
    <row r="6553" spans="1:5" x14ac:dyDescent="0.25">
      <c r="A6553" s="22"/>
      <c r="B6553" s="23"/>
      <c r="C6553" s="23"/>
      <c r="D6553" s="23"/>
      <c r="E6553" s="23"/>
    </row>
    <row r="6554" spans="1:5" x14ac:dyDescent="0.25">
      <c r="A6554" s="22"/>
      <c r="B6554" s="23"/>
      <c r="C6554" s="23"/>
      <c r="D6554" s="23"/>
      <c r="E6554" s="23"/>
    </row>
    <row r="6555" spans="1:5" x14ac:dyDescent="0.25">
      <c r="A6555" s="22"/>
      <c r="B6555" s="23"/>
      <c r="C6555" s="23"/>
      <c r="D6555" s="23"/>
      <c r="E6555" s="23"/>
    </row>
    <row r="6556" spans="1:5" x14ac:dyDescent="0.25">
      <c r="A6556" s="22"/>
      <c r="B6556" s="23"/>
      <c r="C6556" s="23"/>
      <c r="D6556" s="23"/>
      <c r="E6556" s="23"/>
    </row>
    <row r="6557" spans="1:5" x14ac:dyDescent="0.25">
      <c r="A6557" s="22"/>
      <c r="B6557" s="23"/>
      <c r="C6557" s="23"/>
      <c r="D6557" s="23"/>
      <c r="E6557" s="23"/>
    </row>
    <row r="6558" spans="1:5" x14ac:dyDescent="0.25">
      <c r="A6558" s="22"/>
      <c r="B6558" s="23"/>
      <c r="C6558" s="23"/>
      <c r="D6558" s="23"/>
      <c r="E6558" s="23"/>
    </row>
    <row r="6559" spans="1:5" x14ac:dyDescent="0.25">
      <c r="A6559" s="22"/>
      <c r="B6559" s="23"/>
      <c r="C6559" s="23"/>
      <c r="D6559" s="23"/>
      <c r="E6559" s="23"/>
    </row>
    <row r="6560" spans="1:5" x14ac:dyDescent="0.25">
      <c r="A6560" s="22"/>
      <c r="B6560" s="23"/>
      <c r="C6560" s="23"/>
      <c r="D6560" s="23"/>
      <c r="E6560" s="23"/>
    </row>
    <row r="6561" spans="1:5" x14ac:dyDescent="0.25">
      <c r="A6561" s="22"/>
      <c r="B6561" s="23"/>
      <c r="C6561" s="23"/>
      <c r="D6561" s="23"/>
      <c r="E6561" s="23"/>
    </row>
    <row r="6562" spans="1:5" x14ac:dyDescent="0.25">
      <c r="A6562" s="22"/>
      <c r="B6562" s="23"/>
      <c r="C6562" s="23"/>
      <c r="D6562" s="23"/>
      <c r="E6562" s="23"/>
    </row>
    <row r="6563" spans="1:5" x14ac:dyDescent="0.25">
      <c r="A6563" s="22"/>
      <c r="B6563" s="23"/>
      <c r="C6563" s="23"/>
      <c r="D6563" s="23"/>
      <c r="E6563" s="23"/>
    </row>
    <row r="6564" spans="1:5" x14ac:dyDescent="0.25">
      <c r="A6564" s="22"/>
      <c r="B6564" s="23"/>
      <c r="C6564" s="23"/>
      <c r="D6564" s="23"/>
      <c r="E6564" s="23"/>
    </row>
    <row r="6565" spans="1:5" x14ac:dyDescent="0.25">
      <c r="A6565" s="22"/>
      <c r="B6565" s="23"/>
      <c r="C6565" s="23"/>
      <c r="D6565" s="23"/>
      <c r="E6565" s="23"/>
    </row>
    <row r="6566" spans="1:5" x14ac:dyDescent="0.25">
      <c r="A6566" s="22"/>
      <c r="B6566" s="23"/>
      <c r="C6566" s="23"/>
      <c r="D6566" s="23"/>
      <c r="E6566" s="23"/>
    </row>
    <row r="6567" spans="1:5" x14ac:dyDescent="0.25">
      <c r="A6567" s="22"/>
      <c r="B6567" s="23"/>
      <c r="C6567" s="23"/>
      <c r="D6567" s="23"/>
      <c r="E6567" s="23"/>
    </row>
    <row r="6568" spans="1:5" x14ac:dyDescent="0.25">
      <c r="A6568" s="22"/>
      <c r="B6568" s="23"/>
      <c r="C6568" s="23"/>
      <c r="D6568" s="23"/>
      <c r="E6568" s="23"/>
    </row>
    <row r="6569" spans="1:5" x14ac:dyDescent="0.25">
      <c r="A6569" s="22"/>
      <c r="B6569" s="23"/>
      <c r="C6569" s="23"/>
      <c r="D6569" s="23"/>
      <c r="E6569" s="23"/>
    </row>
    <row r="6570" spans="1:5" x14ac:dyDescent="0.25">
      <c r="A6570" s="22"/>
      <c r="B6570" s="23"/>
      <c r="C6570" s="23"/>
      <c r="D6570" s="23"/>
      <c r="E6570" s="23"/>
    </row>
    <row r="6571" spans="1:5" x14ac:dyDescent="0.25">
      <c r="A6571" s="22"/>
      <c r="B6571" s="23"/>
      <c r="C6571" s="23"/>
      <c r="D6571" s="23"/>
      <c r="E6571" s="23"/>
    </row>
    <row r="6572" spans="1:5" x14ac:dyDescent="0.25">
      <c r="A6572" s="22"/>
      <c r="B6572" s="23"/>
      <c r="C6572" s="23"/>
      <c r="D6572" s="23"/>
      <c r="E6572" s="23"/>
    </row>
    <row r="6573" spans="1:5" x14ac:dyDescent="0.25">
      <c r="A6573" s="22"/>
      <c r="B6573" s="23"/>
      <c r="C6573" s="23"/>
      <c r="D6573" s="23"/>
      <c r="E6573" s="23"/>
    </row>
    <row r="6574" spans="1:5" x14ac:dyDescent="0.25">
      <c r="A6574" s="22"/>
      <c r="B6574" s="23"/>
      <c r="C6574" s="23"/>
      <c r="D6574" s="23"/>
      <c r="E6574" s="23"/>
    </row>
    <row r="6575" spans="1:5" x14ac:dyDescent="0.25">
      <c r="A6575" s="22"/>
      <c r="B6575" s="23"/>
      <c r="C6575" s="23"/>
      <c r="D6575" s="23"/>
      <c r="E6575" s="23"/>
    </row>
    <row r="6576" spans="1:5" x14ac:dyDescent="0.25">
      <c r="A6576" s="22"/>
      <c r="B6576" s="23"/>
      <c r="C6576" s="23"/>
      <c r="D6576" s="23"/>
      <c r="E6576" s="23"/>
    </row>
    <row r="6577" spans="1:5" x14ac:dyDescent="0.25">
      <c r="A6577" s="22"/>
      <c r="B6577" s="23"/>
      <c r="C6577" s="23"/>
      <c r="D6577" s="23"/>
      <c r="E6577" s="23"/>
    </row>
    <row r="6578" spans="1:5" x14ac:dyDescent="0.25">
      <c r="A6578" s="22"/>
      <c r="B6578" s="23"/>
      <c r="C6578" s="23"/>
      <c r="D6578" s="23"/>
      <c r="E6578" s="23"/>
    </row>
    <row r="6579" spans="1:5" x14ac:dyDescent="0.25">
      <c r="A6579" s="22"/>
      <c r="B6579" s="23"/>
      <c r="C6579" s="23"/>
      <c r="D6579" s="23"/>
      <c r="E6579" s="23"/>
    </row>
    <row r="6580" spans="1:5" x14ac:dyDescent="0.25">
      <c r="A6580" s="22"/>
      <c r="B6580" s="23"/>
      <c r="C6580" s="23"/>
      <c r="D6580" s="23"/>
      <c r="E6580" s="23"/>
    </row>
    <row r="6581" spans="1:5" x14ac:dyDescent="0.25">
      <c r="A6581" s="22"/>
      <c r="B6581" s="23"/>
      <c r="C6581" s="23"/>
      <c r="D6581" s="23"/>
      <c r="E6581" s="23"/>
    </row>
    <row r="6582" spans="1:5" x14ac:dyDescent="0.25">
      <c r="A6582" s="22"/>
      <c r="B6582" s="23"/>
      <c r="C6582" s="23"/>
      <c r="D6582" s="23"/>
      <c r="E6582" s="23"/>
    </row>
    <row r="6583" spans="1:5" x14ac:dyDescent="0.25">
      <c r="A6583" s="22"/>
      <c r="B6583" s="23"/>
      <c r="C6583" s="23"/>
      <c r="D6583" s="23"/>
      <c r="E6583" s="23"/>
    </row>
    <row r="6584" spans="1:5" x14ac:dyDescent="0.25">
      <c r="A6584" s="22"/>
      <c r="B6584" s="23"/>
      <c r="C6584" s="23"/>
      <c r="D6584" s="23"/>
      <c r="E6584" s="23"/>
    </row>
    <row r="6585" spans="1:5" x14ac:dyDescent="0.25">
      <c r="A6585" s="22"/>
      <c r="B6585" s="23"/>
      <c r="C6585" s="23"/>
      <c r="D6585" s="23"/>
      <c r="E6585" s="23"/>
    </row>
    <row r="6586" spans="1:5" x14ac:dyDescent="0.25">
      <c r="A6586" s="22"/>
      <c r="B6586" s="23"/>
      <c r="C6586" s="23"/>
      <c r="D6586" s="23"/>
      <c r="E6586" s="23"/>
    </row>
    <row r="6587" spans="1:5" x14ac:dyDescent="0.25">
      <c r="A6587" s="22"/>
      <c r="B6587" s="23"/>
      <c r="C6587" s="23"/>
      <c r="D6587" s="23"/>
      <c r="E6587" s="23"/>
    </row>
    <row r="6588" spans="1:5" x14ac:dyDescent="0.25">
      <c r="A6588" s="22"/>
      <c r="B6588" s="23"/>
      <c r="C6588" s="23"/>
      <c r="D6588" s="23"/>
      <c r="E6588" s="23"/>
    </row>
    <row r="6589" spans="1:5" x14ac:dyDescent="0.25">
      <c r="A6589" s="22"/>
      <c r="B6589" s="23"/>
      <c r="C6589" s="23"/>
      <c r="D6589" s="23"/>
      <c r="E6589" s="23"/>
    </row>
    <row r="6590" spans="1:5" x14ac:dyDescent="0.25">
      <c r="A6590" s="22"/>
      <c r="B6590" s="23"/>
      <c r="C6590" s="23"/>
      <c r="D6590" s="23"/>
      <c r="E6590" s="23"/>
    </row>
    <row r="6591" spans="1:5" x14ac:dyDescent="0.25">
      <c r="A6591" s="22"/>
      <c r="B6591" s="23"/>
      <c r="C6591" s="23"/>
      <c r="D6591" s="23"/>
      <c r="E6591" s="23"/>
    </row>
    <row r="6592" spans="1:5" x14ac:dyDescent="0.25">
      <c r="A6592" s="22"/>
      <c r="B6592" s="23"/>
      <c r="C6592" s="23"/>
      <c r="D6592" s="23"/>
      <c r="E6592" s="23"/>
    </row>
    <row r="6593" spans="1:5" x14ac:dyDescent="0.25">
      <c r="A6593" s="22"/>
      <c r="B6593" s="23"/>
      <c r="C6593" s="23"/>
      <c r="D6593" s="23"/>
      <c r="E6593" s="23"/>
    </row>
    <row r="6594" spans="1:5" x14ac:dyDescent="0.25">
      <c r="A6594" s="22"/>
      <c r="B6594" s="23"/>
      <c r="C6594" s="23"/>
      <c r="D6594" s="23"/>
      <c r="E6594" s="23"/>
    </row>
    <row r="6595" spans="1:5" x14ac:dyDescent="0.25">
      <c r="A6595" s="22"/>
      <c r="B6595" s="23"/>
      <c r="C6595" s="23"/>
      <c r="D6595" s="23"/>
      <c r="E6595" s="23"/>
    </row>
    <row r="6596" spans="1:5" x14ac:dyDescent="0.25">
      <c r="A6596" s="22"/>
      <c r="B6596" s="23"/>
      <c r="C6596" s="23"/>
      <c r="D6596" s="23"/>
      <c r="E6596" s="23"/>
    </row>
    <row r="6597" spans="1:5" x14ac:dyDescent="0.25">
      <c r="A6597" s="22"/>
      <c r="B6597" s="23"/>
      <c r="C6597" s="23"/>
      <c r="D6597" s="23"/>
      <c r="E6597" s="23"/>
    </row>
    <row r="6598" spans="1:5" x14ac:dyDescent="0.25">
      <c r="A6598" s="22"/>
      <c r="B6598" s="23"/>
      <c r="C6598" s="23"/>
      <c r="D6598" s="23"/>
      <c r="E6598" s="23"/>
    </row>
    <row r="6599" spans="1:5" x14ac:dyDescent="0.25">
      <c r="A6599" s="22"/>
      <c r="B6599" s="23"/>
      <c r="C6599" s="23"/>
      <c r="D6599" s="23"/>
      <c r="E6599" s="23"/>
    </row>
    <row r="6600" spans="1:5" x14ac:dyDescent="0.25">
      <c r="A6600" s="22"/>
      <c r="B6600" s="23"/>
      <c r="C6600" s="23"/>
      <c r="D6600" s="23"/>
      <c r="E6600" s="23"/>
    </row>
    <row r="6601" spans="1:5" x14ac:dyDescent="0.25">
      <c r="A6601" s="22"/>
      <c r="B6601" s="23"/>
      <c r="C6601" s="23"/>
      <c r="D6601" s="23"/>
      <c r="E6601" s="23"/>
    </row>
    <row r="6602" spans="1:5" x14ac:dyDescent="0.25">
      <c r="A6602" s="22"/>
      <c r="B6602" s="23"/>
      <c r="C6602" s="23"/>
      <c r="D6602" s="23"/>
      <c r="E6602" s="23"/>
    </row>
    <row r="6603" spans="1:5" x14ac:dyDescent="0.25">
      <c r="A6603" s="22"/>
      <c r="B6603" s="23"/>
      <c r="C6603" s="23"/>
      <c r="D6603" s="23"/>
      <c r="E6603" s="23"/>
    </row>
    <row r="6604" spans="1:5" x14ac:dyDescent="0.25">
      <c r="A6604" s="22"/>
      <c r="B6604" s="23"/>
      <c r="C6604" s="23"/>
      <c r="D6604" s="23"/>
      <c r="E6604" s="23"/>
    </row>
    <row r="6605" spans="1:5" x14ac:dyDescent="0.25">
      <c r="A6605" s="22"/>
      <c r="B6605" s="23"/>
      <c r="C6605" s="23"/>
      <c r="D6605" s="23"/>
      <c r="E6605" s="23"/>
    </row>
    <row r="6606" spans="1:5" x14ac:dyDescent="0.25">
      <c r="A6606" s="22"/>
      <c r="B6606" s="23"/>
      <c r="C6606" s="23"/>
      <c r="D6606" s="23"/>
      <c r="E6606" s="23"/>
    </row>
    <row r="6607" spans="1:5" x14ac:dyDescent="0.25">
      <c r="A6607" s="22"/>
      <c r="B6607" s="23"/>
      <c r="C6607" s="23"/>
      <c r="D6607" s="23"/>
      <c r="E6607" s="23"/>
    </row>
    <row r="6608" spans="1:5" x14ac:dyDescent="0.25">
      <c r="A6608" s="22"/>
      <c r="B6608" s="23"/>
      <c r="C6608" s="23"/>
      <c r="D6608" s="23"/>
      <c r="E6608" s="23"/>
    </row>
    <row r="6609" spans="1:5" x14ac:dyDescent="0.25">
      <c r="A6609" s="22"/>
      <c r="B6609" s="23"/>
      <c r="C6609" s="23"/>
      <c r="D6609" s="23"/>
      <c r="E6609" s="23"/>
    </row>
    <row r="6610" spans="1:5" x14ac:dyDescent="0.25">
      <c r="A6610" s="22"/>
      <c r="B6610" s="23"/>
      <c r="C6610" s="23"/>
      <c r="D6610" s="23"/>
      <c r="E6610" s="23"/>
    </row>
    <row r="6611" spans="1:5" x14ac:dyDescent="0.25">
      <c r="A6611" s="22"/>
      <c r="B6611" s="23"/>
      <c r="C6611" s="23"/>
      <c r="D6611" s="23"/>
      <c r="E6611" s="23"/>
    </row>
    <row r="6612" spans="1:5" x14ac:dyDescent="0.25">
      <c r="A6612" s="22"/>
      <c r="B6612" s="23"/>
      <c r="C6612" s="23"/>
      <c r="D6612" s="23"/>
      <c r="E6612" s="23"/>
    </row>
    <row r="6613" spans="1:5" x14ac:dyDescent="0.25">
      <c r="A6613" s="22"/>
      <c r="B6613" s="23"/>
      <c r="C6613" s="23"/>
      <c r="D6613" s="23"/>
      <c r="E6613" s="23"/>
    </row>
    <row r="6614" spans="1:5" x14ac:dyDescent="0.25">
      <c r="A6614" s="22"/>
      <c r="B6614" s="23"/>
      <c r="C6614" s="23"/>
      <c r="D6614" s="23"/>
      <c r="E6614" s="23"/>
    </row>
    <row r="6615" spans="1:5" x14ac:dyDescent="0.25">
      <c r="A6615" s="22"/>
      <c r="B6615" s="23"/>
      <c r="C6615" s="23"/>
      <c r="D6615" s="23"/>
      <c r="E6615" s="23"/>
    </row>
    <row r="6616" spans="1:5" x14ac:dyDescent="0.25">
      <c r="A6616" s="22"/>
      <c r="B6616" s="23"/>
      <c r="C6616" s="23"/>
      <c r="D6616" s="23"/>
      <c r="E6616" s="23"/>
    </row>
    <row r="6617" spans="1:5" x14ac:dyDescent="0.25">
      <c r="A6617" s="22"/>
      <c r="B6617" s="23"/>
      <c r="C6617" s="23"/>
      <c r="D6617" s="23"/>
      <c r="E6617" s="23"/>
    </row>
    <row r="6618" spans="1:5" x14ac:dyDescent="0.25">
      <c r="A6618" s="22"/>
      <c r="B6618" s="23"/>
      <c r="C6618" s="23"/>
      <c r="D6618" s="23"/>
      <c r="E6618" s="23"/>
    </row>
    <row r="6619" spans="1:5" x14ac:dyDescent="0.25">
      <c r="A6619" s="22"/>
      <c r="B6619" s="23"/>
      <c r="C6619" s="23"/>
      <c r="D6619" s="23"/>
      <c r="E6619" s="23"/>
    </row>
    <row r="6620" spans="1:5" x14ac:dyDescent="0.25">
      <c r="A6620" s="22"/>
      <c r="B6620" s="23"/>
      <c r="C6620" s="23"/>
      <c r="D6620" s="23"/>
      <c r="E6620" s="23"/>
    </row>
    <row r="6621" spans="1:5" x14ac:dyDescent="0.25">
      <c r="A6621" s="22"/>
      <c r="B6621" s="23"/>
      <c r="C6621" s="23"/>
      <c r="D6621" s="23"/>
      <c r="E6621" s="23"/>
    </row>
    <row r="6622" spans="1:5" x14ac:dyDescent="0.25">
      <c r="A6622" s="22"/>
      <c r="B6622" s="23"/>
      <c r="C6622" s="23"/>
      <c r="D6622" s="23"/>
      <c r="E6622" s="23"/>
    </row>
    <row r="6623" spans="1:5" x14ac:dyDescent="0.25">
      <c r="A6623" s="22"/>
      <c r="B6623" s="23"/>
      <c r="C6623" s="23"/>
      <c r="D6623" s="23"/>
      <c r="E6623" s="23"/>
    </row>
    <row r="6624" spans="1:5" x14ac:dyDescent="0.25">
      <c r="A6624" s="22"/>
      <c r="B6624" s="23"/>
      <c r="C6624" s="23"/>
      <c r="D6624" s="23"/>
      <c r="E6624" s="23"/>
    </row>
    <row r="6625" spans="1:5" x14ac:dyDescent="0.25">
      <c r="A6625" s="22"/>
      <c r="B6625" s="23"/>
      <c r="C6625" s="23"/>
      <c r="D6625" s="23"/>
      <c r="E6625" s="23"/>
    </row>
    <row r="6626" spans="1:5" x14ac:dyDescent="0.25">
      <c r="A6626" s="22"/>
      <c r="B6626" s="23"/>
      <c r="C6626" s="23"/>
      <c r="D6626" s="23"/>
      <c r="E6626" s="23"/>
    </row>
    <row r="6627" spans="1:5" x14ac:dyDescent="0.25">
      <c r="A6627" s="22"/>
      <c r="B6627" s="23"/>
      <c r="C6627" s="23"/>
      <c r="D6627" s="23"/>
      <c r="E6627" s="23"/>
    </row>
    <row r="6628" spans="1:5" x14ac:dyDescent="0.25">
      <c r="A6628" s="22"/>
      <c r="B6628" s="23"/>
      <c r="C6628" s="23"/>
      <c r="D6628" s="23"/>
      <c r="E6628" s="23"/>
    </row>
    <row r="6629" spans="1:5" x14ac:dyDescent="0.25">
      <c r="A6629" s="22"/>
      <c r="B6629" s="23"/>
      <c r="C6629" s="23"/>
      <c r="D6629" s="23"/>
      <c r="E6629" s="23"/>
    </row>
    <row r="6630" spans="1:5" x14ac:dyDescent="0.25">
      <c r="A6630" s="22"/>
      <c r="B6630" s="23"/>
      <c r="C6630" s="23"/>
      <c r="D6630" s="23"/>
      <c r="E6630" s="23"/>
    </row>
    <row r="6631" spans="1:5" x14ac:dyDescent="0.25">
      <c r="A6631" s="22"/>
      <c r="B6631" s="23"/>
      <c r="C6631" s="23"/>
      <c r="D6631" s="23"/>
      <c r="E6631" s="23"/>
    </row>
    <row r="6632" spans="1:5" x14ac:dyDescent="0.25">
      <c r="A6632" s="22"/>
      <c r="B6632" s="23"/>
      <c r="C6632" s="23"/>
      <c r="D6632" s="23"/>
      <c r="E6632" s="23"/>
    </row>
    <row r="6633" spans="1:5" x14ac:dyDescent="0.25">
      <c r="A6633" s="22"/>
      <c r="B6633" s="23"/>
      <c r="C6633" s="23"/>
      <c r="D6633" s="23"/>
      <c r="E6633" s="23"/>
    </row>
    <row r="6634" spans="1:5" x14ac:dyDescent="0.25">
      <c r="A6634" s="22"/>
      <c r="B6634" s="23"/>
      <c r="C6634" s="23"/>
      <c r="D6634" s="23"/>
      <c r="E6634" s="23"/>
    </row>
    <row r="6635" spans="1:5" x14ac:dyDescent="0.25">
      <c r="A6635" s="22"/>
      <c r="B6635" s="23"/>
      <c r="C6635" s="23"/>
      <c r="D6635" s="23"/>
      <c r="E6635" s="23"/>
    </row>
    <row r="6636" spans="1:5" x14ac:dyDescent="0.25">
      <c r="A6636" s="22"/>
      <c r="B6636" s="23"/>
      <c r="C6636" s="23"/>
      <c r="D6636" s="23"/>
      <c r="E6636" s="23"/>
    </row>
    <row r="6637" spans="1:5" x14ac:dyDescent="0.25">
      <c r="A6637" s="22"/>
      <c r="B6637" s="23"/>
      <c r="C6637" s="23"/>
      <c r="D6637" s="23"/>
      <c r="E6637" s="23"/>
    </row>
    <row r="6638" spans="1:5" x14ac:dyDescent="0.25">
      <c r="A6638" s="22"/>
      <c r="B6638" s="23"/>
      <c r="C6638" s="23"/>
      <c r="D6638" s="23"/>
      <c r="E6638" s="23"/>
    </row>
    <row r="6639" spans="1:5" x14ac:dyDescent="0.25">
      <c r="A6639" s="22"/>
      <c r="B6639" s="23"/>
      <c r="C6639" s="23"/>
      <c r="D6639" s="23"/>
      <c r="E6639" s="23"/>
    </row>
    <row r="6640" spans="1:5" x14ac:dyDescent="0.25">
      <c r="A6640" s="22"/>
      <c r="B6640" s="23"/>
      <c r="C6640" s="23"/>
      <c r="D6640" s="23"/>
      <c r="E6640" s="23"/>
    </row>
    <row r="6641" spans="1:5" x14ac:dyDescent="0.25">
      <c r="A6641" s="22"/>
      <c r="B6641" s="23"/>
      <c r="C6641" s="23"/>
      <c r="D6641" s="23"/>
      <c r="E6641" s="23"/>
    </row>
    <row r="6642" spans="1:5" x14ac:dyDescent="0.25">
      <c r="A6642" s="22"/>
      <c r="B6642" s="23"/>
      <c r="C6642" s="23"/>
      <c r="D6642" s="23"/>
      <c r="E6642" s="23"/>
    </row>
    <row r="6643" spans="1:5" x14ac:dyDescent="0.25">
      <c r="A6643" s="22"/>
      <c r="B6643" s="23"/>
      <c r="C6643" s="23"/>
      <c r="D6643" s="23"/>
      <c r="E6643" s="23"/>
    </row>
    <row r="6644" spans="1:5" x14ac:dyDescent="0.25">
      <c r="A6644" s="22"/>
      <c r="B6644" s="23"/>
      <c r="C6644" s="23"/>
      <c r="D6644" s="23"/>
      <c r="E6644" s="23"/>
    </row>
    <row r="6645" spans="1:5" x14ac:dyDescent="0.25">
      <c r="A6645" s="22"/>
      <c r="B6645" s="23"/>
      <c r="C6645" s="23"/>
      <c r="D6645" s="23"/>
      <c r="E6645" s="23"/>
    </row>
    <row r="6646" spans="1:5" x14ac:dyDescent="0.25">
      <c r="A6646" s="22"/>
      <c r="B6646" s="23"/>
      <c r="C6646" s="23"/>
      <c r="D6646" s="23"/>
      <c r="E6646" s="23"/>
    </row>
    <row r="6647" spans="1:5" x14ac:dyDescent="0.25">
      <c r="A6647" s="22"/>
      <c r="B6647" s="23"/>
      <c r="C6647" s="23"/>
      <c r="D6647" s="23"/>
      <c r="E6647" s="23"/>
    </row>
    <row r="6648" spans="1:5" x14ac:dyDescent="0.25">
      <c r="A6648" s="22"/>
      <c r="B6648" s="23"/>
      <c r="C6648" s="23"/>
      <c r="D6648" s="23"/>
      <c r="E6648" s="23"/>
    </row>
    <row r="6649" spans="1:5" x14ac:dyDescent="0.25">
      <c r="A6649" s="22"/>
      <c r="B6649" s="23"/>
      <c r="C6649" s="23"/>
      <c r="D6649" s="23"/>
      <c r="E6649" s="23"/>
    </row>
    <row r="6650" spans="1:5" x14ac:dyDescent="0.25">
      <c r="A6650" s="22"/>
      <c r="B6650" s="23"/>
      <c r="C6650" s="23"/>
      <c r="D6650" s="23"/>
      <c r="E6650" s="23"/>
    </row>
    <row r="6651" spans="1:5" x14ac:dyDescent="0.25">
      <c r="A6651" s="22"/>
      <c r="B6651" s="23"/>
      <c r="C6651" s="23"/>
      <c r="D6651" s="23"/>
      <c r="E6651" s="23"/>
    </row>
    <row r="6652" spans="1:5" x14ac:dyDescent="0.25">
      <c r="A6652" s="22"/>
      <c r="B6652" s="23"/>
      <c r="C6652" s="23"/>
      <c r="D6652" s="23"/>
      <c r="E6652" s="23"/>
    </row>
    <row r="6653" spans="1:5" x14ac:dyDescent="0.25">
      <c r="A6653" s="22"/>
      <c r="B6653" s="23"/>
      <c r="C6653" s="23"/>
      <c r="D6653" s="23"/>
      <c r="E6653" s="23"/>
    </row>
    <row r="6654" spans="1:5" x14ac:dyDescent="0.25">
      <c r="A6654" s="22"/>
      <c r="B6654" s="23"/>
      <c r="C6654" s="23"/>
      <c r="D6654" s="23"/>
      <c r="E6654" s="23"/>
    </row>
    <row r="6655" spans="1:5" x14ac:dyDescent="0.25">
      <c r="A6655" s="22"/>
      <c r="B6655" s="23"/>
      <c r="C6655" s="23"/>
      <c r="D6655" s="23"/>
      <c r="E6655" s="23"/>
    </row>
    <row r="6656" spans="1:5" x14ac:dyDescent="0.25">
      <c r="A6656" s="22"/>
      <c r="B6656" s="23"/>
      <c r="C6656" s="23"/>
      <c r="D6656" s="23"/>
      <c r="E6656" s="23"/>
    </row>
    <row r="6657" spans="1:5" x14ac:dyDescent="0.25">
      <c r="A6657" s="22"/>
      <c r="B6657" s="23"/>
      <c r="C6657" s="23"/>
      <c r="D6657" s="23"/>
      <c r="E6657" s="23"/>
    </row>
    <row r="6658" spans="1:5" x14ac:dyDescent="0.25">
      <c r="A6658" s="22"/>
      <c r="B6658" s="23"/>
      <c r="C6658" s="23"/>
      <c r="D6658" s="23"/>
      <c r="E6658" s="23"/>
    </row>
    <row r="6659" spans="1:5" x14ac:dyDescent="0.25">
      <c r="A6659" s="22"/>
      <c r="B6659" s="23"/>
      <c r="C6659" s="23"/>
      <c r="D6659" s="23"/>
      <c r="E6659" s="23"/>
    </row>
    <row r="6660" spans="1:5" x14ac:dyDescent="0.25">
      <c r="A6660" s="22"/>
      <c r="B6660" s="23"/>
      <c r="C6660" s="23"/>
      <c r="D6660" s="23"/>
      <c r="E6660" s="23"/>
    </row>
    <row r="6661" spans="1:5" x14ac:dyDescent="0.25">
      <c r="A6661" s="22"/>
      <c r="B6661" s="23"/>
      <c r="C6661" s="23"/>
      <c r="D6661" s="23"/>
      <c r="E6661" s="23"/>
    </row>
    <row r="6662" spans="1:5" x14ac:dyDescent="0.25">
      <c r="A6662" s="22"/>
      <c r="B6662" s="23"/>
      <c r="C6662" s="23"/>
      <c r="D6662" s="23"/>
      <c r="E6662" s="23"/>
    </row>
    <row r="6663" spans="1:5" x14ac:dyDescent="0.25">
      <c r="A6663" s="22"/>
      <c r="B6663" s="23"/>
      <c r="C6663" s="23"/>
      <c r="D6663" s="23"/>
      <c r="E6663" s="23"/>
    </row>
    <row r="6664" spans="1:5" x14ac:dyDescent="0.25">
      <c r="A6664" s="22"/>
      <c r="B6664" s="23"/>
      <c r="C6664" s="23"/>
      <c r="D6664" s="23"/>
      <c r="E6664" s="23"/>
    </row>
    <row r="6665" spans="1:5" x14ac:dyDescent="0.25">
      <c r="A6665" s="22"/>
      <c r="B6665" s="23"/>
      <c r="C6665" s="23"/>
      <c r="D6665" s="23"/>
      <c r="E6665" s="23"/>
    </row>
    <row r="6666" spans="1:5" x14ac:dyDescent="0.25">
      <c r="A6666" s="22"/>
      <c r="B6666" s="23"/>
      <c r="C6666" s="23"/>
      <c r="D6666" s="23"/>
      <c r="E6666" s="23"/>
    </row>
    <row r="6667" spans="1:5" x14ac:dyDescent="0.25">
      <c r="A6667" s="22"/>
      <c r="B6667" s="23"/>
      <c r="C6667" s="23"/>
      <c r="D6667" s="23"/>
      <c r="E6667" s="23"/>
    </row>
    <row r="6668" spans="1:5" x14ac:dyDescent="0.25">
      <c r="A6668" s="22"/>
      <c r="B6668" s="23"/>
      <c r="C6668" s="23"/>
      <c r="D6668" s="23"/>
      <c r="E6668" s="23"/>
    </row>
    <row r="6669" spans="1:5" x14ac:dyDescent="0.25">
      <c r="A6669" s="22"/>
      <c r="B6669" s="23"/>
      <c r="C6669" s="23"/>
      <c r="D6669" s="23"/>
      <c r="E6669" s="23"/>
    </row>
    <row r="6670" spans="1:5" x14ac:dyDescent="0.25">
      <c r="A6670" s="22"/>
      <c r="B6670" s="23"/>
      <c r="C6670" s="23"/>
      <c r="D6670" s="23"/>
      <c r="E6670" s="23"/>
    </row>
    <row r="6671" spans="1:5" x14ac:dyDescent="0.25">
      <c r="A6671" s="22"/>
      <c r="B6671" s="23"/>
      <c r="C6671" s="23"/>
      <c r="D6671" s="23"/>
      <c r="E6671" s="23"/>
    </row>
    <row r="6672" spans="1:5" x14ac:dyDescent="0.25">
      <c r="A6672" s="22"/>
      <c r="B6672" s="23"/>
      <c r="C6672" s="23"/>
      <c r="D6672" s="23"/>
      <c r="E6672" s="23"/>
    </row>
    <row r="6673" spans="1:5" x14ac:dyDescent="0.25">
      <c r="A6673" s="22"/>
      <c r="B6673" s="23"/>
      <c r="C6673" s="23"/>
      <c r="D6673" s="23"/>
      <c r="E6673" s="23"/>
    </row>
    <row r="6674" spans="1:5" x14ac:dyDescent="0.25">
      <c r="A6674" s="22"/>
      <c r="B6674" s="23"/>
      <c r="C6674" s="23"/>
      <c r="D6674" s="23"/>
      <c r="E6674" s="23"/>
    </row>
    <row r="6675" spans="1:5" x14ac:dyDescent="0.25">
      <c r="A6675" s="22"/>
      <c r="B6675" s="23"/>
      <c r="C6675" s="23"/>
      <c r="D6675" s="23"/>
      <c r="E6675" s="23"/>
    </row>
    <row r="6676" spans="1:5" x14ac:dyDescent="0.25">
      <c r="A6676" s="22"/>
      <c r="B6676" s="23"/>
      <c r="C6676" s="23"/>
      <c r="D6676" s="23"/>
      <c r="E6676" s="23"/>
    </row>
    <row r="6677" spans="1:5" x14ac:dyDescent="0.25">
      <c r="A6677" s="22"/>
      <c r="B6677" s="23"/>
      <c r="C6677" s="23"/>
      <c r="D6677" s="23"/>
      <c r="E6677" s="23"/>
    </row>
    <row r="6678" spans="1:5" x14ac:dyDescent="0.25">
      <c r="A6678" s="22"/>
      <c r="B6678" s="23"/>
      <c r="C6678" s="23"/>
      <c r="D6678" s="23"/>
      <c r="E6678" s="23"/>
    </row>
    <row r="6679" spans="1:5" x14ac:dyDescent="0.25">
      <c r="A6679" s="22"/>
      <c r="B6679" s="23"/>
      <c r="C6679" s="23"/>
      <c r="D6679" s="23"/>
      <c r="E6679" s="23"/>
    </row>
    <row r="6680" spans="1:5" x14ac:dyDescent="0.25">
      <c r="A6680" s="22"/>
      <c r="B6680" s="23"/>
      <c r="C6680" s="23"/>
      <c r="D6680" s="23"/>
      <c r="E6680" s="23"/>
    </row>
    <row r="6681" spans="1:5" x14ac:dyDescent="0.25">
      <c r="A6681" s="22"/>
      <c r="B6681" s="23"/>
      <c r="C6681" s="23"/>
      <c r="D6681" s="23"/>
      <c r="E6681" s="23"/>
    </row>
    <row r="6682" spans="1:5" x14ac:dyDescent="0.25">
      <c r="A6682" s="22"/>
      <c r="B6682" s="23"/>
      <c r="C6682" s="23"/>
      <c r="D6682" s="23"/>
      <c r="E6682" s="23"/>
    </row>
    <row r="6683" spans="1:5" x14ac:dyDescent="0.25">
      <c r="A6683" s="22"/>
      <c r="B6683" s="23"/>
      <c r="C6683" s="23"/>
      <c r="D6683" s="23"/>
      <c r="E6683" s="23"/>
    </row>
    <row r="6684" spans="1:5" x14ac:dyDescent="0.25">
      <c r="A6684" s="22"/>
      <c r="B6684" s="23"/>
      <c r="C6684" s="23"/>
      <c r="D6684" s="23"/>
      <c r="E6684" s="23"/>
    </row>
    <row r="6685" spans="1:5" x14ac:dyDescent="0.25">
      <c r="A6685" s="22"/>
      <c r="B6685" s="23"/>
      <c r="C6685" s="23"/>
      <c r="D6685" s="23"/>
      <c r="E6685" s="23"/>
    </row>
    <row r="6686" spans="1:5" x14ac:dyDescent="0.25">
      <c r="A6686" s="22"/>
      <c r="B6686" s="23"/>
      <c r="C6686" s="23"/>
      <c r="D6686" s="23"/>
      <c r="E6686" s="23"/>
    </row>
    <row r="6687" spans="1:5" x14ac:dyDescent="0.25">
      <c r="A6687" s="22"/>
      <c r="B6687" s="23"/>
      <c r="C6687" s="23"/>
      <c r="D6687" s="23"/>
      <c r="E6687" s="23"/>
    </row>
    <row r="6688" spans="1:5" x14ac:dyDescent="0.25">
      <c r="A6688" s="22"/>
      <c r="B6688" s="23"/>
      <c r="C6688" s="23"/>
      <c r="D6688" s="23"/>
      <c r="E6688" s="23"/>
    </row>
    <row r="6689" spans="1:5" x14ac:dyDescent="0.25">
      <c r="A6689" s="22"/>
      <c r="B6689" s="23"/>
      <c r="C6689" s="23"/>
      <c r="D6689" s="23"/>
      <c r="E6689" s="23"/>
    </row>
    <row r="6690" spans="1:5" x14ac:dyDescent="0.25">
      <c r="A6690" s="22"/>
      <c r="B6690" s="23"/>
      <c r="C6690" s="23"/>
      <c r="D6690" s="23"/>
      <c r="E6690" s="23"/>
    </row>
    <row r="6691" spans="1:5" x14ac:dyDescent="0.25">
      <c r="A6691" s="22"/>
      <c r="B6691" s="23"/>
      <c r="C6691" s="23"/>
      <c r="D6691" s="23"/>
      <c r="E6691" s="23"/>
    </row>
    <row r="6692" spans="1:5" x14ac:dyDescent="0.25">
      <c r="A6692" s="22"/>
      <c r="B6692" s="23"/>
      <c r="C6692" s="23"/>
      <c r="D6692" s="23"/>
      <c r="E6692" s="23"/>
    </row>
    <row r="6693" spans="1:5" x14ac:dyDescent="0.25">
      <c r="A6693" s="22"/>
      <c r="B6693" s="23"/>
      <c r="C6693" s="23"/>
      <c r="D6693" s="23"/>
      <c r="E6693" s="23"/>
    </row>
    <row r="6694" spans="1:5" x14ac:dyDescent="0.25">
      <c r="A6694" s="22"/>
      <c r="B6694" s="23"/>
      <c r="C6694" s="23"/>
      <c r="D6694" s="23"/>
      <c r="E6694" s="23"/>
    </row>
    <row r="6695" spans="1:5" x14ac:dyDescent="0.25">
      <c r="A6695" s="22"/>
      <c r="B6695" s="23"/>
      <c r="C6695" s="23"/>
      <c r="D6695" s="23"/>
      <c r="E6695" s="23"/>
    </row>
    <row r="6696" spans="1:5" x14ac:dyDescent="0.25">
      <c r="A6696" s="22"/>
      <c r="B6696" s="23"/>
      <c r="C6696" s="23"/>
      <c r="D6696" s="23"/>
      <c r="E6696" s="23"/>
    </row>
    <row r="6697" spans="1:5" x14ac:dyDescent="0.25">
      <c r="A6697" s="22"/>
      <c r="B6697" s="23"/>
      <c r="C6697" s="23"/>
      <c r="D6697" s="23"/>
      <c r="E6697" s="23"/>
    </row>
    <row r="6698" spans="1:5" x14ac:dyDescent="0.25">
      <c r="A6698" s="22"/>
      <c r="B6698" s="23"/>
      <c r="C6698" s="23"/>
      <c r="D6698" s="23"/>
      <c r="E6698" s="23"/>
    </row>
    <row r="6699" spans="1:5" x14ac:dyDescent="0.25">
      <c r="A6699" s="22"/>
      <c r="B6699" s="23"/>
      <c r="C6699" s="23"/>
      <c r="D6699" s="23"/>
      <c r="E6699" s="23"/>
    </row>
    <row r="6700" spans="1:5" x14ac:dyDescent="0.25">
      <c r="A6700" s="22"/>
      <c r="B6700" s="23"/>
      <c r="C6700" s="23"/>
      <c r="D6700" s="23"/>
      <c r="E6700" s="23"/>
    </row>
    <row r="6701" spans="1:5" x14ac:dyDescent="0.25">
      <c r="A6701" s="22"/>
      <c r="B6701" s="23"/>
      <c r="C6701" s="23"/>
      <c r="D6701" s="23"/>
      <c r="E6701" s="23"/>
    </row>
    <row r="6702" spans="1:5" x14ac:dyDescent="0.25">
      <c r="A6702" s="22"/>
      <c r="B6702" s="23"/>
      <c r="C6702" s="23"/>
      <c r="D6702" s="23"/>
      <c r="E6702" s="23"/>
    </row>
    <row r="6703" spans="1:5" x14ac:dyDescent="0.25">
      <c r="A6703" s="22"/>
      <c r="B6703" s="23"/>
      <c r="C6703" s="23"/>
      <c r="D6703" s="23"/>
      <c r="E6703" s="23"/>
    </row>
    <row r="6704" spans="1:5" x14ac:dyDescent="0.25">
      <c r="A6704" s="22"/>
      <c r="B6704" s="23"/>
      <c r="C6704" s="23"/>
      <c r="D6704" s="23"/>
      <c r="E6704" s="23"/>
    </row>
    <row r="6705" spans="1:5" x14ac:dyDescent="0.25">
      <c r="A6705" s="22"/>
      <c r="B6705" s="23"/>
      <c r="C6705" s="23"/>
      <c r="D6705" s="23"/>
      <c r="E6705" s="23"/>
    </row>
    <row r="6706" spans="1:5" x14ac:dyDescent="0.25">
      <c r="A6706" s="22"/>
      <c r="B6706" s="23"/>
      <c r="C6706" s="23"/>
      <c r="D6706" s="23"/>
      <c r="E6706" s="23"/>
    </row>
    <row r="6707" spans="1:5" x14ac:dyDescent="0.25">
      <c r="A6707" s="22"/>
      <c r="B6707" s="23"/>
      <c r="C6707" s="23"/>
      <c r="D6707" s="23"/>
      <c r="E6707" s="23"/>
    </row>
    <row r="6708" spans="1:5" x14ac:dyDescent="0.25">
      <c r="A6708" s="22"/>
      <c r="B6708" s="23"/>
      <c r="C6708" s="23"/>
      <c r="D6708" s="23"/>
      <c r="E6708" s="23"/>
    </row>
    <row r="6709" spans="1:5" x14ac:dyDescent="0.25">
      <c r="A6709" s="22"/>
      <c r="B6709" s="23"/>
      <c r="C6709" s="23"/>
      <c r="D6709" s="23"/>
      <c r="E6709" s="23"/>
    </row>
    <row r="6710" spans="1:5" x14ac:dyDescent="0.25">
      <c r="A6710" s="22"/>
      <c r="B6710" s="23"/>
      <c r="C6710" s="23"/>
      <c r="D6710" s="23"/>
      <c r="E6710" s="23"/>
    </row>
    <row r="6711" spans="1:5" x14ac:dyDescent="0.25">
      <c r="A6711" s="22"/>
      <c r="B6711" s="23"/>
      <c r="C6711" s="23"/>
      <c r="D6711" s="23"/>
      <c r="E6711" s="23"/>
    </row>
    <row r="6712" spans="1:5" x14ac:dyDescent="0.25">
      <c r="A6712" s="22"/>
      <c r="B6712" s="23"/>
      <c r="C6712" s="23"/>
      <c r="D6712" s="23"/>
      <c r="E6712" s="23"/>
    </row>
    <row r="6713" spans="1:5" x14ac:dyDescent="0.25">
      <c r="A6713" s="22"/>
      <c r="B6713" s="23"/>
      <c r="C6713" s="23"/>
      <c r="D6713" s="23"/>
      <c r="E6713" s="23"/>
    </row>
    <row r="6714" spans="1:5" x14ac:dyDescent="0.25">
      <c r="A6714" s="22"/>
      <c r="B6714" s="23"/>
      <c r="C6714" s="23"/>
      <c r="D6714" s="23"/>
      <c r="E6714" s="23"/>
    </row>
    <row r="6715" spans="1:5" x14ac:dyDescent="0.25">
      <c r="A6715" s="22"/>
      <c r="B6715" s="23"/>
      <c r="C6715" s="23"/>
      <c r="D6715" s="23"/>
      <c r="E6715" s="23"/>
    </row>
    <row r="6716" spans="1:5" x14ac:dyDescent="0.25">
      <c r="A6716" s="22"/>
      <c r="B6716" s="23"/>
      <c r="C6716" s="23"/>
      <c r="D6716" s="23"/>
      <c r="E6716" s="23"/>
    </row>
    <row r="6717" spans="1:5" x14ac:dyDescent="0.25">
      <c r="A6717" s="22"/>
      <c r="B6717" s="23"/>
      <c r="C6717" s="23"/>
      <c r="D6717" s="23"/>
      <c r="E6717" s="23"/>
    </row>
    <row r="6718" spans="1:5" x14ac:dyDescent="0.25">
      <c r="A6718" s="22"/>
      <c r="B6718" s="23"/>
      <c r="C6718" s="23"/>
      <c r="D6718" s="23"/>
      <c r="E6718" s="23"/>
    </row>
    <row r="6719" spans="1:5" x14ac:dyDescent="0.25">
      <c r="A6719" s="22"/>
      <c r="B6719" s="23"/>
      <c r="C6719" s="23"/>
      <c r="D6719" s="23"/>
      <c r="E6719" s="23"/>
    </row>
    <row r="6720" spans="1:5" x14ac:dyDescent="0.25">
      <c r="A6720" s="22"/>
      <c r="B6720" s="23"/>
      <c r="C6720" s="23"/>
      <c r="D6720" s="23"/>
      <c r="E6720" s="23"/>
    </row>
    <row r="6721" spans="1:5" x14ac:dyDescent="0.25">
      <c r="A6721" s="22"/>
      <c r="B6721" s="23"/>
      <c r="C6721" s="23"/>
      <c r="D6721" s="23"/>
      <c r="E6721" s="23"/>
    </row>
    <row r="6722" spans="1:5" x14ac:dyDescent="0.25">
      <c r="A6722" s="22"/>
      <c r="B6722" s="23"/>
      <c r="C6722" s="23"/>
      <c r="D6722" s="23"/>
      <c r="E6722" s="23"/>
    </row>
    <row r="6723" spans="1:5" x14ac:dyDescent="0.25">
      <c r="A6723" s="22"/>
      <c r="B6723" s="23"/>
      <c r="C6723" s="23"/>
      <c r="D6723" s="23"/>
      <c r="E6723" s="23"/>
    </row>
    <row r="6724" spans="1:5" x14ac:dyDescent="0.25">
      <c r="A6724" s="22"/>
      <c r="B6724" s="23"/>
      <c r="C6724" s="23"/>
      <c r="D6724" s="23"/>
      <c r="E6724" s="23"/>
    </row>
    <row r="6725" spans="1:5" x14ac:dyDescent="0.25">
      <c r="A6725" s="22"/>
      <c r="B6725" s="23"/>
      <c r="C6725" s="23"/>
      <c r="D6725" s="23"/>
      <c r="E6725" s="23"/>
    </row>
    <row r="6726" spans="1:5" x14ac:dyDescent="0.25">
      <c r="A6726" s="22"/>
      <c r="B6726" s="23"/>
      <c r="C6726" s="23"/>
      <c r="D6726" s="23"/>
      <c r="E6726" s="23"/>
    </row>
    <row r="6727" spans="1:5" x14ac:dyDescent="0.25">
      <c r="A6727" s="22"/>
      <c r="B6727" s="23"/>
      <c r="C6727" s="23"/>
      <c r="D6727" s="23"/>
      <c r="E6727" s="23"/>
    </row>
    <row r="6728" spans="1:5" x14ac:dyDescent="0.25">
      <c r="A6728" s="22"/>
      <c r="B6728" s="23"/>
      <c r="C6728" s="23"/>
      <c r="D6728" s="23"/>
      <c r="E6728" s="23"/>
    </row>
    <row r="6729" spans="1:5" x14ac:dyDescent="0.25">
      <c r="A6729" s="22"/>
      <c r="B6729" s="23"/>
      <c r="C6729" s="23"/>
      <c r="D6729" s="23"/>
      <c r="E6729" s="23"/>
    </row>
    <row r="6730" spans="1:5" x14ac:dyDescent="0.25">
      <c r="A6730" s="22"/>
      <c r="B6730" s="23"/>
      <c r="C6730" s="23"/>
      <c r="D6730" s="23"/>
      <c r="E6730" s="23"/>
    </row>
    <row r="6731" spans="1:5" x14ac:dyDescent="0.25">
      <c r="A6731" s="22"/>
      <c r="B6731" s="23"/>
      <c r="C6731" s="23"/>
      <c r="D6731" s="23"/>
      <c r="E6731" s="23"/>
    </row>
    <row r="6732" spans="1:5" x14ac:dyDescent="0.25">
      <c r="A6732" s="22"/>
      <c r="B6732" s="23"/>
      <c r="C6732" s="23"/>
      <c r="D6732" s="23"/>
      <c r="E6732" s="23"/>
    </row>
    <row r="6733" spans="1:5" x14ac:dyDescent="0.25">
      <c r="A6733" s="22"/>
      <c r="B6733" s="23"/>
      <c r="C6733" s="23"/>
      <c r="D6733" s="23"/>
      <c r="E6733" s="23"/>
    </row>
    <row r="6734" spans="1:5" x14ac:dyDescent="0.25">
      <c r="A6734" s="22"/>
      <c r="B6734" s="23"/>
      <c r="C6734" s="23"/>
      <c r="D6734" s="23"/>
      <c r="E6734" s="23"/>
    </row>
    <row r="6735" spans="1:5" x14ac:dyDescent="0.25">
      <c r="A6735" s="22"/>
      <c r="B6735" s="23"/>
      <c r="C6735" s="23"/>
      <c r="D6735" s="23"/>
      <c r="E6735" s="23"/>
    </row>
    <row r="6736" spans="1:5" x14ac:dyDescent="0.25">
      <c r="A6736" s="22"/>
      <c r="B6736" s="23"/>
      <c r="C6736" s="23"/>
      <c r="D6736" s="23"/>
      <c r="E6736" s="23"/>
    </row>
    <row r="6737" spans="1:5" x14ac:dyDescent="0.25">
      <c r="A6737" s="22"/>
      <c r="B6737" s="23"/>
      <c r="C6737" s="23"/>
      <c r="D6737" s="23"/>
      <c r="E6737" s="23"/>
    </row>
    <row r="6738" spans="1:5" x14ac:dyDescent="0.25">
      <c r="A6738" s="22"/>
      <c r="B6738" s="23"/>
      <c r="C6738" s="23"/>
      <c r="D6738" s="23"/>
      <c r="E6738" s="23"/>
    </row>
    <row r="6739" spans="1:5" x14ac:dyDescent="0.25">
      <c r="A6739" s="22"/>
      <c r="B6739" s="23"/>
      <c r="C6739" s="23"/>
      <c r="D6739" s="23"/>
      <c r="E6739" s="23"/>
    </row>
    <row r="6740" spans="1:5" x14ac:dyDescent="0.25">
      <c r="A6740" s="22"/>
      <c r="B6740" s="23"/>
      <c r="C6740" s="23"/>
      <c r="D6740" s="23"/>
      <c r="E6740" s="23"/>
    </row>
    <row r="6741" spans="1:5" x14ac:dyDescent="0.25">
      <c r="A6741" s="22"/>
      <c r="B6741" s="23"/>
      <c r="C6741" s="23"/>
      <c r="D6741" s="23"/>
      <c r="E6741" s="23"/>
    </row>
    <row r="6742" spans="1:5" x14ac:dyDescent="0.25">
      <c r="A6742" s="22"/>
      <c r="B6742" s="23"/>
      <c r="C6742" s="23"/>
      <c r="D6742" s="23"/>
      <c r="E6742" s="23"/>
    </row>
    <row r="6743" spans="1:5" x14ac:dyDescent="0.25">
      <c r="A6743" s="22"/>
      <c r="B6743" s="23"/>
      <c r="C6743" s="23"/>
      <c r="D6743" s="23"/>
      <c r="E6743" s="23"/>
    </row>
    <row r="6744" spans="1:5" x14ac:dyDescent="0.25">
      <c r="A6744" s="22"/>
      <c r="B6744" s="23"/>
      <c r="C6744" s="23"/>
      <c r="D6744" s="23"/>
      <c r="E6744" s="23"/>
    </row>
    <row r="6745" spans="1:5" x14ac:dyDescent="0.25">
      <c r="A6745" s="22"/>
      <c r="B6745" s="23"/>
      <c r="C6745" s="23"/>
      <c r="D6745" s="23"/>
      <c r="E6745" s="23"/>
    </row>
    <row r="6746" spans="1:5" x14ac:dyDescent="0.25">
      <c r="A6746" s="22"/>
      <c r="B6746" s="23"/>
      <c r="C6746" s="23"/>
      <c r="D6746" s="23"/>
      <c r="E6746" s="23"/>
    </row>
    <row r="6747" spans="1:5" x14ac:dyDescent="0.25">
      <c r="A6747" s="22"/>
      <c r="B6747" s="23"/>
      <c r="C6747" s="23"/>
      <c r="D6747" s="23"/>
      <c r="E6747" s="23"/>
    </row>
    <row r="6748" spans="1:5" x14ac:dyDescent="0.25">
      <c r="A6748" s="22"/>
      <c r="B6748" s="23"/>
      <c r="C6748" s="23"/>
      <c r="D6748" s="23"/>
      <c r="E6748" s="23"/>
    </row>
    <row r="6749" spans="1:5" x14ac:dyDescent="0.25">
      <c r="A6749" s="22"/>
      <c r="B6749" s="23"/>
      <c r="C6749" s="23"/>
      <c r="D6749" s="23"/>
      <c r="E6749" s="23"/>
    </row>
    <row r="6750" spans="1:5" x14ac:dyDescent="0.25">
      <c r="A6750" s="22"/>
      <c r="B6750" s="23"/>
      <c r="C6750" s="23"/>
      <c r="D6750" s="23"/>
      <c r="E6750" s="23"/>
    </row>
    <row r="6751" spans="1:5" x14ac:dyDescent="0.25">
      <c r="A6751" s="22"/>
      <c r="B6751" s="23"/>
      <c r="C6751" s="23"/>
      <c r="D6751" s="23"/>
      <c r="E6751" s="23"/>
    </row>
    <row r="6752" spans="1:5" x14ac:dyDescent="0.25">
      <c r="A6752" s="22"/>
      <c r="B6752" s="23"/>
      <c r="C6752" s="23"/>
      <c r="D6752" s="23"/>
      <c r="E6752" s="23"/>
    </row>
    <row r="6753" spans="1:5" x14ac:dyDescent="0.25">
      <c r="A6753" s="22"/>
      <c r="B6753" s="23"/>
      <c r="C6753" s="23"/>
      <c r="D6753" s="23"/>
      <c r="E6753" s="23"/>
    </row>
    <row r="6754" spans="1:5" x14ac:dyDescent="0.25">
      <c r="A6754" s="22"/>
      <c r="B6754" s="23"/>
      <c r="C6754" s="23"/>
      <c r="D6754" s="23"/>
      <c r="E6754" s="23"/>
    </row>
    <row r="6755" spans="1:5" x14ac:dyDescent="0.25">
      <c r="A6755" s="22"/>
      <c r="B6755" s="23"/>
      <c r="C6755" s="23"/>
      <c r="D6755" s="23"/>
      <c r="E6755" s="23"/>
    </row>
    <row r="6756" spans="1:5" x14ac:dyDescent="0.25">
      <c r="A6756" s="22"/>
      <c r="B6756" s="23"/>
      <c r="C6756" s="23"/>
      <c r="D6756" s="23"/>
      <c r="E6756" s="23"/>
    </row>
    <row r="6757" spans="1:5" x14ac:dyDescent="0.25">
      <c r="A6757" s="22"/>
      <c r="B6757" s="23"/>
      <c r="C6757" s="23"/>
      <c r="D6757" s="23"/>
      <c r="E6757" s="23"/>
    </row>
    <row r="6758" spans="1:5" x14ac:dyDescent="0.25">
      <c r="A6758" s="22"/>
      <c r="B6758" s="23"/>
      <c r="C6758" s="23"/>
      <c r="D6758" s="23"/>
      <c r="E6758" s="23"/>
    </row>
    <row r="6759" spans="1:5" x14ac:dyDescent="0.25">
      <c r="A6759" s="22"/>
      <c r="B6759" s="23"/>
      <c r="C6759" s="23"/>
      <c r="D6759" s="23"/>
      <c r="E6759" s="23"/>
    </row>
    <row r="6760" spans="1:5" x14ac:dyDescent="0.25">
      <c r="A6760" s="22"/>
      <c r="B6760" s="23"/>
      <c r="C6760" s="23"/>
      <c r="D6760" s="23"/>
      <c r="E6760" s="23"/>
    </row>
    <row r="6761" spans="1:5" x14ac:dyDescent="0.25">
      <c r="A6761" s="22"/>
      <c r="B6761" s="23"/>
      <c r="C6761" s="23"/>
      <c r="D6761" s="23"/>
      <c r="E6761" s="23"/>
    </row>
    <row r="6762" spans="1:5" x14ac:dyDescent="0.25">
      <c r="A6762" s="22"/>
      <c r="B6762" s="23"/>
      <c r="C6762" s="23"/>
      <c r="D6762" s="23"/>
      <c r="E6762" s="23"/>
    </row>
    <row r="6763" spans="1:5" x14ac:dyDescent="0.25">
      <c r="A6763" s="22"/>
      <c r="B6763" s="23"/>
      <c r="C6763" s="23"/>
      <c r="D6763" s="23"/>
      <c r="E6763" s="23"/>
    </row>
    <row r="6764" spans="1:5" x14ac:dyDescent="0.25">
      <c r="A6764" s="22"/>
      <c r="B6764" s="23"/>
      <c r="C6764" s="23"/>
      <c r="D6764" s="23"/>
      <c r="E6764" s="23"/>
    </row>
    <row r="6765" spans="1:5" x14ac:dyDescent="0.25">
      <c r="A6765" s="22"/>
      <c r="B6765" s="23"/>
      <c r="C6765" s="23"/>
      <c r="D6765" s="23"/>
      <c r="E6765" s="23"/>
    </row>
    <row r="6766" spans="1:5" x14ac:dyDescent="0.25">
      <c r="A6766" s="22"/>
      <c r="B6766" s="23"/>
      <c r="C6766" s="23"/>
      <c r="D6766" s="23"/>
      <c r="E6766" s="23"/>
    </row>
    <row r="6767" spans="1:5" x14ac:dyDescent="0.25">
      <c r="A6767" s="22"/>
      <c r="B6767" s="23"/>
      <c r="C6767" s="23"/>
      <c r="D6767" s="23"/>
      <c r="E6767" s="23"/>
    </row>
    <row r="6768" spans="1:5" x14ac:dyDescent="0.25">
      <c r="A6768" s="22"/>
      <c r="B6768" s="23"/>
      <c r="C6768" s="23"/>
      <c r="D6768" s="23"/>
      <c r="E6768" s="23"/>
    </row>
    <row r="6769" spans="1:5" x14ac:dyDescent="0.25">
      <c r="A6769" s="22"/>
      <c r="B6769" s="23"/>
      <c r="C6769" s="23"/>
      <c r="D6769" s="23"/>
      <c r="E6769" s="23"/>
    </row>
    <row r="6770" spans="1:5" x14ac:dyDescent="0.25">
      <c r="A6770" s="22"/>
      <c r="B6770" s="23"/>
      <c r="C6770" s="23"/>
      <c r="D6770" s="23"/>
      <c r="E6770" s="23"/>
    </row>
    <row r="6771" spans="1:5" x14ac:dyDescent="0.25">
      <c r="A6771" s="22"/>
      <c r="B6771" s="23"/>
      <c r="C6771" s="23"/>
      <c r="D6771" s="23"/>
      <c r="E6771" s="23"/>
    </row>
    <row r="6772" spans="1:5" x14ac:dyDescent="0.25">
      <c r="A6772" s="22"/>
      <c r="B6772" s="23"/>
      <c r="C6772" s="23"/>
      <c r="D6772" s="23"/>
      <c r="E6772" s="23"/>
    </row>
    <row r="6773" spans="1:5" x14ac:dyDescent="0.25">
      <c r="A6773" s="22"/>
      <c r="B6773" s="23"/>
      <c r="C6773" s="23"/>
      <c r="D6773" s="23"/>
      <c r="E6773" s="23"/>
    </row>
    <row r="6774" spans="1:5" x14ac:dyDescent="0.25">
      <c r="A6774" s="22"/>
      <c r="B6774" s="23"/>
      <c r="C6774" s="23"/>
      <c r="D6774" s="23"/>
      <c r="E6774" s="23"/>
    </row>
    <row r="6775" spans="1:5" x14ac:dyDescent="0.25">
      <c r="A6775" s="22"/>
      <c r="B6775" s="23"/>
      <c r="C6775" s="23"/>
      <c r="D6775" s="23"/>
      <c r="E6775" s="23"/>
    </row>
    <row r="6776" spans="1:5" x14ac:dyDescent="0.25">
      <c r="A6776" s="22"/>
      <c r="B6776" s="23"/>
      <c r="C6776" s="23"/>
      <c r="D6776" s="23"/>
      <c r="E6776" s="23"/>
    </row>
    <row r="6777" spans="1:5" x14ac:dyDescent="0.25">
      <c r="A6777" s="22"/>
      <c r="B6777" s="23"/>
      <c r="C6777" s="23"/>
      <c r="D6777" s="23"/>
      <c r="E6777" s="23"/>
    </row>
    <row r="6778" spans="1:5" x14ac:dyDescent="0.25">
      <c r="A6778" s="22"/>
      <c r="B6778" s="23"/>
      <c r="C6778" s="23"/>
      <c r="D6778" s="23"/>
      <c r="E6778" s="23"/>
    </row>
    <row r="6779" spans="1:5" x14ac:dyDescent="0.25">
      <c r="A6779" s="22"/>
      <c r="B6779" s="23"/>
      <c r="C6779" s="23"/>
      <c r="D6779" s="23"/>
      <c r="E6779" s="23"/>
    </row>
    <row r="6780" spans="1:5" x14ac:dyDescent="0.25">
      <c r="A6780" s="22"/>
      <c r="B6780" s="23"/>
      <c r="C6780" s="23"/>
      <c r="D6780" s="23"/>
      <c r="E6780" s="23"/>
    </row>
    <row r="6781" spans="1:5" x14ac:dyDescent="0.25">
      <c r="A6781" s="22"/>
      <c r="B6781" s="23"/>
      <c r="C6781" s="23"/>
      <c r="D6781" s="23"/>
      <c r="E6781" s="23"/>
    </row>
    <row r="6782" spans="1:5" x14ac:dyDescent="0.25">
      <c r="A6782" s="22"/>
      <c r="B6782" s="23"/>
      <c r="C6782" s="23"/>
      <c r="D6782" s="23"/>
      <c r="E6782" s="23"/>
    </row>
    <row r="6783" spans="1:5" x14ac:dyDescent="0.25">
      <c r="A6783" s="22"/>
      <c r="B6783" s="23"/>
      <c r="C6783" s="23"/>
      <c r="D6783" s="23"/>
      <c r="E6783" s="23"/>
    </row>
    <row r="6784" spans="1:5" x14ac:dyDescent="0.25">
      <c r="A6784" s="22"/>
      <c r="B6784" s="23"/>
      <c r="C6784" s="23"/>
      <c r="D6784" s="23"/>
      <c r="E6784" s="23"/>
    </row>
    <row r="6785" spans="1:5" x14ac:dyDescent="0.25">
      <c r="A6785" s="22"/>
      <c r="B6785" s="23"/>
      <c r="C6785" s="23"/>
      <c r="D6785" s="23"/>
      <c r="E6785" s="23"/>
    </row>
    <row r="6786" spans="1:5" x14ac:dyDescent="0.25">
      <c r="A6786" s="22"/>
      <c r="B6786" s="23"/>
      <c r="C6786" s="23"/>
      <c r="D6786" s="23"/>
      <c r="E6786" s="23"/>
    </row>
    <row r="6787" spans="1:5" x14ac:dyDescent="0.25">
      <c r="A6787" s="22"/>
      <c r="B6787" s="23"/>
      <c r="C6787" s="23"/>
      <c r="D6787" s="23"/>
      <c r="E6787" s="23"/>
    </row>
    <row r="6788" spans="1:5" x14ac:dyDescent="0.25">
      <c r="A6788" s="22"/>
      <c r="B6788" s="23"/>
      <c r="C6788" s="23"/>
      <c r="D6788" s="23"/>
      <c r="E6788" s="23"/>
    </row>
    <row r="6789" spans="1:5" x14ac:dyDescent="0.25">
      <c r="A6789" s="22"/>
      <c r="B6789" s="23"/>
      <c r="C6789" s="23"/>
      <c r="D6789" s="23"/>
      <c r="E6789" s="23"/>
    </row>
    <row r="6790" spans="1:5" x14ac:dyDescent="0.25">
      <c r="A6790" s="22"/>
      <c r="B6790" s="23"/>
      <c r="C6790" s="23"/>
      <c r="D6790" s="23"/>
      <c r="E6790" s="23"/>
    </row>
    <row r="6791" spans="1:5" x14ac:dyDescent="0.25">
      <c r="A6791" s="22"/>
      <c r="B6791" s="23"/>
      <c r="C6791" s="23"/>
      <c r="D6791" s="23"/>
      <c r="E6791" s="23"/>
    </row>
    <row r="6792" spans="1:5" x14ac:dyDescent="0.25">
      <c r="A6792" s="22"/>
      <c r="B6792" s="23"/>
      <c r="C6792" s="23"/>
      <c r="D6792" s="23"/>
      <c r="E6792" s="23"/>
    </row>
    <row r="6793" spans="1:5" x14ac:dyDescent="0.25">
      <c r="A6793" s="22"/>
      <c r="B6793" s="23"/>
      <c r="C6793" s="23"/>
      <c r="D6793" s="23"/>
      <c r="E6793" s="23"/>
    </row>
    <row r="6794" spans="1:5" x14ac:dyDescent="0.25">
      <c r="A6794" s="22"/>
      <c r="B6794" s="23"/>
      <c r="C6794" s="23"/>
      <c r="D6794" s="23"/>
      <c r="E6794" s="23"/>
    </row>
    <row r="6795" spans="1:5" x14ac:dyDescent="0.25">
      <c r="A6795" s="22"/>
      <c r="B6795" s="23"/>
      <c r="C6795" s="23"/>
      <c r="D6795" s="23"/>
      <c r="E6795" s="23"/>
    </row>
    <row r="6796" spans="1:5" x14ac:dyDescent="0.25">
      <c r="A6796" s="22"/>
      <c r="B6796" s="23"/>
      <c r="C6796" s="23"/>
      <c r="D6796" s="23"/>
      <c r="E6796" s="23"/>
    </row>
    <row r="6797" spans="1:5" x14ac:dyDescent="0.25">
      <c r="A6797" s="22"/>
      <c r="B6797" s="23"/>
      <c r="C6797" s="23"/>
      <c r="D6797" s="23"/>
      <c r="E6797" s="23"/>
    </row>
    <row r="6798" spans="1:5" x14ac:dyDescent="0.25">
      <c r="A6798" s="22"/>
      <c r="B6798" s="23"/>
      <c r="C6798" s="23"/>
      <c r="D6798" s="23"/>
      <c r="E6798" s="23"/>
    </row>
    <row r="6799" spans="1:5" x14ac:dyDescent="0.25">
      <c r="A6799" s="22"/>
      <c r="B6799" s="23"/>
      <c r="C6799" s="23"/>
      <c r="D6799" s="23"/>
      <c r="E6799" s="23"/>
    </row>
    <row r="6800" spans="1:5" x14ac:dyDescent="0.25">
      <c r="A6800" s="22"/>
      <c r="B6800" s="23"/>
      <c r="C6800" s="23"/>
      <c r="D6800" s="23"/>
      <c r="E6800" s="23"/>
    </row>
    <row r="6801" spans="1:5" x14ac:dyDescent="0.25">
      <c r="A6801" s="22"/>
      <c r="B6801" s="23"/>
      <c r="C6801" s="23"/>
      <c r="D6801" s="23"/>
      <c r="E6801" s="23"/>
    </row>
    <row r="6802" spans="1:5" x14ac:dyDescent="0.25">
      <c r="A6802" s="22"/>
      <c r="B6802" s="23"/>
      <c r="C6802" s="23"/>
      <c r="D6802" s="23"/>
      <c r="E6802" s="23"/>
    </row>
    <row r="6803" spans="1:5" x14ac:dyDescent="0.25">
      <c r="A6803" s="22"/>
      <c r="B6803" s="23"/>
      <c r="C6803" s="23"/>
      <c r="D6803" s="23"/>
      <c r="E6803" s="23"/>
    </row>
    <row r="6804" spans="1:5" x14ac:dyDescent="0.25">
      <c r="A6804" s="22"/>
      <c r="B6804" s="23"/>
      <c r="C6804" s="23"/>
      <c r="D6804" s="23"/>
      <c r="E6804" s="23"/>
    </row>
    <row r="6805" spans="1:5" x14ac:dyDescent="0.25">
      <c r="A6805" s="22"/>
      <c r="B6805" s="23"/>
      <c r="C6805" s="23"/>
      <c r="D6805" s="23"/>
      <c r="E6805" s="23"/>
    </row>
    <row r="6806" spans="1:5" x14ac:dyDescent="0.25">
      <c r="A6806" s="22"/>
      <c r="B6806" s="23"/>
      <c r="C6806" s="23"/>
      <c r="D6806" s="23"/>
      <c r="E6806" s="23"/>
    </row>
    <row r="6807" spans="1:5" x14ac:dyDescent="0.25">
      <c r="A6807" s="22"/>
      <c r="B6807" s="23"/>
      <c r="C6807" s="23"/>
      <c r="D6807" s="23"/>
      <c r="E6807" s="23"/>
    </row>
    <row r="6808" spans="1:5" x14ac:dyDescent="0.25">
      <c r="A6808" s="22"/>
      <c r="B6808" s="23"/>
      <c r="C6808" s="23"/>
      <c r="D6808" s="23"/>
      <c r="E6808" s="23"/>
    </row>
    <row r="6809" spans="1:5" x14ac:dyDescent="0.25">
      <c r="A6809" s="22"/>
      <c r="B6809" s="23"/>
      <c r="C6809" s="23"/>
      <c r="D6809" s="23"/>
      <c r="E6809" s="23"/>
    </row>
    <row r="6810" spans="1:5" x14ac:dyDescent="0.25">
      <c r="A6810" s="22"/>
      <c r="B6810" s="23"/>
      <c r="C6810" s="23"/>
      <c r="D6810" s="23"/>
      <c r="E6810" s="23"/>
    </row>
    <row r="6811" spans="1:5" x14ac:dyDescent="0.25">
      <c r="A6811" s="22"/>
      <c r="B6811" s="23"/>
      <c r="C6811" s="23"/>
      <c r="D6811" s="23"/>
      <c r="E6811" s="23"/>
    </row>
    <row r="6812" spans="1:5" x14ac:dyDescent="0.25">
      <c r="A6812" s="22"/>
      <c r="B6812" s="23"/>
      <c r="C6812" s="23"/>
      <c r="D6812" s="23"/>
      <c r="E6812" s="23"/>
    </row>
    <row r="6813" spans="1:5" x14ac:dyDescent="0.25">
      <c r="A6813" s="22"/>
      <c r="B6813" s="23"/>
      <c r="C6813" s="23"/>
      <c r="D6813" s="23"/>
      <c r="E6813" s="23"/>
    </row>
    <row r="6814" spans="1:5" x14ac:dyDescent="0.25">
      <c r="A6814" s="22"/>
      <c r="B6814" s="23"/>
      <c r="C6814" s="23"/>
      <c r="D6814" s="23"/>
      <c r="E6814" s="23"/>
    </row>
    <row r="6815" spans="1:5" x14ac:dyDescent="0.25">
      <c r="A6815" s="22"/>
      <c r="B6815" s="23"/>
      <c r="C6815" s="23"/>
      <c r="D6815" s="23"/>
      <c r="E6815" s="23"/>
    </row>
    <row r="6816" spans="1:5" x14ac:dyDescent="0.25">
      <c r="A6816" s="22"/>
      <c r="B6816" s="23"/>
      <c r="C6816" s="23"/>
      <c r="D6816" s="23"/>
      <c r="E6816" s="23"/>
    </row>
    <row r="6817" spans="1:5" x14ac:dyDescent="0.25">
      <c r="A6817" s="22"/>
      <c r="B6817" s="23"/>
      <c r="C6817" s="23"/>
      <c r="D6817" s="23"/>
      <c r="E6817" s="23"/>
    </row>
    <row r="6818" spans="1:5" x14ac:dyDescent="0.25">
      <c r="A6818" s="22"/>
      <c r="B6818" s="23"/>
      <c r="C6818" s="23"/>
      <c r="D6818" s="23"/>
      <c r="E6818" s="23"/>
    </row>
    <row r="6819" spans="1:5" x14ac:dyDescent="0.25">
      <c r="A6819" s="22"/>
      <c r="B6819" s="23"/>
      <c r="C6819" s="23"/>
      <c r="D6819" s="23"/>
      <c r="E6819" s="23"/>
    </row>
    <row r="6820" spans="1:5" x14ac:dyDescent="0.25">
      <c r="A6820" s="22"/>
      <c r="B6820" s="23"/>
      <c r="C6820" s="23"/>
      <c r="D6820" s="23"/>
      <c r="E6820" s="23"/>
    </row>
    <row r="6821" spans="1:5" x14ac:dyDescent="0.25">
      <c r="A6821" s="22"/>
      <c r="B6821" s="23"/>
      <c r="C6821" s="23"/>
      <c r="D6821" s="23"/>
      <c r="E6821" s="23"/>
    </row>
    <row r="6822" spans="1:5" x14ac:dyDescent="0.25">
      <c r="A6822" s="22"/>
      <c r="B6822" s="23"/>
      <c r="C6822" s="23"/>
      <c r="D6822" s="23"/>
      <c r="E6822" s="23"/>
    </row>
    <row r="6823" spans="1:5" x14ac:dyDescent="0.25">
      <c r="A6823" s="22"/>
      <c r="B6823" s="23"/>
      <c r="C6823" s="23"/>
      <c r="D6823" s="23"/>
      <c r="E6823" s="23"/>
    </row>
    <row r="6824" spans="1:5" x14ac:dyDescent="0.25">
      <c r="A6824" s="22"/>
      <c r="B6824" s="23"/>
      <c r="C6824" s="23"/>
      <c r="D6824" s="23"/>
      <c r="E6824" s="23"/>
    </row>
    <row r="6825" spans="1:5" x14ac:dyDescent="0.25">
      <c r="A6825" s="22"/>
      <c r="B6825" s="23"/>
      <c r="C6825" s="23"/>
      <c r="D6825" s="23"/>
      <c r="E6825" s="23"/>
    </row>
    <row r="6826" spans="1:5" x14ac:dyDescent="0.25">
      <c r="A6826" s="22"/>
      <c r="B6826" s="23"/>
      <c r="C6826" s="23"/>
      <c r="D6826" s="23"/>
      <c r="E6826" s="23"/>
    </row>
    <row r="6827" spans="1:5" x14ac:dyDescent="0.25">
      <c r="A6827" s="22"/>
      <c r="B6827" s="23"/>
      <c r="C6827" s="23"/>
      <c r="D6827" s="23"/>
      <c r="E6827" s="23"/>
    </row>
    <row r="6828" spans="1:5" x14ac:dyDescent="0.25">
      <c r="A6828" s="22"/>
      <c r="B6828" s="23"/>
      <c r="C6828" s="23"/>
      <c r="D6828" s="23"/>
      <c r="E6828" s="23"/>
    </row>
    <row r="6829" spans="1:5" x14ac:dyDescent="0.25">
      <c r="A6829" s="22"/>
      <c r="B6829" s="23"/>
      <c r="C6829" s="23"/>
      <c r="D6829" s="23"/>
      <c r="E6829" s="23"/>
    </row>
    <row r="6830" spans="1:5" x14ac:dyDescent="0.25">
      <c r="A6830" s="22"/>
      <c r="B6830" s="23"/>
      <c r="C6830" s="23"/>
      <c r="D6830" s="23"/>
      <c r="E6830" s="23"/>
    </row>
    <row r="6831" spans="1:5" x14ac:dyDescent="0.25">
      <c r="A6831" s="22"/>
      <c r="B6831" s="23"/>
      <c r="C6831" s="23"/>
      <c r="D6831" s="23"/>
      <c r="E6831" s="23"/>
    </row>
    <row r="6832" spans="1:5" x14ac:dyDescent="0.25">
      <c r="A6832" s="22"/>
      <c r="B6832" s="23"/>
      <c r="C6832" s="23"/>
      <c r="D6832" s="23"/>
      <c r="E6832" s="23"/>
    </row>
    <row r="6833" spans="1:5" x14ac:dyDescent="0.25">
      <c r="A6833" s="22"/>
      <c r="B6833" s="23"/>
      <c r="C6833" s="23"/>
      <c r="D6833" s="23"/>
      <c r="E6833" s="23"/>
    </row>
    <row r="6834" spans="1:5" x14ac:dyDescent="0.25">
      <c r="A6834" s="22"/>
      <c r="B6834" s="23"/>
      <c r="C6834" s="23"/>
      <c r="D6834" s="23"/>
      <c r="E6834" s="23"/>
    </row>
    <row r="6835" spans="1:5" x14ac:dyDescent="0.25">
      <c r="A6835" s="22"/>
      <c r="B6835" s="23"/>
      <c r="C6835" s="23"/>
      <c r="D6835" s="23"/>
      <c r="E6835" s="23"/>
    </row>
    <row r="6836" spans="1:5" x14ac:dyDescent="0.25">
      <c r="A6836" s="22"/>
      <c r="B6836" s="23"/>
      <c r="C6836" s="23"/>
      <c r="D6836" s="23"/>
      <c r="E6836" s="23"/>
    </row>
    <row r="6837" spans="1:5" x14ac:dyDescent="0.25">
      <c r="A6837" s="22"/>
      <c r="B6837" s="23"/>
      <c r="C6837" s="23"/>
      <c r="D6837" s="23"/>
      <c r="E6837" s="23"/>
    </row>
    <row r="6838" spans="1:5" x14ac:dyDescent="0.25">
      <c r="A6838" s="22"/>
      <c r="B6838" s="23"/>
      <c r="C6838" s="23"/>
      <c r="D6838" s="23"/>
      <c r="E6838" s="23"/>
    </row>
    <row r="6839" spans="1:5" x14ac:dyDescent="0.25">
      <c r="A6839" s="22"/>
      <c r="B6839" s="23"/>
      <c r="C6839" s="23"/>
      <c r="D6839" s="23"/>
      <c r="E6839" s="23"/>
    </row>
    <row r="6840" spans="1:5" x14ac:dyDescent="0.25">
      <c r="A6840" s="22"/>
      <c r="B6840" s="23"/>
      <c r="C6840" s="23"/>
      <c r="D6840" s="23"/>
      <c r="E6840" s="23"/>
    </row>
    <row r="6841" spans="1:5" x14ac:dyDescent="0.25">
      <c r="A6841" s="22"/>
      <c r="B6841" s="23"/>
      <c r="C6841" s="23"/>
      <c r="D6841" s="23"/>
      <c r="E6841" s="23"/>
    </row>
    <row r="6842" spans="1:5" x14ac:dyDescent="0.25">
      <c r="A6842" s="22"/>
      <c r="B6842" s="23"/>
      <c r="C6842" s="23"/>
      <c r="D6842" s="23"/>
      <c r="E6842" s="23"/>
    </row>
    <row r="6843" spans="1:5" x14ac:dyDescent="0.25">
      <c r="A6843" s="22"/>
      <c r="B6843" s="23"/>
      <c r="C6843" s="23"/>
      <c r="D6843" s="23"/>
      <c r="E6843" s="23"/>
    </row>
    <row r="6844" spans="1:5" x14ac:dyDescent="0.25">
      <c r="A6844" s="22"/>
      <c r="B6844" s="23"/>
      <c r="C6844" s="23"/>
      <c r="D6844" s="23"/>
      <c r="E6844" s="23"/>
    </row>
    <row r="6845" spans="1:5" x14ac:dyDescent="0.25">
      <c r="A6845" s="22"/>
      <c r="B6845" s="23"/>
      <c r="C6845" s="23"/>
      <c r="D6845" s="23"/>
      <c r="E6845" s="23"/>
    </row>
    <row r="6846" spans="1:5" x14ac:dyDescent="0.25">
      <c r="A6846" s="22"/>
      <c r="B6846" s="23"/>
      <c r="C6846" s="23"/>
      <c r="D6846" s="23"/>
      <c r="E6846" s="23"/>
    </row>
    <row r="6847" spans="1:5" x14ac:dyDescent="0.25">
      <c r="A6847" s="22"/>
      <c r="B6847" s="23"/>
      <c r="C6847" s="23"/>
      <c r="D6847" s="23"/>
      <c r="E6847" s="23"/>
    </row>
    <row r="6848" spans="1:5" x14ac:dyDescent="0.25">
      <c r="A6848" s="22"/>
      <c r="B6848" s="23"/>
      <c r="C6848" s="23"/>
      <c r="D6848" s="23"/>
      <c r="E6848" s="23"/>
    </row>
    <row r="6849" spans="1:5" x14ac:dyDescent="0.25">
      <c r="A6849" s="22"/>
      <c r="B6849" s="23"/>
      <c r="C6849" s="23"/>
      <c r="D6849" s="23"/>
      <c r="E6849" s="23"/>
    </row>
    <row r="6850" spans="1:5" x14ac:dyDescent="0.25">
      <c r="A6850" s="22"/>
      <c r="B6850" s="23"/>
      <c r="C6850" s="23"/>
      <c r="D6850" s="23"/>
      <c r="E6850" s="23"/>
    </row>
    <row r="6851" spans="1:5" x14ac:dyDescent="0.25">
      <c r="A6851" s="22"/>
      <c r="B6851" s="23"/>
      <c r="C6851" s="23"/>
      <c r="D6851" s="23"/>
      <c r="E6851" s="23"/>
    </row>
    <row r="6852" spans="1:5" x14ac:dyDescent="0.25">
      <c r="A6852" s="22"/>
      <c r="B6852" s="23"/>
      <c r="C6852" s="23"/>
      <c r="D6852" s="23"/>
      <c r="E6852" s="23"/>
    </row>
    <row r="6853" spans="1:5" x14ac:dyDescent="0.25">
      <c r="A6853" s="22"/>
      <c r="B6853" s="23"/>
      <c r="C6853" s="23"/>
      <c r="D6853" s="23"/>
      <c r="E6853" s="23"/>
    </row>
    <row r="6854" spans="1:5" x14ac:dyDescent="0.25">
      <c r="A6854" s="22"/>
      <c r="B6854" s="23"/>
      <c r="C6854" s="23"/>
      <c r="D6854" s="23"/>
      <c r="E6854" s="23"/>
    </row>
    <row r="6855" spans="1:5" x14ac:dyDescent="0.25">
      <c r="A6855" s="22"/>
      <c r="B6855" s="23"/>
      <c r="C6855" s="23"/>
      <c r="D6855" s="23"/>
      <c r="E6855" s="23"/>
    </row>
    <row r="6856" spans="1:5" x14ac:dyDescent="0.25">
      <c r="A6856" s="22"/>
      <c r="B6856" s="23"/>
      <c r="C6856" s="23"/>
      <c r="D6856" s="23"/>
      <c r="E6856" s="23"/>
    </row>
    <row r="6857" spans="1:5" x14ac:dyDescent="0.25">
      <c r="A6857" s="22"/>
      <c r="B6857" s="23"/>
      <c r="C6857" s="23"/>
      <c r="D6857" s="23"/>
      <c r="E6857" s="23"/>
    </row>
    <row r="6858" spans="1:5" x14ac:dyDescent="0.25">
      <c r="A6858" s="22"/>
      <c r="B6858" s="23"/>
      <c r="C6858" s="23"/>
      <c r="D6858" s="23"/>
      <c r="E6858" s="23"/>
    </row>
    <row r="6859" spans="1:5" x14ac:dyDescent="0.25">
      <c r="A6859" s="22"/>
      <c r="B6859" s="23"/>
      <c r="C6859" s="23"/>
      <c r="D6859" s="23"/>
      <c r="E6859" s="23"/>
    </row>
    <row r="6860" spans="1:5" x14ac:dyDescent="0.25">
      <c r="A6860" s="22"/>
      <c r="B6860" s="23"/>
      <c r="C6860" s="23"/>
      <c r="D6860" s="23"/>
      <c r="E6860" s="23"/>
    </row>
    <row r="6861" spans="1:5" x14ac:dyDescent="0.25">
      <c r="A6861" s="22"/>
      <c r="B6861" s="23"/>
      <c r="C6861" s="23"/>
      <c r="D6861" s="23"/>
      <c r="E6861" s="23"/>
    </row>
    <row r="6862" spans="1:5" x14ac:dyDescent="0.25">
      <c r="A6862" s="22"/>
      <c r="B6862" s="23"/>
      <c r="C6862" s="23"/>
      <c r="D6862" s="23"/>
      <c r="E6862" s="23"/>
    </row>
    <row r="6863" spans="1:5" x14ac:dyDescent="0.25">
      <c r="A6863" s="22"/>
      <c r="B6863" s="23"/>
      <c r="C6863" s="23"/>
      <c r="D6863" s="23"/>
      <c r="E6863" s="23"/>
    </row>
    <row r="6864" spans="1:5" x14ac:dyDescent="0.25">
      <c r="A6864" s="22"/>
      <c r="B6864" s="23"/>
      <c r="C6864" s="23"/>
      <c r="D6864" s="23"/>
      <c r="E6864" s="23"/>
    </row>
    <row r="6865" spans="1:5" x14ac:dyDescent="0.25">
      <c r="A6865" s="22"/>
      <c r="B6865" s="23"/>
      <c r="C6865" s="23"/>
      <c r="D6865" s="23"/>
      <c r="E6865" s="23"/>
    </row>
    <row r="6866" spans="1:5" x14ac:dyDescent="0.25">
      <c r="A6866" s="22"/>
      <c r="B6866" s="23"/>
      <c r="C6866" s="23"/>
      <c r="D6866" s="23"/>
      <c r="E6866" s="23"/>
    </row>
    <row r="6867" spans="1:5" x14ac:dyDescent="0.25">
      <c r="A6867" s="22"/>
      <c r="B6867" s="23"/>
      <c r="C6867" s="23"/>
      <c r="D6867" s="23"/>
      <c r="E6867" s="23"/>
    </row>
    <row r="6868" spans="1:5" x14ac:dyDescent="0.25">
      <c r="A6868" s="22"/>
      <c r="B6868" s="23"/>
      <c r="C6868" s="23"/>
      <c r="D6868" s="23"/>
      <c r="E6868" s="23"/>
    </row>
    <row r="6869" spans="1:5" x14ac:dyDescent="0.25">
      <c r="A6869" s="22"/>
      <c r="B6869" s="23"/>
      <c r="C6869" s="23"/>
      <c r="D6869" s="23"/>
      <c r="E6869" s="23"/>
    </row>
    <row r="6870" spans="1:5" x14ac:dyDescent="0.25">
      <c r="A6870" s="22"/>
      <c r="B6870" s="23"/>
      <c r="C6870" s="23"/>
      <c r="D6870" s="23"/>
      <c r="E6870" s="23"/>
    </row>
    <row r="6871" spans="1:5" x14ac:dyDescent="0.25">
      <c r="A6871" s="22"/>
      <c r="B6871" s="23"/>
      <c r="C6871" s="23"/>
      <c r="D6871" s="23"/>
      <c r="E6871" s="23"/>
    </row>
    <row r="6872" spans="1:5" x14ac:dyDescent="0.25">
      <c r="A6872" s="22"/>
      <c r="B6872" s="23"/>
      <c r="C6872" s="23"/>
      <c r="D6872" s="23"/>
      <c r="E6872" s="23"/>
    </row>
    <row r="6873" spans="1:5" x14ac:dyDescent="0.25">
      <c r="A6873" s="22"/>
      <c r="B6873" s="23"/>
      <c r="C6873" s="23"/>
      <c r="D6873" s="23"/>
      <c r="E6873" s="23"/>
    </row>
    <row r="6874" spans="1:5" x14ac:dyDescent="0.25">
      <c r="A6874" s="22"/>
      <c r="B6874" s="23"/>
      <c r="C6874" s="23"/>
      <c r="D6874" s="23"/>
      <c r="E6874" s="23"/>
    </row>
    <row r="6875" spans="1:5" x14ac:dyDescent="0.25">
      <c r="A6875" s="22"/>
      <c r="B6875" s="23"/>
      <c r="C6875" s="23"/>
      <c r="D6875" s="23"/>
      <c r="E6875" s="23"/>
    </row>
    <row r="6876" spans="1:5" x14ac:dyDescent="0.25">
      <c r="A6876" s="22"/>
      <c r="B6876" s="23"/>
      <c r="C6876" s="23"/>
      <c r="D6876" s="23"/>
      <c r="E6876" s="23"/>
    </row>
    <row r="6877" spans="1:5" x14ac:dyDescent="0.25">
      <c r="A6877" s="22"/>
      <c r="B6877" s="23"/>
      <c r="C6877" s="23"/>
      <c r="D6877" s="23"/>
      <c r="E6877" s="23"/>
    </row>
    <row r="6878" spans="1:5" x14ac:dyDescent="0.25">
      <c r="A6878" s="22"/>
      <c r="B6878" s="23"/>
      <c r="C6878" s="23"/>
      <c r="D6878" s="23"/>
      <c r="E6878" s="23"/>
    </row>
    <row r="6879" spans="1:5" x14ac:dyDescent="0.25">
      <c r="A6879" s="22"/>
      <c r="B6879" s="23"/>
      <c r="C6879" s="23"/>
      <c r="D6879" s="23"/>
      <c r="E6879" s="23"/>
    </row>
    <row r="6880" spans="1:5" x14ac:dyDescent="0.25">
      <c r="A6880" s="22"/>
      <c r="B6880" s="23"/>
      <c r="C6880" s="23"/>
      <c r="D6880" s="23"/>
      <c r="E6880" s="23"/>
    </row>
    <row r="6881" spans="1:5" x14ac:dyDescent="0.25">
      <c r="A6881" s="22"/>
      <c r="B6881" s="23"/>
      <c r="C6881" s="23"/>
      <c r="D6881" s="23"/>
      <c r="E6881" s="23"/>
    </row>
    <row r="6882" spans="1:5" x14ac:dyDescent="0.25">
      <c r="A6882" s="22"/>
      <c r="B6882" s="23"/>
      <c r="C6882" s="23"/>
      <c r="D6882" s="23"/>
      <c r="E6882" s="23"/>
    </row>
    <row r="6883" spans="1:5" x14ac:dyDescent="0.25">
      <c r="A6883" s="22"/>
      <c r="B6883" s="23"/>
      <c r="C6883" s="23"/>
      <c r="D6883" s="23"/>
      <c r="E6883" s="23"/>
    </row>
    <row r="6884" spans="1:5" x14ac:dyDescent="0.25">
      <c r="A6884" s="22"/>
      <c r="B6884" s="23"/>
      <c r="C6884" s="23"/>
      <c r="D6884" s="23"/>
      <c r="E6884" s="23"/>
    </row>
    <row r="6885" spans="1:5" x14ac:dyDescent="0.25">
      <c r="A6885" s="22"/>
      <c r="B6885" s="23"/>
      <c r="C6885" s="23"/>
      <c r="D6885" s="23"/>
      <c r="E6885" s="23"/>
    </row>
    <row r="6886" spans="1:5" x14ac:dyDescent="0.25">
      <c r="A6886" s="22"/>
      <c r="B6886" s="23"/>
      <c r="C6886" s="23"/>
      <c r="D6886" s="23"/>
      <c r="E6886" s="23"/>
    </row>
    <row r="6887" spans="1:5" x14ac:dyDescent="0.25">
      <c r="A6887" s="22"/>
      <c r="B6887" s="23"/>
      <c r="C6887" s="23"/>
      <c r="D6887" s="23"/>
      <c r="E6887" s="23"/>
    </row>
    <row r="6888" spans="1:5" x14ac:dyDescent="0.25">
      <c r="A6888" s="22"/>
      <c r="B6888" s="23"/>
      <c r="C6888" s="23"/>
      <c r="D6888" s="23"/>
      <c r="E6888" s="23"/>
    </row>
    <row r="6889" spans="1:5" x14ac:dyDescent="0.25">
      <c r="A6889" s="22"/>
      <c r="B6889" s="23"/>
      <c r="C6889" s="23"/>
      <c r="D6889" s="23"/>
      <c r="E6889" s="23"/>
    </row>
    <row r="6890" spans="1:5" x14ac:dyDescent="0.25">
      <c r="A6890" s="22"/>
      <c r="B6890" s="23"/>
      <c r="C6890" s="23"/>
      <c r="D6890" s="23"/>
      <c r="E6890" s="23"/>
    </row>
    <row r="6891" spans="1:5" x14ac:dyDescent="0.25">
      <c r="A6891" s="22"/>
      <c r="B6891" s="23"/>
      <c r="C6891" s="23"/>
      <c r="D6891" s="23"/>
      <c r="E6891" s="23"/>
    </row>
    <row r="6892" spans="1:5" x14ac:dyDescent="0.25">
      <c r="A6892" s="22"/>
      <c r="B6892" s="23"/>
      <c r="C6892" s="23"/>
      <c r="D6892" s="23"/>
      <c r="E6892" s="23"/>
    </row>
    <row r="6893" spans="1:5" x14ac:dyDescent="0.25">
      <c r="A6893" s="22"/>
      <c r="B6893" s="23"/>
      <c r="C6893" s="23"/>
      <c r="D6893" s="23"/>
      <c r="E6893" s="23"/>
    </row>
    <row r="6894" spans="1:5" x14ac:dyDescent="0.25">
      <c r="A6894" s="22"/>
      <c r="B6894" s="23"/>
      <c r="C6894" s="23"/>
      <c r="D6894" s="23"/>
      <c r="E6894" s="23"/>
    </row>
    <row r="6895" spans="1:5" x14ac:dyDescent="0.25">
      <c r="A6895" s="22"/>
      <c r="B6895" s="23"/>
      <c r="C6895" s="23"/>
      <c r="D6895" s="23"/>
      <c r="E6895" s="23"/>
    </row>
    <row r="6896" spans="1:5" x14ac:dyDescent="0.25">
      <c r="A6896" s="22"/>
      <c r="B6896" s="23"/>
      <c r="C6896" s="23"/>
      <c r="D6896" s="23"/>
      <c r="E6896" s="23"/>
    </row>
    <row r="6897" spans="1:5" x14ac:dyDescent="0.25">
      <c r="A6897" s="22"/>
      <c r="B6897" s="23"/>
      <c r="C6897" s="23"/>
      <c r="D6897" s="23"/>
      <c r="E6897" s="23"/>
    </row>
    <row r="6898" spans="1:5" x14ac:dyDescent="0.25">
      <c r="A6898" s="22"/>
      <c r="B6898" s="23"/>
      <c r="C6898" s="23"/>
      <c r="D6898" s="23"/>
      <c r="E6898" s="23"/>
    </row>
    <row r="6899" spans="1:5" x14ac:dyDescent="0.25">
      <c r="A6899" s="22"/>
      <c r="B6899" s="23"/>
      <c r="C6899" s="23"/>
      <c r="D6899" s="23"/>
      <c r="E6899" s="23"/>
    </row>
    <row r="6900" spans="1:5" x14ac:dyDescent="0.25">
      <c r="A6900" s="22"/>
      <c r="B6900" s="23"/>
      <c r="C6900" s="23"/>
      <c r="D6900" s="23"/>
      <c r="E6900" s="23"/>
    </row>
    <row r="6901" spans="1:5" x14ac:dyDescent="0.25">
      <c r="A6901" s="22"/>
      <c r="B6901" s="23"/>
      <c r="C6901" s="23"/>
      <c r="D6901" s="23"/>
      <c r="E6901" s="23"/>
    </row>
    <row r="6902" spans="1:5" x14ac:dyDescent="0.25">
      <c r="A6902" s="22"/>
      <c r="B6902" s="23"/>
      <c r="C6902" s="23"/>
      <c r="D6902" s="23"/>
      <c r="E6902" s="23"/>
    </row>
    <row r="6903" spans="1:5" x14ac:dyDescent="0.25">
      <c r="A6903" s="22"/>
      <c r="B6903" s="23"/>
      <c r="C6903" s="23"/>
      <c r="D6903" s="23"/>
      <c r="E6903" s="23"/>
    </row>
    <row r="6904" spans="1:5" x14ac:dyDescent="0.25">
      <c r="A6904" s="22"/>
      <c r="B6904" s="23"/>
      <c r="C6904" s="23"/>
      <c r="D6904" s="23"/>
      <c r="E6904" s="23"/>
    </row>
    <row r="6905" spans="1:5" x14ac:dyDescent="0.25">
      <c r="A6905" s="22"/>
      <c r="B6905" s="23"/>
      <c r="C6905" s="23"/>
      <c r="D6905" s="23"/>
      <c r="E6905" s="23"/>
    </row>
    <row r="6906" spans="1:5" x14ac:dyDescent="0.25">
      <c r="A6906" s="22"/>
      <c r="B6906" s="23"/>
      <c r="C6906" s="23"/>
      <c r="D6906" s="23"/>
      <c r="E6906" s="23"/>
    </row>
    <row r="6907" spans="1:5" x14ac:dyDescent="0.25">
      <c r="A6907" s="22"/>
      <c r="B6907" s="23"/>
      <c r="C6907" s="23"/>
      <c r="D6907" s="23"/>
      <c r="E6907" s="23"/>
    </row>
    <row r="6908" spans="1:5" x14ac:dyDescent="0.25">
      <c r="A6908" s="22"/>
      <c r="B6908" s="23"/>
      <c r="C6908" s="23"/>
      <c r="D6908" s="23"/>
      <c r="E6908" s="23"/>
    </row>
    <row r="6909" spans="1:5" x14ac:dyDescent="0.25">
      <c r="A6909" s="22"/>
      <c r="B6909" s="23"/>
      <c r="C6909" s="23"/>
      <c r="D6909" s="23"/>
      <c r="E6909" s="23"/>
    </row>
    <row r="6910" spans="1:5" x14ac:dyDescent="0.25">
      <c r="A6910" s="22"/>
      <c r="B6910" s="23"/>
      <c r="C6910" s="23"/>
      <c r="D6910" s="23"/>
      <c r="E6910" s="23"/>
    </row>
    <row r="6911" spans="1:5" x14ac:dyDescent="0.25">
      <c r="A6911" s="22"/>
      <c r="B6911" s="23"/>
      <c r="C6911" s="23"/>
      <c r="D6911" s="23"/>
      <c r="E6911" s="23"/>
    </row>
    <row r="6912" spans="1:5" x14ac:dyDescent="0.25">
      <c r="A6912" s="22"/>
      <c r="B6912" s="23"/>
      <c r="C6912" s="23"/>
      <c r="D6912" s="23"/>
      <c r="E6912" s="23"/>
    </row>
    <row r="6913" spans="1:5" x14ac:dyDescent="0.25">
      <c r="A6913" s="22"/>
      <c r="B6913" s="23"/>
      <c r="C6913" s="23"/>
      <c r="D6913" s="23"/>
      <c r="E6913" s="23"/>
    </row>
    <row r="6914" spans="1:5" x14ac:dyDescent="0.25">
      <c r="A6914" s="22"/>
      <c r="B6914" s="23"/>
      <c r="C6914" s="23"/>
      <c r="D6914" s="23"/>
      <c r="E6914" s="23"/>
    </row>
    <row r="6915" spans="1:5" x14ac:dyDescent="0.25">
      <c r="A6915" s="22"/>
      <c r="B6915" s="23"/>
      <c r="C6915" s="23"/>
      <c r="D6915" s="23"/>
      <c r="E6915" s="23"/>
    </row>
    <row r="6916" spans="1:5" x14ac:dyDescent="0.25">
      <c r="A6916" s="22"/>
      <c r="B6916" s="23"/>
      <c r="C6916" s="23"/>
      <c r="D6916" s="23"/>
      <c r="E6916" s="23"/>
    </row>
    <row r="6917" spans="1:5" x14ac:dyDescent="0.25">
      <c r="A6917" s="22"/>
      <c r="B6917" s="23"/>
      <c r="C6917" s="23"/>
      <c r="D6917" s="23"/>
      <c r="E6917" s="23"/>
    </row>
    <row r="6918" spans="1:5" x14ac:dyDescent="0.25">
      <c r="A6918" s="22"/>
      <c r="B6918" s="23"/>
      <c r="C6918" s="23"/>
      <c r="D6918" s="23"/>
      <c r="E6918" s="23"/>
    </row>
    <row r="6919" spans="1:5" x14ac:dyDescent="0.25">
      <c r="A6919" s="22"/>
      <c r="B6919" s="23"/>
      <c r="C6919" s="23"/>
      <c r="D6919" s="23"/>
      <c r="E6919" s="23"/>
    </row>
    <row r="6920" spans="1:5" x14ac:dyDescent="0.25">
      <c r="A6920" s="22"/>
      <c r="B6920" s="23"/>
      <c r="C6920" s="23"/>
      <c r="D6920" s="23"/>
      <c r="E6920" s="23"/>
    </row>
    <row r="6921" spans="1:5" x14ac:dyDescent="0.25">
      <c r="A6921" s="22"/>
      <c r="B6921" s="23"/>
      <c r="C6921" s="23"/>
      <c r="D6921" s="23"/>
      <c r="E6921" s="23"/>
    </row>
    <row r="6922" spans="1:5" x14ac:dyDescent="0.25">
      <c r="A6922" s="22"/>
      <c r="B6922" s="23"/>
      <c r="C6922" s="23"/>
      <c r="D6922" s="23"/>
      <c r="E6922" s="23"/>
    </row>
    <row r="6923" spans="1:5" x14ac:dyDescent="0.25">
      <c r="A6923" s="22"/>
      <c r="B6923" s="23"/>
      <c r="C6923" s="23"/>
      <c r="D6923" s="23"/>
      <c r="E6923" s="23"/>
    </row>
    <row r="6924" spans="1:5" x14ac:dyDescent="0.25">
      <c r="A6924" s="22"/>
      <c r="B6924" s="23"/>
      <c r="C6924" s="23"/>
      <c r="D6924" s="23"/>
      <c r="E6924" s="23"/>
    </row>
    <row r="6925" spans="1:5" x14ac:dyDescent="0.25">
      <c r="A6925" s="22"/>
      <c r="B6925" s="23"/>
      <c r="C6925" s="23"/>
      <c r="D6925" s="23"/>
      <c r="E6925" s="23"/>
    </row>
    <row r="6926" spans="1:5" x14ac:dyDescent="0.25">
      <c r="A6926" s="22"/>
      <c r="B6926" s="23"/>
      <c r="C6926" s="23"/>
      <c r="D6926" s="23"/>
      <c r="E6926" s="23"/>
    </row>
    <row r="6927" spans="1:5" x14ac:dyDescent="0.25">
      <c r="A6927" s="22"/>
      <c r="B6927" s="23"/>
      <c r="C6927" s="23"/>
      <c r="D6927" s="23"/>
      <c r="E6927" s="23"/>
    </row>
    <row r="6928" spans="1:5" x14ac:dyDescent="0.25">
      <c r="A6928" s="22"/>
      <c r="B6928" s="23"/>
      <c r="C6928" s="23"/>
      <c r="D6928" s="23"/>
      <c r="E6928" s="23"/>
    </row>
    <row r="6929" spans="1:5" x14ac:dyDescent="0.25">
      <c r="A6929" s="22"/>
      <c r="B6929" s="23"/>
      <c r="C6929" s="23"/>
      <c r="D6929" s="23"/>
      <c r="E6929" s="23"/>
    </row>
    <row r="6930" spans="1:5" x14ac:dyDescent="0.25">
      <c r="A6930" s="22"/>
      <c r="B6930" s="23"/>
      <c r="C6930" s="23"/>
      <c r="D6930" s="23"/>
      <c r="E6930" s="23"/>
    </row>
    <row r="6931" spans="1:5" x14ac:dyDescent="0.25">
      <c r="A6931" s="22"/>
      <c r="B6931" s="23"/>
      <c r="C6931" s="23"/>
      <c r="D6931" s="23"/>
      <c r="E6931" s="23"/>
    </row>
    <row r="6932" spans="1:5" x14ac:dyDescent="0.25">
      <c r="A6932" s="22"/>
      <c r="B6932" s="23"/>
      <c r="C6932" s="23"/>
      <c r="D6932" s="23"/>
      <c r="E6932" s="23"/>
    </row>
    <row r="6933" spans="1:5" x14ac:dyDescent="0.25">
      <c r="A6933" s="22"/>
      <c r="B6933" s="23"/>
      <c r="C6933" s="23"/>
      <c r="D6933" s="23"/>
      <c r="E6933" s="23"/>
    </row>
    <row r="6934" spans="1:5" x14ac:dyDescent="0.25">
      <c r="A6934" s="22"/>
      <c r="B6934" s="23"/>
      <c r="C6934" s="23"/>
      <c r="D6934" s="23"/>
      <c r="E6934" s="23"/>
    </row>
    <row r="6935" spans="1:5" x14ac:dyDescent="0.25">
      <c r="A6935" s="22"/>
      <c r="B6935" s="23"/>
      <c r="C6935" s="23"/>
      <c r="D6935" s="23"/>
      <c r="E6935" s="23"/>
    </row>
    <row r="6936" spans="1:5" x14ac:dyDescent="0.25">
      <c r="A6936" s="22"/>
      <c r="B6936" s="23"/>
      <c r="C6936" s="23"/>
      <c r="D6936" s="23"/>
      <c r="E6936" s="23"/>
    </row>
    <row r="6937" spans="1:5" x14ac:dyDescent="0.25">
      <c r="A6937" s="22"/>
      <c r="B6937" s="23"/>
      <c r="C6937" s="23"/>
      <c r="D6937" s="23"/>
      <c r="E6937" s="23"/>
    </row>
    <row r="6938" spans="1:5" x14ac:dyDescent="0.25">
      <c r="A6938" s="22"/>
      <c r="B6938" s="23"/>
      <c r="C6938" s="23"/>
      <c r="D6938" s="23"/>
      <c r="E6938" s="23"/>
    </row>
    <row r="6939" spans="1:5" x14ac:dyDescent="0.25">
      <c r="A6939" s="22"/>
      <c r="B6939" s="23"/>
      <c r="C6939" s="23"/>
      <c r="D6939" s="23"/>
      <c r="E6939" s="23"/>
    </row>
    <row r="6940" spans="1:5" x14ac:dyDescent="0.25">
      <c r="A6940" s="22"/>
      <c r="B6940" s="23"/>
      <c r="C6940" s="23"/>
      <c r="D6940" s="23"/>
      <c r="E6940" s="23"/>
    </row>
    <row r="6941" spans="1:5" x14ac:dyDescent="0.25">
      <c r="A6941" s="22"/>
      <c r="B6941" s="23"/>
      <c r="C6941" s="23"/>
      <c r="D6941" s="23"/>
      <c r="E6941" s="23"/>
    </row>
    <row r="6942" spans="1:5" x14ac:dyDescent="0.25">
      <c r="A6942" s="22"/>
      <c r="B6942" s="23"/>
      <c r="C6942" s="23"/>
      <c r="D6942" s="23"/>
      <c r="E6942" s="23"/>
    </row>
    <row r="6943" spans="1:5" x14ac:dyDescent="0.25">
      <c r="A6943" s="22"/>
      <c r="B6943" s="23"/>
      <c r="C6943" s="23"/>
      <c r="D6943" s="23"/>
      <c r="E6943" s="23"/>
    </row>
    <row r="6944" spans="1:5" x14ac:dyDescent="0.25">
      <c r="A6944" s="22"/>
      <c r="B6944" s="23"/>
      <c r="C6944" s="23"/>
      <c r="D6944" s="23"/>
      <c r="E6944" s="23"/>
    </row>
    <row r="6945" spans="1:5" x14ac:dyDescent="0.25">
      <c r="A6945" s="22"/>
      <c r="B6945" s="23"/>
      <c r="C6945" s="23"/>
      <c r="D6945" s="23"/>
      <c r="E6945" s="23"/>
    </row>
    <row r="6946" spans="1:5" x14ac:dyDescent="0.25">
      <c r="A6946" s="22"/>
      <c r="B6946" s="23"/>
      <c r="C6946" s="23"/>
      <c r="D6946" s="23"/>
      <c r="E6946" s="23"/>
    </row>
    <row r="6947" spans="1:5" x14ac:dyDescent="0.25">
      <c r="A6947" s="22"/>
      <c r="B6947" s="23"/>
      <c r="C6947" s="23"/>
      <c r="D6947" s="23"/>
      <c r="E6947" s="23"/>
    </row>
    <row r="6948" spans="1:5" x14ac:dyDescent="0.25">
      <c r="A6948" s="22"/>
      <c r="B6948" s="23"/>
      <c r="C6948" s="23"/>
      <c r="D6948" s="23"/>
      <c r="E6948" s="23"/>
    </row>
    <row r="6949" spans="1:5" x14ac:dyDescent="0.25">
      <c r="A6949" s="22"/>
      <c r="B6949" s="23"/>
      <c r="C6949" s="23"/>
      <c r="D6949" s="23"/>
      <c r="E6949" s="23"/>
    </row>
    <row r="6950" spans="1:5" x14ac:dyDescent="0.25">
      <c r="A6950" s="22"/>
      <c r="B6950" s="23"/>
      <c r="C6950" s="23"/>
      <c r="D6950" s="23"/>
      <c r="E6950" s="23"/>
    </row>
    <row r="6951" spans="1:5" x14ac:dyDescent="0.25">
      <c r="A6951" s="22"/>
      <c r="B6951" s="23"/>
      <c r="C6951" s="23"/>
      <c r="D6951" s="23"/>
      <c r="E6951" s="23"/>
    </row>
    <row r="6952" spans="1:5" x14ac:dyDescent="0.25">
      <c r="A6952" s="22"/>
      <c r="B6952" s="23"/>
      <c r="C6952" s="23"/>
      <c r="D6952" s="23"/>
      <c r="E6952" s="23"/>
    </row>
    <row r="6953" spans="1:5" x14ac:dyDescent="0.25">
      <c r="A6953" s="22"/>
      <c r="B6953" s="23"/>
      <c r="C6953" s="23"/>
      <c r="D6953" s="23"/>
      <c r="E6953" s="23"/>
    </row>
    <row r="6954" spans="1:5" x14ac:dyDescent="0.25">
      <c r="A6954" s="22"/>
      <c r="B6954" s="23"/>
      <c r="C6954" s="23"/>
      <c r="D6954" s="23"/>
      <c r="E6954" s="23"/>
    </row>
    <row r="6955" spans="1:5" x14ac:dyDescent="0.25">
      <c r="A6955" s="22"/>
      <c r="B6955" s="23"/>
      <c r="C6955" s="23"/>
      <c r="D6955" s="23"/>
      <c r="E6955" s="23"/>
    </row>
    <row r="6956" spans="1:5" x14ac:dyDescent="0.25">
      <c r="A6956" s="22"/>
      <c r="B6956" s="23"/>
      <c r="C6956" s="23"/>
      <c r="D6956" s="23"/>
      <c r="E6956" s="23"/>
    </row>
    <row r="6957" spans="1:5" x14ac:dyDescent="0.25">
      <c r="A6957" s="22"/>
      <c r="B6957" s="23"/>
      <c r="C6957" s="23"/>
      <c r="D6957" s="23"/>
      <c r="E6957" s="23"/>
    </row>
    <row r="6958" spans="1:5" x14ac:dyDescent="0.25">
      <c r="A6958" s="22"/>
      <c r="B6958" s="23"/>
      <c r="C6958" s="23"/>
      <c r="D6958" s="23"/>
      <c r="E6958" s="23"/>
    </row>
    <row r="6959" spans="1:5" x14ac:dyDescent="0.25">
      <c r="A6959" s="22"/>
      <c r="B6959" s="23"/>
      <c r="C6959" s="23"/>
      <c r="D6959" s="23"/>
      <c r="E6959" s="23"/>
    </row>
    <row r="6960" spans="1:5" x14ac:dyDescent="0.25">
      <c r="A6960" s="22"/>
      <c r="B6960" s="23"/>
      <c r="C6960" s="23"/>
      <c r="D6960" s="23"/>
      <c r="E6960" s="23"/>
    </row>
    <row r="6961" spans="1:5" x14ac:dyDescent="0.25">
      <c r="A6961" s="22"/>
      <c r="B6961" s="23"/>
      <c r="C6961" s="23"/>
      <c r="D6961" s="23"/>
      <c r="E6961" s="23"/>
    </row>
    <row r="6962" spans="1:5" x14ac:dyDescent="0.25">
      <c r="A6962" s="22"/>
      <c r="B6962" s="23"/>
      <c r="C6962" s="23"/>
      <c r="D6962" s="23"/>
      <c r="E6962" s="23"/>
    </row>
    <row r="6963" spans="1:5" x14ac:dyDescent="0.25">
      <c r="A6963" s="22"/>
      <c r="B6963" s="23"/>
      <c r="C6963" s="23"/>
      <c r="D6963" s="23"/>
      <c r="E6963" s="23"/>
    </row>
    <row r="6964" spans="1:5" x14ac:dyDescent="0.25">
      <c r="A6964" s="22"/>
      <c r="B6964" s="23"/>
      <c r="C6964" s="23"/>
      <c r="D6964" s="23"/>
      <c r="E6964" s="23"/>
    </row>
    <row r="6965" spans="1:5" x14ac:dyDescent="0.25">
      <c r="A6965" s="22"/>
      <c r="B6965" s="23"/>
      <c r="C6965" s="23"/>
      <c r="D6965" s="23"/>
      <c r="E6965" s="23"/>
    </row>
    <row r="6966" spans="1:5" x14ac:dyDescent="0.25">
      <c r="A6966" s="22"/>
      <c r="B6966" s="23"/>
      <c r="C6966" s="23"/>
      <c r="D6966" s="23"/>
      <c r="E6966" s="23"/>
    </row>
    <row r="6967" spans="1:5" x14ac:dyDescent="0.25">
      <c r="A6967" s="22"/>
      <c r="B6967" s="23"/>
      <c r="C6967" s="23"/>
      <c r="D6967" s="23"/>
      <c r="E6967" s="23"/>
    </row>
    <row r="6968" spans="1:5" x14ac:dyDescent="0.25">
      <c r="A6968" s="22"/>
      <c r="B6968" s="23"/>
      <c r="C6968" s="23"/>
      <c r="D6968" s="23"/>
      <c r="E6968" s="23"/>
    </row>
    <row r="6969" spans="1:5" x14ac:dyDescent="0.25">
      <c r="A6969" s="22"/>
      <c r="B6969" s="23"/>
      <c r="C6969" s="23"/>
      <c r="D6969" s="23"/>
      <c r="E6969" s="23"/>
    </row>
    <row r="6970" spans="1:5" x14ac:dyDescent="0.25">
      <c r="A6970" s="22"/>
      <c r="B6970" s="23"/>
      <c r="C6970" s="23"/>
      <c r="D6970" s="23"/>
      <c r="E6970" s="23"/>
    </row>
    <row r="6971" spans="1:5" x14ac:dyDescent="0.25">
      <c r="A6971" s="22"/>
      <c r="B6971" s="23"/>
      <c r="C6971" s="23"/>
      <c r="D6971" s="23"/>
      <c r="E6971" s="23"/>
    </row>
    <row r="6972" spans="1:5" x14ac:dyDescent="0.25">
      <c r="A6972" s="22"/>
      <c r="B6972" s="23"/>
      <c r="C6972" s="23"/>
      <c r="D6972" s="23"/>
      <c r="E6972" s="23"/>
    </row>
    <row r="6973" spans="1:5" x14ac:dyDescent="0.25">
      <c r="A6973" s="22"/>
      <c r="B6973" s="23"/>
      <c r="C6973" s="23"/>
      <c r="D6973" s="23"/>
      <c r="E6973" s="23"/>
    </row>
    <row r="6974" spans="1:5" x14ac:dyDescent="0.25">
      <c r="A6974" s="22"/>
      <c r="B6974" s="23"/>
      <c r="C6974" s="23"/>
      <c r="D6974" s="23"/>
      <c r="E6974" s="23"/>
    </row>
    <row r="6975" spans="1:5" x14ac:dyDescent="0.25">
      <c r="A6975" s="22"/>
      <c r="B6975" s="23"/>
      <c r="C6975" s="23"/>
      <c r="D6975" s="23"/>
      <c r="E6975" s="23"/>
    </row>
    <row r="6976" spans="1:5" x14ac:dyDescent="0.25">
      <c r="A6976" s="22"/>
      <c r="B6976" s="23"/>
      <c r="C6976" s="23"/>
      <c r="D6976" s="23"/>
      <c r="E6976" s="23"/>
    </row>
    <row r="6977" spans="1:5" x14ac:dyDescent="0.25">
      <c r="A6977" s="22"/>
      <c r="B6977" s="23"/>
      <c r="C6977" s="23"/>
      <c r="D6977" s="23"/>
      <c r="E6977" s="23"/>
    </row>
    <row r="6978" spans="1:5" x14ac:dyDescent="0.25">
      <c r="A6978" s="22"/>
      <c r="B6978" s="23"/>
      <c r="C6978" s="23"/>
      <c r="D6978" s="23"/>
      <c r="E6978" s="23"/>
    </row>
    <row r="6979" spans="1:5" x14ac:dyDescent="0.25">
      <c r="A6979" s="22"/>
      <c r="B6979" s="23"/>
      <c r="C6979" s="23"/>
      <c r="D6979" s="23"/>
      <c r="E6979" s="23"/>
    </row>
    <row r="6980" spans="1:5" x14ac:dyDescent="0.25">
      <c r="A6980" s="22"/>
      <c r="B6980" s="23"/>
      <c r="C6980" s="23"/>
      <c r="D6980" s="23"/>
      <c r="E6980" s="23"/>
    </row>
    <row r="6981" spans="1:5" x14ac:dyDescent="0.25">
      <c r="A6981" s="22"/>
      <c r="B6981" s="23"/>
      <c r="C6981" s="23"/>
      <c r="D6981" s="23"/>
      <c r="E6981" s="23"/>
    </row>
    <row r="6982" spans="1:5" x14ac:dyDescent="0.25">
      <c r="A6982" s="22"/>
      <c r="B6982" s="23"/>
      <c r="C6982" s="23"/>
      <c r="D6982" s="23"/>
      <c r="E6982" s="23"/>
    </row>
    <row r="6983" spans="1:5" x14ac:dyDescent="0.25">
      <c r="A6983" s="22"/>
      <c r="B6983" s="23"/>
      <c r="C6983" s="23"/>
      <c r="D6983" s="23"/>
      <c r="E6983" s="23"/>
    </row>
    <row r="6984" spans="1:5" x14ac:dyDescent="0.25">
      <c r="A6984" s="22"/>
      <c r="B6984" s="23"/>
      <c r="C6984" s="23"/>
      <c r="D6984" s="23"/>
      <c r="E6984" s="23"/>
    </row>
    <row r="6985" spans="1:5" x14ac:dyDescent="0.25">
      <c r="A6985" s="22"/>
      <c r="B6985" s="23"/>
      <c r="C6985" s="23"/>
      <c r="D6985" s="23"/>
      <c r="E6985" s="23"/>
    </row>
    <row r="6986" spans="1:5" x14ac:dyDescent="0.25">
      <c r="A6986" s="22"/>
      <c r="B6986" s="23"/>
      <c r="C6986" s="23"/>
      <c r="D6986" s="23"/>
      <c r="E6986" s="23"/>
    </row>
    <row r="6987" spans="1:5" x14ac:dyDescent="0.25">
      <c r="A6987" s="22"/>
      <c r="B6987" s="23"/>
      <c r="C6987" s="23"/>
      <c r="D6987" s="23"/>
      <c r="E6987" s="23"/>
    </row>
    <row r="6988" spans="1:5" x14ac:dyDescent="0.25">
      <c r="A6988" s="22"/>
      <c r="B6988" s="23"/>
      <c r="C6988" s="23"/>
      <c r="D6988" s="23"/>
      <c r="E6988" s="23"/>
    </row>
    <row r="6989" spans="1:5" x14ac:dyDescent="0.25">
      <c r="A6989" s="22"/>
      <c r="B6989" s="23"/>
      <c r="C6989" s="23"/>
      <c r="D6989" s="23"/>
      <c r="E6989" s="23"/>
    </row>
    <row r="6990" spans="1:5" x14ac:dyDescent="0.25">
      <c r="A6990" s="22"/>
      <c r="B6990" s="23"/>
      <c r="C6990" s="23"/>
      <c r="D6990" s="23"/>
      <c r="E6990" s="23"/>
    </row>
    <row r="6991" spans="1:5" x14ac:dyDescent="0.25">
      <c r="A6991" s="22"/>
      <c r="B6991" s="23"/>
      <c r="C6991" s="23"/>
      <c r="D6991" s="23"/>
      <c r="E6991" s="23"/>
    </row>
    <row r="6992" spans="1:5" x14ac:dyDescent="0.25">
      <c r="A6992" s="22"/>
      <c r="B6992" s="23"/>
      <c r="C6992" s="23"/>
      <c r="D6992" s="23"/>
      <c r="E6992" s="23"/>
    </row>
    <row r="6993" spans="1:5" x14ac:dyDescent="0.25">
      <c r="A6993" s="22"/>
      <c r="B6993" s="23"/>
      <c r="C6993" s="23"/>
      <c r="D6993" s="23"/>
      <c r="E6993" s="23"/>
    </row>
    <row r="6994" spans="1:5" x14ac:dyDescent="0.25">
      <c r="A6994" s="22"/>
      <c r="B6994" s="23"/>
      <c r="C6994" s="23"/>
      <c r="D6994" s="23"/>
      <c r="E6994" s="23"/>
    </row>
    <row r="6995" spans="1:5" x14ac:dyDescent="0.25">
      <c r="A6995" s="22"/>
      <c r="B6995" s="23"/>
      <c r="C6995" s="23"/>
      <c r="D6995" s="23"/>
      <c r="E6995" s="23"/>
    </row>
    <row r="6996" spans="1:5" x14ac:dyDescent="0.25">
      <c r="A6996" s="22"/>
      <c r="B6996" s="23"/>
      <c r="C6996" s="23"/>
      <c r="D6996" s="23"/>
      <c r="E6996" s="23"/>
    </row>
    <row r="6997" spans="1:5" x14ac:dyDescent="0.25">
      <c r="A6997" s="22"/>
      <c r="B6997" s="23"/>
      <c r="C6997" s="23"/>
      <c r="D6997" s="23"/>
      <c r="E6997" s="23"/>
    </row>
    <row r="6998" spans="1:5" x14ac:dyDescent="0.25">
      <c r="A6998" s="22"/>
      <c r="B6998" s="23"/>
      <c r="C6998" s="23"/>
      <c r="D6998" s="23"/>
      <c r="E6998" s="23"/>
    </row>
    <row r="6999" spans="1:5" x14ac:dyDescent="0.25">
      <c r="A6999" s="22"/>
      <c r="B6999" s="23"/>
      <c r="C6999" s="23"/>
      <c r="D6999" s="23"/>
      <c r="E6999" s="23"/>
    </row>
    <row r="7000" spans="1:5" x14ac:dyDescent="0.25">
      <c r="A7000" s="22"/>
      <c r="B7000" s="23"/>
      <c r="C7000" s="23"/>
      <c r="D7000" s="23"/>
      <c r="E7000" s="23"/>
    </row>
    <row r="7001" spans="1:5" x14ac:dyDescent="0.25">
      <c r="A7001" s="22"/>
      <c r="B7001" s="23"/>
      <c r="C7001" s="23"/>
      <c r="D7001" s="23"/>
      <c r="E7001" s="23"/>
    </row>
    <row r="7002" spans="1:5" x14ac:dyDescent="0.25">
      <c r="A7002" s="22"/>
      <c r="B7002" s="23"/>
      <c r="C7002" s="23"/>
      <c r="D7002" s="23"/>
      <c r="E7002" s="23"/>
    </row>
    <row r="7003" spans="1:5" x14ac:dyDescent="0.25">
      <c r="A7003" s="22"/>
      <c r="B7003" s="23"/>
      <c r="C7003" s="23"/>
      <c r="D7003" s="23"/>
      <c r="E7003" s="23"/>
    </row>
    <row r="7004" spans="1:5" x14ac:dyDescent="0.25">
      <c r="A7004" s="22"/>
      <c r="B7004" s="23"/>
      <c r="C7004" s="23"/>
      <c r="D7004" s="23"/>
      <c r="E7004" s="23"/>
    </row>
    <row r="7005" spans="1:5" x14ac:dyDescent="0.25">
      <c r="A7005" s="22"/>
      <c r="B7005" s="23"/>
      <c r="C7005" s="23"/>
      <c r="D7005" s="23"/>
      <c r="E7005" s="23"/>
    </row>
    <row r="7006" spans="1:5" x14ac:dyDescent="0.25">
      <c r="A7006" s="22"/>
      <c r="B7006" s="23"/>
      <c r="C7006" s="23"/>
      <c r="D7006" s="23"/>
      <c r="E7006" s="23"/>
    </row>
    <row r="7007" spans="1:5" x14ac:dyDescent="0.25">
      <c r="A7007" s="22"/>
      <c r="B7007" s="23"/>
      <c r="C7007" s="23"/>
      <c r="D7007" s="23"/>
      <c r="E7007" s="23"/>
    </row>
    <row r="7008" spans="1:5" x14ac:dyDescent="0.25">
      <c r="A7008" s="22"/>
      <c r="B7008" s="23"/>
      <c r="C7008" s="23"/>
      <c r="D7008" s="23"/>
      <c r="E7008" s="23"/>
    </row>
    <row r="7009" spans="1:5" x14ac:dyDescent="0.25">
      <c r="A7009" s="22"/>
      <c r="B7009" s="23"/>
      <c r="C7009" s="23"/>
      <c r="D7009" s="23"/>
      <c r="E7009" s="23"/>
    </row>
    <row r="7010" spans="1:5" x14ac:dyDescent="0.25">
      <c r="A7010" s="22"/>
      <c r="B7010" s="23"/>
      <c r="C7010" s="23"/>
      <c r="D7010" s="23"/>
      <c r="E7010" s="23"/>
    </row>
    <row r="7011" spans="1:5" x14ac:dyDescent="0.25">
      <c r="A7011" s="22"/>
      <c r="B7011" s="23"/>
      <c r="C7011" s="23"/>
      <c r="D7011" s="23"/>
      <c r="E7011" s="23"/>
    </row>
    <row r="7012" spans="1:5" x14ac:dyDescent="0.25">
      <c r="A7012" s="22"/>
      <c r="B7012" s="23"/>
      <c r="C7012" s="23"/>
      <c r="D7012" s="23"/>
      <c r="E7012" s="23"/>
    </row>
    <row r="7013" spans="1:5" x14ac:dyDescent="0.25">
      <c r="A7013" s="22"/>
      <c r="B7013" s="23"/>
      <c r="C7013" s="23"/>
      <c r="D7013" s="23"/>
      <c r="E7013" s="23"/>
    </row>
    <row r="7014" spans="1:5" x14ac:dyDescent="0.25">
      <c r="A7014" s="22"/>
      <c r="B7014" s="23"/>
      <c r="C7014" s="23"/>
      <c r="D7014" s="23"/>
      <c r="E7014" s="23"/>
    </row>
    <row r="7015" spans="1:5" x14ac:dyDescent="0.25">
      <c r="A7015" s="22"/>
      <c r="B7015" s="23"/>
      <c r="C7015" s="23"/>
      <c r="D7015" s="23"/>
      <c r="E7015" s="23"/>
    </row>
    <row r="7016" spans="1:5" x14ac:dyDescent="0.25">
      <c r="A7016" s="22"/>
      <c r="B7016" s="23"/>
      <c r="C7016" s="23"/>
      <c r="D7016" s="23"/>
      <c r="E7016" s="23"/>
    </row>
    <row r="7017" spans="1:5" x14ac:dyDescent="0.25">
      <c r="A7017" s="22"/>
      <c r="B7017" s="23"/>
      <c r="C7017" s="23"/>
      <c r="D7017" s="23"/>
      <c r="E7017" s="23"/>
    </row>
    <row r="7018" spans="1:5" x14ac:dyDescent="0.25">
      <c r="A7018" s="22"/>
      <c r="B7018" s="23"/>
      <c r="C7018" s="23"/>
      <c r="D7018" s="23"/>
      <c r="E7018" s="23"/>
    </row>
    <row r="7019" spans="1:5" x14ac:dyDescent="0.25">
      <c r="A7019" s="22"/>
      <c r="B7019" s="23"/>
      <c r="C7019" s="23"/>
      <c r="D7019" s="23"/>
      <c r="E7019" s="23"/>
    </row>
    <row r="7020" spans="1:5" x14ac:dyDescent="0.25">
      <c r="A7020" s="22"/>
      <c r="B7020" s="23"/>
      <c r="C7020" s="23"/>
      <c r="D7020" s="23"/>
      <c r="E7020" s="23"/>
    </row>
    <row r="7021" spans="1:5" x14ac:dyDescent="0.25">
      <c r="A7021" s="22"/>
      <c r="B7021" s="23"/>
      <c r="C7021" s="23"/>
      <c r="D7021" s="23"/>
      <c r="E7021" s="23"/>
    </row>
    <row r="7022" spans="1:5" x14ac:dyDescent="0.25">
      <c r="A7022" s="22"/>
      <c r="B7022" s="23"/>
      <c r="C7022" s="23"/>
      <c r="D7022" s="23"/>
      <c r="E7022" s="23"/>
    </row>
    <row r="7023" spans="1:5" x14ac:dyDescent="0.25">
      <c r="A7023" s="22"/>
      <c r="B7023" s="23"/>
      <c r="C7023" s="23"/>
      <c r="D7023" s="23"/>
      <c r="E7023" s="23"/>
    </row>
    <row r="7024" spans="1:5" x14ac:dyDescent="0.25">
      <c r="A7024" s="22"/>
      <c r="B7024" s="23"/>
      <c r="C7024" s="23"/>
      <c r="D7024" s="23"/>
      <c r="E7024" s="23"/>
    </row>
    <row r="7025" spans="1:5" x14ac:dyDescent="0.25">
      <c r="A7025" s="22"/>
      <c r="B7025" s="23"/>
      <c r="C7025" s="23"/>
      <c r="D7025" s="23"/>
      <c r="E7025" s="23"/>
    </row>
    <row r="7026" spans="1:5" x14ac:dyDescent="0.25">
      <c r="A7026" s="22"/>
      <c r="B7026" s="23"/>
      <c r="C7026" s="23"/>
      <c r="D7026" s="23"/>
      <c r="E7026" s="23"/>
    </row>
    <row r="7027" spans="1:5" x14ac:dyDescent="0.25">
      <c r="A7027" s="22"/>
      <c r="B7027" s="23"/>
      <c r="C7027" s="23"/>
      <c r="D7027" s="23"/>
      <c r="E7027" s="23"/>
    </row>
    <row r="7028" spans="1:5" x14ac:dyDescent="0.25">
      <c r="A7028" s="22"/>
      <c r="B7028" s="23"/>
      <c r="C7028" s="23"/>
      <c r="D7028" s="23"/>
      <c r="E7028" s="23"/>
    </row>
    <row r="7029" spans="1:5" x14ac:dyDescent="0.25">
      <c r="A7029" s="22"/>
      <c r="B7029" s="23"/>
      <c r="C7029" s="23"/>
      <c r="D7029" s="23"/>
      <c r="E7029" s="23"/>
    </row>
    <row r="7030" spans="1:5" x14ac:dyDescent="0.25">
      <c r="A7030" s="22"/>
      <c r="B7030" s="23"/>
      <c r="C7030" s="23"/>
      <c r="D7030" s="23"/>
      <c r="E7030" s="23"/>
    </row>
    <row r="7031" spans="1:5" x14ac:dyDescent="0.25">
      <c r="A7031" s="22"/>
      <c r="B7031" s="23"/>
      <c r="C7031" s="23"/>
      <c r="D7031" s="23"/>
      <c r="E7031" s="23"/>
    </row>
    <row r="7032" spans="1:5" x14ac:dyDescent="0.25">
      <c r="A7032" s="22"/>
      <c r="B7032" s="23"/>
      <c r="C7032" s="23"/>
      <c r="D7032" s="23"/>
      <c r="E7032" s="23"/>
    </row>
    <row r="7033" spans="1:5" x14ac:dyDescent="0.25">
      <c r="A7033" s="22"/>
      <c r="B7033" s="23"/>
      <c r="C7033" s="23"/>
      <c r="D7033" s="23"/>
      <c r="E7033" s="23"/>
    </row>
    <row r="7034" spans="1:5" x14ac:dyDescent="0.25">
      <c r="A7034" s="22"/>
      <c r="B7034" s="23"/>
      <c r="C7034" s="23"/>
      <c r="D7034" s="23"/>
      <c r="E7034" s="23"/>
    </row>
    <row r="7035" spans="1:5" x14ac:dyDescent="0.25">
      <c r="A7035" s="22"/>
      <c r="B7035" s="23"/>
      <c r="C7035" s="23"/>
      <c r="D7035" s="23"/>
      <c r="E7035" s="23"/>
    </row>
    <row r="7036" spans="1:5" x14ac:dyDescent="0.25">
      <c r="A7036" s="22"/>
      <c r="B7036" s="23"/>
      <c r="C7036" s="23"/>
      <c r="D7036" s="23"/>
      <c r="E7036" s="23"/>
    </row>
    <row r="7037" spans="1:5" x14ac:dyDescent="0.25">
      <c r="A7037" s="22"/>
      <c r="B7037" s="23"/>
      <c r="C7037" s="23"/>
      <c r="D7037" s="23"/>
      <c r="E7037" s="23"/>
    </row>
    <row r="7038" spans="1:5" x14ac:dyDescent="0.25">
      <c r="A7038" s="22"/>
      <c r="B7038" s="23"/>
      <c r="C7038" s="23"/>
      <c r="D7038" s="23"/>
      <c r="E7038" s="23"/>
    </row>
    <row r="7039" spans="1:5" x14ac:dyDescent="0.25">
      <c r="A7039" s="22"/>
      <c r="B7039" s="23"/>
      <c r="C7039" s="23"/>
      <c r="D7039" s="23"/>
      <c r="E7039" s="23"/>
    </row>
    <row r="7040" spans="1:5" x14ac:dyDescent="0.25">
      <c r="A7040" s="22"/>
      <c r="B7040" s="23"/>
      <c r="C7040" s="23"/>
      <c r="D7040" s="23"/>
      <c r="E7040" s="23"/>
    </row>
    <row r="7041" spans="1:5" x14ac:dyDescent="0.25">
      <c r="A7041" s="22"/>
      <c r="B7041" s="23"/>
      <c r="C7041" s="23"/>
      <c r="D7041" s="23"/>
      <c r="E7041" s="23"/>
    </row>
    <row r="7042" spans="1:5" x14ac:dyDescent="0.25">
      <c r="A7042" s="22"/>
      <c r="B7042" s="23"/>
      <c r="C7042" s="23"/>
      <c r="D7042" s="23"/>
      <c r="E7042" s="23"/>
    </row>
    <row r="7043" spans="1:5" x14ac:dyDescent="0.25">
      <c r="A7043" s="22"/>
      <c r="B7043" s="23"/>
      <c r="C7043" s="23"/>
      <c r="D7043" s="23"/>
      <c r="E7043" s="23"/>
    </row>
    <row r="7044" spans="1:5" x14ac:dyDescent="0.25">
      <c r="A7044" s="22"/>
      <c r="B7044" s="23"/>
      <c r="C7044" s="23"/>
      <c r="D7044" s="23"/>
      <c r="E7044" s="23"/>
    </row>
    <row r="7045" spans="1:5" x14ac:dyDescent="0.25">
      <c r="A7045" s="22"/>
      <c r="B7045" s="23"/>
      <c r="C7045" s="23"/>
      <c r="D7045" s="23"/>
      <c r="E7045" s="23"/>
    </row>
    <row r="7046" spans="1:5" x14ac:dyDescent="0.25">
      <c r="A7046" s="22"/>
      <c r="B7046" s="23"/>
      <c r="C7046" s="23"/>
      <c r="D7046" s="23"/>
      <c r="E7046" s="23"/>
    </row>
    <row r="7047" spans="1:5" x14ac:dyDescent="0.25">
      <c r="A7047" s="22"/>
      <c r="B7047" s="23"/>
      <c r="C7047" s="23"/>
      <c r="D7047" s="23"/>
      <c r="E7047" s="23"/>
    </row>
    <row r="7048" spans="1:5" x14ac:dyDescent="0.25">
      <c r="A7048" s="22"/>
      <c r="B7048" s="23"/>
      <c r="C7048" s="23"/>
      <c r="D7048" s="23"/>
      <c r="E7048" s="23"/>
    </row>
    <row r="7049" spans="1:5" x14ac:dyDescent="0.25">
      <c r="A7049" s="22"/>
      <c r="B7049" s="23"/>
      <c r="C7049" s="23"/>
      <c r="D7049" s="23"/>
      <c r="E7049" s="23"/>
    </row>
    <row r="7050" spans="1:5" x14ac:dyDescent="0.25">
      <c r="A7050" s="22"/>
      <c r="B7050" s="23"/>
      <c r="C7050" s="23"/>
      <c r="D7050" s="23"/>
      <c r="E7050" s="23"/>
    </row>
    <row r="7051" spans="1:5" x14ac:dyDescent="0.25">
      <c r="A7051" s="22"/>
      <c r="B7051" s="23"/>
      <c r="C7051" s="23"/>
      <c r="D7051" s="23"/>
      <c r="E7051" s="23"/>
    </row>
    <row r="7052" spans="1:5" x14ac:dyDescent="0.25">
      <c r="A7052" s="22"/>
      <c r="B7052" s="23"/>
      <c r="C7052" s="23"/>
      <c r="D7052" s="23"/>
      <c r="E7052" s="23"/>
    </row>
    <row r="7053" spans="1:5" x14ac:dyDescent="0.25">
      <c r="A7053" s="22"/>
      <c r="B7053" s="23"/>
      <c r="C7053" s="23"/>
      <c r="D7053" s="23"/>
      <c r="E7053" s="23"/>
    </row>
    <row r="7054" spans="1:5" x14ac:dyDescent="0.25">
      <c r="A7054" s="22"/>
      <c r="B7054" s="23"/>
      <c r="C7054" s="23"/>
      <c r="D7054" s="23"/>
      <c r="E7054" s="23"/>
    </row>
    <row r="7055" spans="1:5" x14ac:dyDescent="0.25">
      <c r="A7055" s="22"/>
      <c r="B7055" s="23"/>
      <c r="C7055" s="23"/>
      <c r="D7055" s="23"/>
      <c r="E7055" s="23"/>
    </row>
    <row r="7056" spans="1:5" x14ac:dyDescent="0.25">
      <c r="A7056" s="22"/>
      <c r="B7056" s="23"/>
      <c r="C7056" s="23"/>
      <c r="D7056" s="23"/>
      <c r="E7056" s="23"/>
    </row>
    <row r="7057" spans="1:5" x14ac:dyDescent="0.25">
      <c r="A7057" s="22"/>
      <c r="B7057" s="23"/>
      <c r="C7057" s="23"/>
      <c r="D7057" s="23"/>
      <c r="E7057" s="23"/>
    </row>
    <row r="7058" spans="1:5" x14ac:dyDescent="0.25">
      <c r="A7058" s="22"/>
      <c r="B7058" s="23"/>
      <c r="C7058" s="23"/>
      <c r="D7058" s="23"/>
      <c r="E7058" s="23"/>
    </row>
    <row r="7059" spans="1:5" x14ac:dyDescent="0.25">
      <c r="A7059" s="22"/>
      <c r="B7059" s="23"/>
      <c r="C7059" s="23"/>
      <c r="D7059" s="23"/>
      <c r="E7059" s="23"/>
    </row>
    <row r="7060" spans="1:5" x14ac:dyDescent="0.25">
      <c r="A7060" s="22"/>
      <c r="B7060" s="23"/>
      <c r="C7060" s="23"/>
      <c r="D7060" s="23"/>
      <c r="E7060" s="23"/>
    </row>
    <row r="7061" spans="1:5" x14ac:dyDescent="0.25">
      <c r="A7061" s="22"/>
      <c r="B7061" s="23"/>
      <c r="C7061" s="23"/>
      <c r="D7061" s="23"/>
      <c r="E7061" s="23"/>
    </row>
    <row r="7062" spans="1:5" x14ac:dyDescent="0.25">
      <c r="A7062" s="22"/>
      <c r="B7062" s="23"/>
      <c r="C7062" s="23"/>
      <c r="D7062" s="23"/>
      <c r="E7062" s="23"/>
    </row>
    <row r="7063" spans="1:5" x14ac:dyDescent="0.25">
      <c r="A7063" s="22"/>
      <c r="B7063" s="23"/>
      <c r="C7063" s="23"/>
      <c r="D7063" s="23"/>
      <c r="E7063" s="23"/>
    </row>
    <row r="7064" spans="1:5" x14ac:dyDescent="0.25">
      <c r="A7064" s="22"/>
      <c r="B7064" s="23"/>
      <c r="C7064" s="23"/>
      <c r="D7064" s="23"/>
      <c r="E7064" s="23"/>
    </row>
    <row r="7065" spans="1:5" x14ac:dyDescent="0.25">
      <c r="A7065" s="22"/>
      <c r="B7065" s="23"/>
      <c r="C7065" s="23"/>
      <c r="D7065" s="23"/>
      <c r="E7065" s="23"/>
    </row>
    <row r="7066" spans="1:5" x14ac:dyDescent="0.25">
      <c r="A7066" s="22"/>
      <c r="B7066" s="23"/>
      <c r="C7066" s="23"/>
      <c r="D7066" s="23"/>
      <c r="E7066" s="23"/>
    </row>
    <row r="7067" spans="1:5" x14ac:dyDescent="0.25">
      <c r="A7067" s="22"/>
      <c r="B7067" s="23"/>
      <c r="C7067" s="23"/>
      <c r="D7067" s="23"/>
      <c r="E7067" s="23"/>
    </row>
    <row r="7068" spans="1:5" x14ac:dyDescent="0.25">
      <c r="A7068" s="22"/>
      <c r="B7068" s="23"/>
      <c r="C7068" s="23"/>
      <c r="D7068" s="23"/>
      <c r="E7068" s="23"/>
    </row>
    <row r="7069" spans="1:5" x14ac:dyDescent="0.25">
      <c r="A7069" s="22"/>
      <c r="B7069" s="23"/>
      <c r="C7069" s="23"/>
      <c r="D7069" s="23"/>
      <c r="E7069" s="23"/>
    </row>
    <row r="7070" spans="1:5" x14ac:dyDescent="0.25">
      <c r="A7070" s="22"/>
      <c r="B7070" s="23"/>
      <c r="C7070" s="23"/>
      <c r="D7070" s="23"/>
      <c r="E7070" s="23"/>
    </row>
    <row r="7071" spans="1:5" x14ac:dyDescent="0.25">
      <c r="A7071" s="22"/>
      <c r="B7071" s="23"/>
      <c r="C7071" s="23"/>
      <c r="D7071" s="23"/>
      <c r="E7071" s="23"/>
    </row>
    <row r="7072" spans="1:5" x14ac:dyDescent="0.25">
      <c r="A7072" s="22"/>
      <c r="B7072" s="23"/>
      <c r="C7072" s="23"/>
      <c r="D7072" s="23"/>
      <c r="E7072" s="23"/>
    </row>
    <row r="7073" spans="1:5" x14ac:dyDescent="0.25">
      <c r="A7073" s="22"/>
      <c r="B7073" s="23"/>
      <c r="C7073" s="23"/>
      <c r="D7073" s="23"/>
      <c r="E7073" s="23"/>
    </row>
    <row r="7074" spans="1:5" x14ac:dyDescent="0.25">
      <c r="A7074" s="22"/>
      <c r="B7074" s="23"/>
      <c r="C7074" s="23"/>
      <c r="D7074" s="23"/>
      <c r="E7074" s="23"/>
    </row>
    <row r="7075" spans="1:5" x14ac:dyDescent="0.25">
      <c r="A7075" s="22"/>
      <c r="B7075" s="23"/>
      <c r="C7075" s="23"/>
      <c r="D7075" s="23"/>
      <c r="E7075" s="23"/>
    </row>
    <row r="7076" spans="1:5" x14ac:dyDescent="0.25">
      <c r="A7076" s="22"/>
      <c r="B7076" s="23"/>
      <c r="C7076" s="23"/>
      <c r="D7076" s="23"/>
      <c r="E7076" s="23"/>
    </row>
    <row r="7077" spans="1:5" x14ac:dyDescent="0.25">
      <c r="A7077" s="22"/>
      <c r="B7077" s="23"/>
      <c r="C7077" s="23"/>
      <c r="D7077" s="23"/>
      <c r="E7077" s="23"/>
    </row>
    <row r="7078" spans="1:5" x14ac:dyDescent="0.25">
      <c r="A7078" s="22"/>
      <c r="B7078" s="23"/>
      <c r="C7078" s="23"/>
      <c r="D7078" s="23"/>
      <c r="E7078" s="23"/>
    </row>
    <row r="7079" spans="1:5" x14ac:dyDescent="0.25">
      <c r="A7079" s="22"/>
      <c r="B7079" s="23"/>
      <c r="C7079" s="23"/>
      <c r="D7079" s="23"/>
      <c r="E7079" s="23"/>
    </row>
    <row r="7080" spans="1:5" x14ac:dyDescent="0.25">
      <c r="A7080" s="22"/>
      <c r="B7080" s="23"/>
      <c r="C7080" s="23"/>
      <c r="D7080" s="23"/>
      <c r="E7080" s="23"/>
    </row>
    <row r="7081" spans="1:5" x14ac:dyDescent="0.25">
      <c r="A7081" s="22"/>
      <c r="B7081" s="23"/>
      <c r="C7081" s="23"/>
      <c r="D7081" s="23"/>
      <c r="E7081" s="23"/>
    </row>
    <row r="7082" spans="1:5" x14ac:dyDescent="0.25">
      <c r="A7082" s="22"/>
      <c r="B7082" s="23"/>
      <c r="C7082" s="23"/>
      <c r="D7082" s="23"/>
      <c r="E7082" s="23"/>
    </row>
    <row r="7083" spans="1:5" x14ac:dyDescent="0.25">
      <c r="A7083" s="22"/>
      <c r="B7083" s="23"/>
      <c r="C7083" s="23"/>
      <c r="D7083" s="23"/>
      <c r="E7083" s="23"/>
    </row>
    <row r="7084" spans="1:5" x14ac:dyDescent="0.25">
      <c r="A7084" s="22"/>
      <c r="B7084" s="23"/>
      <c r="C7084" s="23"/>
      <c r="D7084" s="23"/>
      <c r="E7084" s="23"/>
    </row>
    <row r="7085" spans="1:5" x14ac:dyDescent="0.25">
      <c r="A7085" s="22"/>
      <c r="B7085" s="23"/>
      <c r="C7085" s="23"/>
      <c r="D7085" s="23"/>
      <c r="E7085" s="23"/>
    </row>
    <row r="7086" spans="1:5" x14ac:dyDescent="0.25">
      <c r="A7086" s="22"/>
      <c r="B7086" s="23"/>
      <c r="C7086" s="23"/>
      <c r="D7086" s="23"/>
      <c r="E7086" s="23"/>
    </row>
    <row r="7087" spans="1:5" x14ac:dyDescent="0.25">
      <c r="A7087" s="22"/>
      <c r="B7087" s="23"/>
      <c r="C7087" s="23"/>
      <c r="D7087" s="23"/>
      <c r="E7087" s="23"/>
    </row>
    <row r="7088" spans="1:5" x14ac:dyDescent="0.25">
      <c r="A7088" s="22"/>
      <c r="B7088" s="23"/>
      <c r="C7088" s="23"/>
      <c r="D7088" s="23"/>
      <c r="E7088" s="23"/>
    </row>
    <row r="7089" spans="1:5" x14ac:dyDescent="0.25">
      <c r="A7089" s="22"/>
      <c r="B7089" s="23"/>
      <c r="C7089" s="23"/>
      <c r="D7089" s="23"/>
      <c r="E7089" s="23"/>
    </row>
    <row r="7090" spans="1:5" x14ac:dyDescent="0.25">
      <c r="A7090" s="22"/>
      <c r="B7090" s="23"/>
      <c r="C7090" s="23"/>
      <c r="D7090" s="23"/>
      <c r="E7090" s="23"/>
    </row>
    <row r="7091" spans="1:5" x14ac:dyDescent="0.25">
      <c r="A7091" s="22"/>
      <c r="B7091" s="23"/>
      <c r="C7091" s="23"/>
      <c r="D7091" s="23"/>
      <c r="E7091" s="23"/>
    </row>
    <row r="7092" spans="1:5" x14ac:dyDescent="0.25">
      <c r="A7092" s="22"/>
      <c r="B7092" s="23"/>
      <c r="C7092" s="23"/>
      <c r="D7092" s="23"/>
      <c r="E7092" s="23"/>
    </row>
    <row r="7093" spans="1:5" x14ac:dyDescent="0.25">
      <c r="A7093" s="22"/>
      <c r="B7093" s="23"/>
      <c r="C7093" s="23"/>
      <c r="D7093" s="23"/>
      <c r="E7093" s="23"/>
    </row>
    <row r="7094" spans="1:5" x14ac:dyDescent="0.25">
      <c r="A7094" s="22"/>
      <c r="B7094" s="23"/>
      <c r="C7094" s="23"/>
      <c r="D7094" s="23"/>
      <c r="E7094" s="23"/>
    </row>
    <row r="7095" spans="1:5" x14ac:dyDescent="0.25">
      <c r="A7095" s="22"/>
      <c r="B7095" s="23"/>
      <c r="C7095" s="23"/>
      <c r="D7095" s="23"/>
      <c r="E7095" s="23"/>
    </row>
    <row r="7096" spans="1:5" x14ac:dyDescent="0.25">
      <c r="A7096" s="22"/>
      <c r="B7096" s="23"/>
      <c r="C7096" s="23"/>
      <c r="D7096" s="23"/>
      <c r="E7096" s="23"/>
    </row>
    <row r="7097" spans="1:5" x14ac:dyDescent="0.25">
      <c r="A7097" s="22"/>
      <c r="B7097" s="23"/>
      <c r="C7097" s="23"/>
      <c r="D7097" s="23"/>
      <c r="E7097" s="23"/>
    </row>
    <row r="7098" spans="1:5" x14ac:dyDescent="0.25">
      <c r="A7098" s="22"/>
      <c r="B7098" s="23"/>
      <c r="C7098" s="23"/>
      <c r="D7098" s="23"/>
      <c r="E7098" s="23"/>
    </row>
    <row r="7099" spans="1:5" x14ac:dyDescent="0.25">
      <c r="A7099" s="22"/>
      <c r="B7099" s="23"/>
      <c r="C7099" s="23"/>
      <c r="D7099" s="23"/>
      <c r="E7099" s="23"/>
    </row>
    <row r="7100" spans="1:5" x14ac:dyDescent="0.25">
      <c r="A7100" s="22"/>
      <c r="B7100" s="23"/>
      <c r="C7100" s="23"/>
      <c r="D7100" s="23"/>
      <c r="E7100" s="23"/>
    </row>
    <row r="7101" spans="1:5" x14ac:dyDescent="0.25">
      <c r="A7101" s="22"/>
      <c r="B7101" s="23"/>
      <c r="C7101" s="23"/>
      <c r="D7101" s="23"/>
      <c r="E7101" s="23"/>
    </row>
    <row r="7102" spans="1:5" x14ac:dyDescent="0.25">
      <c r="A7102" s="22"/>
      <c r="B7102" s="23"/>
      <c r="C7102" s="23"/>
      <c r="D7102" s="23"/>
      <c r="E7102" s="23"/>
    </row>
    <row r="7103" spans="1:5" x14ac:dyDescent="0.25">
      <c r="A7103" s="22"/>
      <c r="B7103" s="23"/>
      <c r="C7103" s="23"/>
      <c r="D7103" s="23"/>
      <c r="E7103" s="23"/>
    </row>
    <row r="7104" spans="1:5" x14ac:dyDescent="0.25">
      <c r="A7104" s="22"/>
      <c r="B7104" s="23"/>
      <c r="C7104" s="23"/>
      <c r="D7104" s="23"/>
      <c r="E7104" s="23"/>
    </row>
    <row r="7105" spans="1:5" x14ac:dyDescent="0.25">
      <c r="A7105" s="22"/>
      <c r="B7105" s="23"/>
      <c r="C7105" s="23"/>
      <c r="D7105" s="23"/>
      <c r="E7105" s="23"/>
    </row>
    <row r="7106" spans="1:5" x14ac:dyDescent="0.25">
      <c r="A7106" s="22"/>
      <c r="B7106" s="23"/>
      <c r="C7106" s="23"/>
      <c r="D7106" s="23"/>
      <c r="E7106" s="23"/>
    </row>
    <row r="7107" spans="1:5" x14ac:dyDescent="0.25">
      <c r="A7107" s="22"/>
      <c r="B7107" s="23"/>
      <c r="C7107" s="23"/>
      <c r="D7107" s="23"/>
      <c r="E7107" s="23"/>
    </row>
    <row r="7108" spans="1:5" x14ac:dyDescent="0.25">
      <c r="A7108" s="22"/>
      <c r="B7108" s="23"/>
      <c r="C7108" s="23"/>
      <c r="D7108" s="23"/>
      <c r="E7108" s="23"/>
    </row>
    <row r="7109" spans="1:5" x14ac:dyDescent="0.25">
      <c r="A7109" s="22"/>
      <c r="B7109" s="23"/>
      <c r="C7109" s="23"/>
      <c r="D7109" s="23"/>
      <c r="E7109" s="23"/>
    </row>
    <row r="7110" spans="1:5" x14ac:dyDescent="0.25">
      <c r="A7110" s="22"/>
      <c r="B7110" s="23"/>
      <c r="C7110" s="23"/>
      <c r="D7110" s="23"/>
      <c r="E7110" s="23"/>
    </row>
    <row r="7111" spans="1:5" x14ac:dyDescent="0.25">
      <c r="A7111" s="22"/>
      <c r="B7111" s="23"/>
      <c r="C7111" s="23"/>
      <c r="D7111" s="23"/>
      <c r="E7111" s="23"/>
    </row>
    <row r="7112" spans="1:5" x14ac:dyDescent="0.25">
      <c r="A7112" s="22"/>
      <c r="B7112" s="23"/>
      <c r="C7112" s="23"/>
      <c r="D7112" s="23"/>
      <c r="E7112" s="23"/>
    </row>
    <row r="7113" spans="1:5" x14ac:dyDescent="0.25">
      <c r="A7113" s="22"/>
      <c r="B7113" s="23"/>
      <c r="C7113" s="23"/>
      <c r="D7113" s="23"/>
      <c r="E7113" s="23"/>
    </row>
    <row r="7114" spans="1:5" x14ac:dyDescent="0.25">
      <c r="A7114" s="22"/>
      <c r="B7114" s="23"/>
      <c r="C7114" s="23"/>
      <c r="D7114" s="23"/>
      <c r="E7114" s="23"/>
    </row>
    <row r="7115" spans="1:5" x14ac:dyDescent="0.25">
      <c r="A7115" s="22"/>
      <c r="B7115" s="23"/>
      <c r="C7115" s="23"/>
      <c r="D7115" s="23"/>
      <c r="E7115" s="23"/>
    </row>
    <row r="7116" spans="1:5" x14ac:dyDescent="0.25">
      <c r="A7116" s="22"/>
      <c r="B7116" s="23"/>
      <c r="C7116" s="23"/>
      <c r="D7116" s="23"/>
      <c r="E7116" s="23"/>
    </row>
    <row r="7117" spans="1:5" x14ac:dyDescent="0.25">
      <c r="A7117" s="22"/>
      <c r="B7117" s="23"/>
      <c r="C7117" s="23"/>
      <c r="D7117" s="23"/>
      <c r="E7117" s="23"/>
    </row>
    <row r="7118" spans="1:5" x14ac:dyDescent="0.25">
      <c r="A7118" s="22"/>
      <c r="B7118" s="23"/>
      <c r="C7118" s="23"/>
      <c r="D7118" s="23"/>
      <c r="E7118" s="23"/>
    </row>
    <row r="7119" spans="1:5" x14ac:dyDescent="0.25">
      <c r="A7119" s="22"/>
      <c r="B7119" s="23"/>
      <c r="C7119" s="23"/>
      <c r="D7119" s="23"/>
      <c r="E7119" s="23"/>
    </row>
    <row r="7120" spans="1:5" x14ac:dyDescent="0.25">
      <c r="A7120" s="22"/>
      <c r="B7120" s="23"/>
      <c r="C7120" s="23"/>
      <c r="D7120" s="23"/>
      <c r="E7120" s="23"/>
    </row>
    <row r="7121" spans="1:5" x14ac:dyDescent="0.25">
      <c r="A7121" s="22"/>
      <c r="B7121" s="23"/>
      <c r="C7121" s="23"/>
      <c r="D7121" s="23"/>
      <c r="E7121" s="23"/>
    </row>
    <row r="7122" spans="1:5" x14ac:dyDescent="0.25">
      <c r="A7122" s="22"/>
      <c r="B7122" s="23"/>
      <c r="C7122" s="23"/>
      <c r="D7122" s="23"/>
      <c r="E7122" s="23"/>
    </row>
    <row r="7123" spans="1:5" x14ac:dyDescent="0.25">
      <c r="A7123" s="22"/>
      <c r="B7123" s="23"/>
      <c r="C7123" s="23"/>
      <c r="D7123" s="23"/>
      <c r="E7123" s="23"/>
    </row>
    <row r="7124" spans="1:5" x14ac:dyDescent="0.25">
      <c r="A7124" s="22"/>
      <c r="B7124" s="23"/>
      <c r="C7124" s="23"/>
      <c r="D7124" s="23"/>
      <c r="E7124" s="23"/>
    </row>
    <row r="7125" spans="1:5" x14ac:dyDescent="0.25">
      <c r="A7125" s="22"/>
      <c r="B7125" s="23"/>
      <c r="C7125" s="23"/>
      <c r="D7125" s="23"/>
      <c r="E7125" s="23"/>
    </row>
    <row r="7126" spans="1:5" x14ac:dyDescent="0.25">
      <c r="A7126" s="22"/>
      <c r="B7126" s="23"/>
      <c r="C7126" s="23"/>
      <c r="D7126" s="23"/>
      <c r="E7126" s="23"/>
    </row>
    <row r="7127" spans="1:5" x14ac:dyDescent="0.25">
      <c r="A7127" s="22"/>
      <c r="B7127" s="23"/>
      <c r="C7127" s="23"/>
      <c r="D7127" s="23"/>
      <c r="E7127" s="23"/>
    </row>
    <row r="7128" spans="1:5" x14ac:dyDescent="0.25">
      <c r="A7128" s="22"/>
      <c r="B7128" s="23"/>
      <c r="C7128" s="23"/>
      <c r="D7128" s="23"/>
      <c r="E7128" s="23"/>
    </row>
    <row r="7129" spans="1:5" x14ac:dyDescent="0.25">
      <c r="A7129" s="22"/>
      <c r="B7129" s="23"/>
      <c r="C7129" s="23"/>
      <c r="D7129" s="23"/>
      <c r="E7129" s="23"/>
    </row>
    <row r="7130" spans="1:5" x14ac:dyDescent="0.25">
      <c r="A7130" s="22"/>
      <c r="B7130" s="23"/>
      <c r="C7130" s="23"/>
      <c r="D7130" s="23"/>
      <c r="E7130" s="23"/>
    </row>
    <row r="7131" spans="1:5" x14ac:dyDescent="0.25">
      <c r="A7131" s="22"/>
      <c r="B7131" s="23"/>
      <c r="C7131" s="23"/>
      <c r="D7131" s="23"/>
      <c r="E7131" s="23"/>
    </row>
    <row r="7132" spans="1:5" x14ac:dyDescent="0.25">
      <c r="A7132" s="22"/>
      <c r="B7132" s="23"/>
      <c r="C7132" s="23"/>
      <c r="D7132" s="23"/>
      <c r="E7132" s="23"/>
    </row>
    <row r="7133" spans="1:5" x14ac:dyDescent="0.25">
      <c r="A7133" s="22"/>
      <c r="B7133" s="23"/>
      <c r="C7133" s="23"/>
      <c r="D7133" s="23"/>
      <c r="E7133" s="23"/>
    </row>
    <row r="7134" spans="1:5" x14ac:dyDescent="0.25">
      <c r="A7134" s="22"/>
      <c r="B7134" s="23"/>
      <c r="C7134" s="23"/>
      <c r="D7134" s="23"/>
      <c r="E7134" s="23"/>
    </row>
    <row r="7135" spans="1:5" x14ac:dyDescent="0.25">
      <c r="A7135" s="22"/>
      <c r="B7135" s="23"/>
      <c r="C7135" s="23"/>
      <c r="D7135" s="23"/>
      <c r="E7135" s="23"/>
    </row>
    <row r="7136" spans="1:5" x14ac:dyDescent="0.25">
      <c r="A7136" s="22"/>
      <c r="B7136" s="23"/>
      <c r="C7136" s="23"/>
      <c r="D7136" s="23"/>
      <c r="E7136" s="23"/>
    </row>
    <row r="7137" spans="1:5" x14ac:dyDescent="0.25">
      <c r="A7137" s="22"/>
      <c r="B7137" s="23"/>
      <c r="C7137" s="23"/>
      <c r="D7137" s="23"/>
      <c r="E7137" s="23"/>
    </row>
    <row r="7138" spans="1:5" x14ac:dyDescent="0.25">
      <c r="A7138" s="22"/>
      <c r="B7138" s="23"/>
      <c r="C7138" s="23"/>
      <c r="D7138" s="23"/>
      <c r="E7138" s="23"/>
    </row>
    <row r="7139" spans="1:5" x14ac:dyDescent="0.25">
      <c r="A7139" s="22"/>
      <c r="B7139" s="23"/>
      <c r="C7139" s="23"/>
      <c r="D7139" s="23"/>
      <c r="E7139" s="23"/>
    </row>
    <row r="7140" spans="1:5" x14ac:dyDescent="0.25">
      <c r="A7140" s="22"/>
      <c r="B7140" s="23"/>
      <c r="C7140" s="23"/>
      <c r="D7140" s="23"/>
      <c r="E7140" s="23"/>
    </row>
    <row r="7141" spans="1:5" x14ac:dyDescent="0.25">
      <c r="A7141" s="22"/>
      <c r="B7141" s="23"/>
      <c r="C7141" s="23"/>
      <c r="D7141" s="23"/>
      <c r="E7141" s="23"/>
    </row>
    <row r="7142" spans="1:5" x14ac:dyDescent="0.25">
      <c r="A7142" s="22"/>
      <c r="B7142" s="23"/>
      <c r="C7142" s="23"/>
      <c r="D7142" s="23"/>
      <c r="E7142" s="23"/>
    </row>
    <row r="7143" spans="1:5" x14ac:dyDescent="0.25">
      <c r="A7143" s="22"/>
      <c r="B7143" s="23"/>
      <c r="C7143" s="23"/>
      <c r="D7143" s="23"/>
      <c r="E7143" s="23"/>
    </row>
    <row r="7144" spans="1:5" x14ac:dyDescent="0.25">
      <c r="A7144" s="22"/>
      <c r="B7144" s="23"/>
      <c r="C7144" s="23"/>
      <c r="D7144" s="23"/>
      <c r="E7144" s="23"/>
    </row>
    <row r="7145" spans="1:5" x14ac:dyDescent="0.25">
      <c r="A7145" s="22"/>
      <c r="B7145" s="23"/>
      <c r="C7145" s="23"/>
      <c r="D7145" s="23"/>
      <c r="E7145" s="23"/>
    </row>
    <row r="7146" spans="1:5" x14ac:dyDescent="0.25">
      <c r="A7146" s="22"/>
      <c r="B7146" s="23"/>
      <c r="C7146" s="23"/>
      <c r="D7146" s="23"/>
      <c r="E7146" s="23"/>
    </row>
    <row r="7147" spans="1:5" x14ac:dyDescent="0.25">
      <c r="A7147" s="22"/>
      <c r="B7147" s="23"/>
      <c r="C7147" s="23"/>
      <c r="D7147" s="23"/>
      <c r="E7147" s="23"/>
    </row>
    <row r="7148" spans="1:5" x14ac:dyDescent="0.25">
      <c r="A7148" s="22"/>
      <c r="B7148" s="23"/>
      <c r="C7148" s="23"/>
      <c r="D7148" s="23"/>
      <c r="E7148" s="23"/>
    </row>
    <row r="7149" spans="1:5" x14ac:dyDescent="0.25">
      <c r="A7149" s="22"/>
      <c r="B7149" s="23"/>
      <c r="C7149" s="23"/>
      <c r="D7149" s="23"/>
      <c r="E7149" s="23"/>
    </row>
    <row r="7150" spans="1:5" x14ac:dyDescent="0.25">
      <c r="A7150" s="22"/>
      <c r="B7150" s="23"/>
      <c r="C7150" s="23"/>
      <c r="D7150" s="23"/>
      <c r="E7150" s="23"/>
    </row>
    <row r="7151" spans="1:5" x14ac:dyDescent="0.25">
      <c r="A7151" s="22"/>
      <c r="B7151" s="23"/>
      <c r="C7151" s="23"/>
      <c r="D7151" s="23"/>
      <c r="E7151" s="23"/>
    </row>
    <row r="7152" spans="1:5" x14ac:dyDescent="0.25">
      <c r="A7152" s="22"/>
      <c r="B7152" s="23"/>
      <c r="C7152" s="23"/>
      <c r="D7152" s="23"/>
      <c r="E7152" s="23"/>
    </row>
    <row r="7153" spans="1:5" x14ac:dyDescent="0.25">
      <c r="A7153" s="22"/>
      <c r="B7153" s="23"/>
      <c r="C7153" s="23"/>
      <c r="D7153" s="23"/>
      <c r="E7153" s="23"/>
    </row>
    <row r="7154" spans="1:5" x14ac:dyDescent="0.25">
      <c r="A7154" s="22"/>
      <c r="B7154" s="23"/>
      <c r="C7154" s="23"/>
      <c r="D7154" s="23"/>
      <c r="E7154" s="23"/>
    </row>
    <row r="7155" spans="1:5" x14ac:dyDescent="0.25">
      <c r="A7155" s="22"/>
      <c r="B7155" s="23"/>
      <c r="C7155" s="23"/>
      <c r="D7155" s="23"/>
      <c r="E7155" s="23"/>
    </row>
    <row r="7156" spans="1:5" x14ac:dyDescent="0.25">
      <c r="A7156" s="22"/>
      <c r="B7156" s="23"/>
      <c r="C7156" s="23"/>
      <c r="D7156" s="23"/>
      <c r="E7156" s="23"/>
    </row>
    <row r="7157" spans="1:5" x14ac:dyDescent="0.25">
      <c r="A7157" s="22"/>
      <c r="B7157" s="23"/>
      <c r="C7157" s="23"/>
      <c r="D7157" s="23"/>
      <c r="E7157" s="23"/>
    </row>
    <row r="7158" spans="1:5" x14ac:dyDescent="0.25">
      <c r="A7158" s="22"/>
      <c r="B7158" s="23"/>
      <c r="C7158" s="23"/>
      <c r="D7158" s="23"/>
      <c r="E7158" s="23"/>
    </row>
    <row r="7159" spans="1:5" x14ac:dyDescent="0.25">
      <c r="A7159" s="22"/>
      <c r="B7159" s="23"/>
      <c r="C7159" s="23"/>
      <c r="D7159" s="23"/>
      <c r="E7159" s="23"/>
    </row>
    <row r="7160" spans="1:5" x14ac:dyDescent="0.25">
      <c r="A7160" s="22"/>
      <c r="B7160" s="23"/>
      <c r="C7160" s="23"/>
      <c r="D7160" s="23"/>
      <c r="E7160" s="23"/>
    </row>
    <row r="7161" spans="1:5" x14ac:dyDescent="0.25">
      <c r="A7161" s="22"/>
      <c r="B7161" s="23"/>
      <c r="C7161" s="23"/>
      <c r="D7161" s="23"/>
      <c r="E7161" s="23"/>
    </row>
    <row r="7162" spans="1:5" x14ac:dyDescent="0.25">
      <c r="A7162" s="22"/>
      <c r="B7162" s="23"/>
      <c r="C7162" s="23"/>
      <c r="D7162" s="23"/>
      <c r="E7162" s="23"/>
    </row>
    <row r="7163" spans="1:5" x14ac:dyDescent="0.25">
      <c r="A7163" s="22"/>
      <c r="B7163" s="23"/>
      <c r="C7163" s="23"/>
      <c r="D7163" s="23"/>
      <c r="E7163" s="23"/>
    </row>
    <row r="7164" spans="1:5" x14ac:dyDescent="0.25">
      <c r="A7164" s="22"/>
      <c r="B7164" s="23"/>
      <c r="C7164" s="23"/>
      <c r="D7164" s="23"/>
      <c r="E7164" s="23"/>
    </row>
    <row r="7165" spans="1:5" x14ac:dyDescent="0.25">
      <c r="A7165" s="22"/>
      <c r="B7165" s="23"/>
      <c r="C7165" s="23"/>
      <c r="D7165" s="23"/>
      <c r="E7165" s="23"/>
    </row>
    <row r="7166" spans="1:5" x14ac:dyDescent="0.25">
      <c r="A7166" s="22"/>
      <c r="B7166" s="23"/>
      <c r="C7166" s="23"/>
      <c r="D7166" s="23"/>
      <c r="E7166" s="23"/>
    </row>
    <row r="7167" spans="1:5" x14ac:dyDescent="0.25">
      <c r="A7167" s="22"/>
      <c r="B7167" s="23"/>
      <c r="C7167" s="23"/>
      <c r="D7167" s="23"/>
      <c r="E7167" s="23"/>
    </row>
    <row r="7168" spans="1:5" x14ac:dyDescent="0.25">
      <c r="A7168" s="22"/>
      <c r="B7168" s="23"/>
      <c r="C7168" s="23"/>
      <c r="D7168" s="23"/>
      <c r="E7168" s="23"/>
    </row>
    <row r="7169" spans="1:5" x14ac:dyDescent="0.25">
      <c r="A7169" s="22"/>
      <c r="B7169" s="23"/>
      <c r="C7169" s="23"/>
      <c r="D7169" s="23"/>
      <c r="E7169" s="23"/>
    </row>
    <row r="7170" spans="1:5" x14ac:dyDescent="0.25">
      <c r="A7170" s="22"/>
      <c r="B7170" s="23"/>
      <c r="C7170" s="23"/>
      <c r="D7170" s="23"/>
      <c r="E7170" s="23"/>
    </row>
    <row r="7171" spans="1:5" x14ac:dyDescent="0.25">
      <c r="A7171" s="22"/>
      <c r="B7171" s="23"/>
      <c r="C7171" s="23"/>
      <c r="D7171" s="23"/>
      <c r="E7171" s="23"/>
    </row>
    <row r="7172" spans="1:5" x14ac:dyDescent="0.25">
      <c r="A7172" s="22"/>
      <c r="B7172" s="23"/>
      <c r="C7172" s="23"/>
      <c r="D7172" s="23"/>
      <c r="E7172" s="23"/>
    </row>
    <row r="7173" spans="1:5" x14ac:dyDescent="0.25">
      <c r="A7173" s="22"/>
      <c r="B7173" s="23"/>
      <c r="C7173" s="23"/>
      <c r="D7173" s="23"/>
      <c r="E7173" s="23"/>
    </row>
    <row r="7174" spans="1:5" x14ac:dyDescent="0.25">
      <c r="A7174" s="22"/>
      <c r="B7174" s="23"/>
      <c r="C7174" s="23"/>
      <c r="D7174" s="23"/>
      <c r="E7174" s="23"/>
    </row>
    <row r="7175" spans="1:5" x14ac:dyDescent="0.25">
      <c r="A7175" s="22"/>
      <c r="B7175" s="23"/>
      <c r="C7175" s="23"/>
      <c r="D7175" s="23"/>
      <c r="E7175" s="23"/>
    </row>
    <row r="7176" spans="1:5" x14ac:dyDescent="0.25">
      <c r="A7176" s="22"/>
      <c r="B7176" s="23"/>
      <c r="C7176" s="23"/>
      <c r="D7176" s="23"/>
      <c r="E7176" s="23"/>
    </row>
    <row r="7177" spans="1:5" x14ac:dyDescent="0.25">
      <c r="A7177" s="22"/>
      <c r="B7177" s="23"/>
      <c r="C7177" s="23"/>
      <c r="D7177" s="23"/>
      <c r="E7177" s="23"/>
    </row>
    <row r="7178" spans="1:5" x14ac:dyDescent="0.25">
      <c r="A7178" s="22"/>
      <c r="B7178" s="23"/>
      <c r="C7178" s="23"/>
      <c r="D7178" s="23"/>
      <c r="E7178" s="23"/>
    </row>
    <row r="7179" spans="1:5" x14ac:dyDescent="0.25">
      <c r="A7179" s="22"/>
      <c r="B7179" s="23"/>
      <c r="C7179" s="23"/>
      <c r="D7179" s="23"/>
      <c r="E7179" s="23"/>
    </row>
    <row r="7180" spans="1:5" x14ac:dyDescent="0.25">
      <c r="A7180" s="22"/>
      <c r="B7180" s="23"/>
      <c r="C7180" s="23"/>
      <c r="D7180" s="23"/>
      <c r="E7180" s="23"/>
    </row>
    <row r="7181" spans="1:5" x14ac:dyDescent="0.25">
      <c r="A7181" s="22"/>
      <c r="B7181" s="23"/>
      <c r="C7181" s="23"/>
      <c r="D7181" s="23"/>
      <c r="E7181" s="23"/>
    </row>
    <row r="7182" spans="1:5" x14ac:dyDescent="0.25">
      <c r="A7182" s="22"/>
      <c r="B7182" s="23"/>
      <c r="C7182" s="23"/>
      <c r="D7182" s="23"/>
      <c r="E7182" s="23"/>
    </row>
    <row r="7183" spans="1:5" x14ac:dyDescent="0.25">
      <c r="A7183" s="22"/>
      <c r="B7183" s="23"/>
      <c r="C7183" s="23"/>
      <c r="D7183" s="23"/>
      <c r="E7183" s="23"/>
    </row>
    <row r="7184" spans="1:5" x14ac:dyDescent="0.25">
      <c r="A7184" s="22"/>
      <c r="B7184" s="23"/>
      <c r="C7184" s="23"/>
      <c r="D7184" s="23"/>
      <c r="E7184" s="23"/>
    </row>
    <row r="7185" spans="1:5" x14ac:dyDescent="0.25">
      <c r="A7185" s="22"/>
      <c r="B7185" s="23"/>
      <c r="C7185" s="23"/>
      <c r="D7185" s="23"/>
      <c r="E7185" s="23"/>
    </row>
    <row r="7186" spans="1:5" x14ac:dyDescent="0.25">
      <c r="A7186" s="22"/>
      <c r="B7186" s="23"/>
      <c r="C7186" s="23"/>
      <c r="D7186" s="23"/>
      <c r="E7186" s="23"/>
    </row>
    <row r="7187" spans="1:5" x14ac:dyDescent="0.25">
      <c r="A7187" s="22"/>
      <c r="B7187" s="23"/>
      <c r="C7187" s="23"/>
      <c r="D7187" s="23"/>
      <c r="E7187" s="23"/>
    </row>
    <row r="7188" spans="1:5" x14ac:dyDescent="0.25">
      <c r="A7188" s="22"/>
      <c r="B7188" s="23"/>
      <c r="C7188" s="23"/>
      <c r="D7188" s="23"/>
      <c r="E7188" s="23"/>
    </row>
    <row r="7189" spans="1:5" x14ac:dyDescent="0.25">
      <c r="A7189" s="22"/>
      <c r="B7189" s="23"/>
      <c r="C7189" s="23"/>
      <c r="D7189" s="23"/>
      <c r="E7189" s="23"/>
    </row>
    <row r="7190" spans="1:5" x14ac:dyDescent="0.25">
      <c r="A7190" s="22"/>
      <c r="B7190" s="23"/>
      <c r="C7190" s="23"/>
      <c r="D7190" s="23"/>
      <c r="E7190" s="23"/>
    </row>
    <row r="7191" spans="1:5" x14ac:dyDescent="0.25">
      <c r="A7191" s="22"/>
      <c r="B7191" s="23"/>
      <c r="C7191" s="23"/>
      <c r="D7191" s="23"/>
      <c r="E7191" s="23"/>
    </row>
    <row r="7192" spans="1:5" x14ac:dyDescent="0.25">
      <c r="A7192" s="22"/>
      <c r="B7192" s="23"/>
      <c r="C7192" s="23"/>
      <c r="D7192" s="23"/>
      <c r="E7192" s="23"/>
    </row>
    <row r="7193" spans="1:5" x14ac:dyDescent="0.25">
      <c r="A7193" s="22"/>
      <c r="B7193" s="23"/>
      <c r="C7193" s="23"/>
      <c r="D7193" s="23"/>
      <c r="E7193" s="23"/>
    </row>
    <row r="7194" spans="1:5" x14ac:dyDescent="0.25">
      <c r="A7194" s="22"/>
      <c r="B7194" s="23"/>
      <c r="C7194" s="23"/>
      <c r="D7194" s="23"/>
      <c r="E7194" s="23"/>
    </row>
    <row r="7195" spans="1:5" x14ac:dyDescent="0.25">
      <c r="A7195" s="22"/>
      <c r="B7195" s="23"/>
      <c r="C7195" s="23"/>
      <c r="D7195" s="23"/>
      <c r="E7195" s="23"/>
    </row>
    <row r="7196" spans="1:5" x14ac:dyDescent="0.25">
      <c r="A7196" s="22"/>
      <c r="B7196" s="23"/>
      <c r="C7196" s="23"/>
      <c r="D7196" s="23"/>
      <c r="E7196" s="23"/>
    </row>
    <row r="7197" spans="1:5" x14ac:dyDescent="0.25">
      <c r="A7197" s="22"/>
      <c r="B7197" s="23"/>
      <c r="C7197" s="23"/>
      <c r="D7197" s="23"/>
      <c r="E7197" s="23"/>
    </row>
    <row r="7198" spans="1:5" x14ac:dyDescent="0.25">
      <c r="A7198" s="22"/>
      <c r="B7198" s="23"/>
      <c r="C7198" s="23"/>
      <c r="D7198" s="23"/>
      <c r="E7198" s="23"/>
    </row>
    <row r="7199" spans="1:5" x14ac:dyDescent="0.25">
      <c r="A7199" s="22"/>
      <c r="B7199" s="23"/>
      <c r="C7199" s="23"/>
      <c r="D7199" s="23"/>
      <c r="E7199" s="23"/>
    </row>
    <row r="7200" spans="1:5" x14ac:dyDescent="0.25">
      <c r="A7200" s="22"/>
      <c r="B7200" s="23"/>
      <c r="C7200" s="23"/>
      <c r="D7200" s="23"/>
      <c r="E7200" s="23"/>
    </row>
    <row r="7201" spans="1:5" x14ac:dyDescent="0.25">
      <c r="A7201" s="22"/>
      <c r="B7201" s="23"/>
      <c r="C7201" s="23"/>
      <c r="D7201" s="23"/>
      <c r="E7201" s="23"/>
    </row>
    <row r="7202" spans="1:5" x14ac:dyDescent="0.25">
      <c r="A7202" s="22"/>
      <c r="B7202" s="23"/>
      <c r="C7202" s="23"/>
      <c r="D7202" s="23"/>
      <c r="E7202" s="23"/>
    </row>
    <row r="7203" spans="1:5" x14ac:dyDescent="0.25">
      <c r="A7203" s="22"/>
      <c r="B7203" s="23"/>
      <c r="C7203" s="23"/>
      <c r="D7203" s="23"/>
      <c r="E7203" s="23"/>
    </row>
    <row r="7204" spans="1:5" x14ac:dyDescent="0.25">
      <c r="A7204" s="22"/>
      <c r="B7204" s="23"/>
      <c r="C7204" s="23"/>
      <c r="D7204" s="23"/>
      <c r="E7204" s="23"/>
    </row>
    <row r="7205" spans="1:5" x14ac:dyDescent="0.25">
      <c r="A7205" s="22"/>
      <c r="B7205" s="23"/>
      <c r="C7205" s="23"/>
      <c r="D7205" s="23"/>
      <c r="E7205" s="23"/>
    </row>
    <row r="7206" spans="1:5" x14ac:dyDescent="0.25">
      <c r="A7206" s="22"/>
      <c r="B7206" s="23"/>
      <c r="C7206" s="23"/>
      <c r="D7206" s="23"/>
      <c r="E7206" s="23"/>
    </row>
    <row r="7207" spans="1:5" x14ac:dyDescent="0.25">
      <c r="A7207" s="22"/>
      <c r="B7207" s="23"/>
      <c r="C7207" s="23"/>
      <c r="D7207" s="23"/>
      <c r="E7207" s="23"/>
    </row>
    <row r="7208" spans="1:5" x14ac:dyDescent="0.25">
      <c r="A7208" s="22"/>
      <c r="B7208" s="23"/>
      <c r="C7208" s="23"/>
      <c r="D7208" s="23"/>
      <c r="E7208" s="23"/>
    </row>
    <row r="7209" spans="1:5" x14ac:dyDescent="0.25">
      <c r="A7209" s="22"/>
      <c r="B7209" s="23"/>
      <c r="C7209" s="23"/>
      <c r="D7209" s="23"/>
      <c r="E7209" s="23"/>
    </row>
    <row r="7210" spans="1:5" x14ac:dyDescent="0.25">
      <c r="A7210" s="22"/>
      <c r="B7210" s="23"/>
      <c r="C7210" s="23"/>
      <c r="D7210" s="23"/>
      <c r="E7210" s="23"/>
    </row>
    <row r="7211" spans="1:5" x14ac:dyDescent="0.25">
      <c r="A7211" s="22"/>
      <c r="B7211" s="23"/>
      <c r="C7211" s="23"/>
      <c r="D7211" s="23"/>
      <c r="E7211" s="23"/>
    </row>
    <row r="7212" spans="1:5" x14ac:dyDescent="0.25">
      <c r="A7212" s="22"/>
      <c r="B7212" s="23"/>
      <c r="C7212" s="23"/>
      <c r="D7212" s="23"/>
      <c r="E7212" s="23"/>
    </row>
    <row r="7213" spans="1:5" x14ac:dyDescent="0.25">
      <c r="A7213" s="22"/>
      <c r="B7213" s="23"/>
      <c r="C7213" s="23"/>
      <c r="D7213" s="23"/>
      <c r="E7213" s="23"/>
    </row>
    <row r="7214" spans="1:5" x14ac:dyDescent="0.25">
      <c r="A7214" s="22"/>
      <c r="B7214" s="23"/>
      <c r="C7214" s="23"/>
      <c r="D7214" s="23"/>
      <c r="E7214" s="23"/>
    </row>
    <row r="7215" spans="1:5" x14ac:dyDescent="0.25">
      <c r="A7215" s="22"/>
      <c r="B7215" s="23"/>
      <c r="C7215" s="23"/>
      <c r="D7215" s="23"/>
      <c r="E7215" s="23"/>
    </row>
    <row r="7216" spans="1:5" x14ac:dyDescent="0.25">
      <c r="A7216" s="22"/>
      <c r="B7216" s="23"/>
      <c r="C7216" s="23"/>
      <c r="D7216" s="23"/>
      <c r="E7216" s="23"/>
    </row>
    <row r="7217" spans="1:5" x14ac:dyDescent="0.25">
      <c r="A7217" s="22"/>
      <c r="B7217" s="23"/>
      <c r="C7217" s="23"/>
      <c r="D7217" s="23"/>
      <c r="E7217" s="23"/>
    </row>
    <row r="7218" spans="1:5" x14ac:dyDescent="0.25">
      <c r="A7218" s="22"/>
      <c r="B7218" s="23"/>
      <c r="C7218" s="23"/>
      <c r="D7218" s="23"/>
      <c r="E7218" s="23"/>
    </row>
    <row r="7219" spans="1:5" x14ac:dyDescent="0.25">
      <c r="A7219" s="22"/>
      <c r="B7219" s="23"/>
      <c r="C7219" s="23"/>
      <c r="D7219" s="23"/>
      <c r="E7219" s="23"/>
    </row>
    <row r="7220" spans="1:5" x14ac:dyDescent="0.25">
      <c r="A7220" s="22"/>
      <c r="B7220" s="23"/>
      <c r="C7220" s="23"/>
      <c r="D7220" s="23"/>
      <c r="E7220" s="23"/>
    </row>
    <row r="7221" spans="1:5" x14ac:dyDescent="0.25">
      <c r="A7221" s="22"/>
      <c r="B7221" s="23"/>
      <c r="C7221" s="23"/>
      <c r="D7221" s="23"/>
      <c r="E7221" s="23"/>
    </row>
    <row r="7222" spans="1:5" x14ac:dyDescent="0.25">
      <c r="A7222" s="22"/>
      <c r="B7222" s="23"/>
      <c r="C7222" s="23"/>
      <c r="D7222" s="23"/>
      <c r="E7222" s="23"/>
    </row>
    <row r="7223" spans="1:5" x14ac:dyDescent="0.25">
      <c r="A7223" s="22"/>
      <c r="B7223" s="23"/>
      <c r="C7223" s="23"/>
      <c r="D7223" s="23"/>
      <c r="E7223" s="23"/>
    </row>
    <row r="7224" spans="1:5" x14ac:dyDescent="0.25">
      <c r="A7224" s="22"/>
      <c r="B7224" s="23"/>
      <c r="C7224" s="23"/>
      <c r="D7224" s="23"/>
      <c r="E7224" s="23"/>
    </row>
    <row r="7225" spans="1:5" x14ac:dyDescent="0.25">
      <c r="A7225" s="22"/>
      <c r="B7225" s="23"/>
      <c r="C7225" s="23"/>
      <c r="D7225" s="23"/>
      <c r="E7225" s="23"/>
    </row>
    <row r="7226" spans="1:5" x14ac:dyDescent="0.25">
      <c r="A7226" s="22"/>
      <c r="B7226" s="23"/>
      <c r="C7226" s="23"/>
      <c r="D7226" s="23"/>
      <c r="E7226" s="23"/>
    </row>
    <row r="7227" spans="1:5" x14ac:dyDescent="0.25">
      <c r="A7227" s="22"/>
      <c r="B7227" s="23"/>
      <c r="C7227" s="23"/>
      <c r="D7227" s="23"/>
      <c r="E7227" s="23"/>
    </row>
    <row r="7228" spans="1:5" x14ac:dyDescent="0.25">
      <c r="A7228" s="22"/>
      <c r="B7228" s="23"/>
      <c r="C7228" s="23"/>
      <c r="D7228" s="23"/>
      <c r="E7228" s="23"/>
    </row>
    <row r="7229" spans="1:5" x14ac:dyDescent="0.25">
      <c r="A7229" s="22"/>
      <c r="B7229" s="23"/>
      <c r="C7229" s="23"/>
      <c r="D7229" s="23"/>
      <c r="E7229" s="23"/>
    </row>
    <row r="7230" spans="1:5" x14ac:dyDescent="0.25">
      <c r="A7230" s="22"/>
      <c r="B7230" s="23"/>
      <c r="C7230" s="23"/>
      <c r="D7230" s="23"/>
      <c r="E7230" s="23"/>
    </row>
    <row r="7231" spans="1:5" x14ac:dyDescent="0.25">
      <c r="A7231" s="22"/>
      <c r="B7231" s="23"/>
      <c r="C7231" s="23"/>
      <c r="D7231" s="23"/>
      <c r="E7231" s="23"/>
    </row>
    <row r="7232" spans="1:5" x14ac:dyDescent="0.25">
      <c r="A7232" s="22"/>
      <c r="B7232" s="23"/>
      <c r="C7232" s="23"/>
      <c r="D7232" s="23"/>
      <c r="E7232" s="23"/>
    </row>
    <row r="7233" spans="1:5" x14ac:dyDescent="0.25">
      <c r="A7233" s="22"/>
      <c r="B7233" s="23"/>
      <c r="C7233" s="23"/>
      <c r="D7233" s="23"/>
      <c r="E7233" s="23"/>
    </row>
    <row r="7234" spans="1:5" x14ac:dyDescent="0.25">
      <c r="A7234" s="22"/>
      <c r="B7234" s="23"/>
      <c r="C7234" s="23"/>
      <c r="D7234" s="23"/>
      <c r="E7234" s="23"/>
    </row>
    <row r="7235" spans="1:5" x14ac:dyDescent="0.25">
      <c r="A7235" s="22"/>
      <c r="B7235" s="23"/>
      <c r="C7235" s="23"/>
      <c r="D7235" s="23"/>
      <c r="E7235" s="23"/>
    </row>
    <row r="7236" spans="1:5" x14ac:dyDescent="0.25">
      <c r="A7236" s="22"/>
      <c r="B7236" s="23"/>
      <c r="C7236" s="23"/>
      <c r="D7236" s="23"/>
      <c r="E7236" s="23"/>
    </row>
    <row r="7237" spans="1:5" x14ac:dyDescent="0.25">
      <c r="A7237" s="22"/>
      <c r="B7237" s="23"/>
      <c r="C7237" s="23"/>
      <c r="D7237" s="23"/>
      <c r="E7237" s="23"/>
    </row>
    <row r="7238" spans="1:5" x14ac:dyDescent="0.25">
      <c r="A7238" s="22"/>
      <c r="B7238" s="23"/>
      <c r="C7238" s="23"/>
      <c r="D7238" s="23"/>
      <c r="E7238" s="23"/>
    </row>
    <row r="7239" spans="1:5" x14ac:dyDescent="0.25">
      <c r="A7239" s="22"/>
      <c r="B7239" s="23"/>
      <c r="C7239" s="23"/>
      <c r="D7239" s="23"/>
      <c r="E7239" s="23"/>
    </row>
    <row r="7240" spans="1:5" x14ac:dyDescent="0.25">
      <c r="A7240" s="22"/>
      <c r="B7240" s="23"/>
      <c r="C7240" s="23"/>
      <c r="D7240" s="23"/>
      <c r="E7240" s="23"/>
    </row>
    <row r="7241" spans="1:5" x14ac:dyDescent="0.25">
      <c r="A7241" s="22"/>
      <c r="B7241" s="23"/>
      <c r="C7241" s="23"/>
      <c r="D7241" s="23"/>
      <c r="E7241" s="23"/>
    </row>
    <row r="7242" spans="1:5" x14ac:dyDescent="0.25">
      <c r="A7242" s="22"/>
      <c r="B7242" s="23"/>
      <c r="C7242" s="23"/>
      <c r="D7242" s="23"/>
      <c r="E7242" s="23"/>
    </row>
    <row r="7243" spans="1:5" x14ac:dyDescent="0.25">
      <c r="A7243" s="22"/>
      <c r="B7243" s="23"/>
      <c r="C7243" s="23"/>
      <c r="D7243" s="23"/>
      <c r="E7243" s="23"/>
    </row>
    <row r="7244" spans="1:5" x14ac:dyDescent="0.25">
      <c r="A7244" s="22"/>
      <c r="B7244" s="23"/>
      <c r="C7244" s="23"/>
      <c r="D7244" s="23"/>
      <c r="E7244" s="23"/>
    </row>
    <row r="7245" spans="1:5" x14ac:dyDescent="0.25">
      <c r="A7245" s="22"/>
      <c r="B7245" s="23"/>
      <c r="C7245" s="23"/>
      <c r="D7245" s="23"/>
      <c r="E7245" s="23"/>
    </row>
    <row r="7246" spans="1:5" x14ac:dyDescent="0.25">
      <c r="A7246" s="22"/>
      <c r="B7246" s="23"/>
      <c r="C7246" s="23"/>
      <c r="D7246" s="23"/>
      <c r="E7246" s="23"/>
    </row>
    <row r="7247" spans="1:5" x14ac:dyDescent="0.25">
      <c r="A7247" s="22"/>
      <c r="B7247" s="23"/>
      <c r="C7247" s="23"/>
      <c r="D7247" s="23"/>
      <c r="E7247" s="23"/>
    </row>
    <row r="7248" spans="1:5" x14ac:dyDescent="0.25">
      <c r="A7248" s="22"/>
      <c r="B7248" s="23"/>
      <c r="C7248" s="23"/>
      <c r="D7248" s="23"/>
      <c r="E7248" s="23"/>
    </row>
    <row r="7249" spans="1:5" x14ac:dyDescent="0.25">
      <c r="A7249" s="22"/>
      <c r="B7249" s="23"/>
      <c r="C7249" s="23"/>
      <c r="D7249" s="23"/>
      <c r="E7249" s="23"/>
    </row>
    <row r="7250" spans="1:5" x14ac:dyDescent="0.25">
      <c r="A7250" s="22"/>
      <c r="B7250" s="23"/>
      <c r="C7250" s="23"/>
      <c r="D7250" s="23"/>
      <c r="E7250" s="23"/>
    </row>
    <row r="7251" spans="1:5" x14ac:dyDescent="0.25">
      <c r="A7251" s="22"/>
      <c r="B7251" s="23"/>
      <c r="C7251" s="23"/>
      <c r="D7251" s="23"/>
      <c r="E7251" s="23"/>
    </row>
    <row r="7252" spans="1:5" x14ac:dyDescent="0.25">
      <c r="A7252" s="22"/>
      <c r="B7252" s="23"/>
      <c r="C7252" s="23"/>
      <c r="D7252" s="23"/>
      <c r="E7252" s="23"/>
    </row>
    <row r="7253" spans="1:5" x14ac:dyDescent="0.25">
      <c r="A7253" s="22"/>
      <c r="B7253" s="23"/>
      <c r="C7253" s="23"/>
      <c r="D7253" s="23"/>
      <c r="E7253" s="23"/>
    </row>
    <row r="7254" spans="1:5" x14ac:dyDescent="0.25">
      <c r="A7254" s="22"/>
      <c r="B7254" s="23"/>
      <c r="C7254" s="23"/>
      <c r="D7254" s="23"/>
      <c r="E7254" s="23"/>
    </row>
    <row r="7255" spans="1:5" x14ac:dyDescent="0.25">
      <c r="A7255" s="22"/>
      <c r="B7255" s="23"/>
      <c r="C7255" s="23"/>
      <c r="D7255" s="23"/>
      <c r="E7255" s="23"/>
    </row>
    <row r="7256" spans="1:5" x14ac:dyDescent="0.25">
      <c r="A7256" s="22"/>
      <c r="B7256" s="23"/>
      <c r="C7256" s="23"/>
      <c r="D7256" s="23"/>
      <c r="E7256" s="23"/>
    </row>
    <row r="7257" spans="1:5" x14ac:dyDescent="0.25">
      <c r="A7257" s="22"/>
      <c r="B7257" s="23"/>
      <c r="C7257" s="23"/>
      <c r="D7257" s="23"/>
      <c r="E7257" s="23"/>
    </row>
    <row r="7258" spans="1:5" x14ac:dyDescent="0.25">
      <c r="A7258" s="22"/>
      <c r="B7258" s="23"/>
      <c r="C7258" s="23"/>
      <c r="D7258" s="23"/>
      <c r="E7258" s="23"/>
    </row>
    <row r="7259" spans="1:5" x14ac:dyDescent="0.25">
      <c r="A7259" s="22"/>
      <c r="B7259" s="23"/>
      <c r="C7259" s="23"/>
      <c r="D7259" s="23"/>
      <c r="E7259" s="23"/>
    </row>
    <row r="7260" spans="1:5" x14ac:dyDescent="0.25">
      <c r="A7260" s="22"/>
      <c r="B7260" s="23"/>
      <c r="C7260" s="23"/>
      <c r="D7260" s="23"/>
      <c r="E7260" s="23"/>
    </row>
    <row r="7261" spans="1:5" x14ac:dyDescent="0.25">
      <c r="A7261" s="22"/>
      <c r="B7261" s="23"/>
      <c r="C7261" s="23"/>
      <c r="D7261" s="23"/>
      <c r="E7261" s="23"/>
    </row>
    <row r="7262" spans="1:5" x14ac:dyDescent="0.25">
      <c r="A7262" s="22"/>
      <c r="B7262" s="23"/>
      <c r="C7262" s="23"/>
      <c r="D7262" s="23"/>
      <c r="E7262" s="23"/>
    </row>
    <row r="7263" spans="1:5" x14ac:dyDescent="0.25">
      <c r="A7263" s="22"/>
      <c r="B7263" s="23"/>
      <c r="C7263" s="23"/>
      <c r="D7263" s="23"/>
      <c r="E7263" s="23"/>
    </row>
    <row r="7264" spans="1:5" x14ac:dyDescent="0.25">
      <c r="A7264" s="22"/>
      <c r="B7264" s="23"/>
      <c r="C7264" s="23"/>
      <c r="D7264" s="23"/>
      <c r="E7264" s="23"/>
    </row>
    <row r="7265" spans="1:5" x14ac:dyDescent="0.25">
      <c r="A7265" s="22"/>
      <c r="B7265" s="23"/>
      <c r="C7265" s="23"/>
      <c r="D7265" s="23"/>
      <c r="E7265" s="23"/>
    </row>
    <row r="7266" spans="1:5" x14ac:dyDescent="0.25">
      <c r="A7266" s="22"/>
      <c r="B7266" s="23"/>
      <c r="C7266" s="23"/>
      <c r="D7266" s="23"/>
      <c r="E7266" s="23"/>
    </row>
    <row r="7267" spans="1:5" x14ac:dyDescent="0.25">
      <c r="A7267" s="22"/>
      <c r="B7267" s="23"/>
      <c r="C7267" s="23"/>
      <c r="D7267" s="23"/>
      <c r="E7267" s="23"/>
    </row>
    <row r="7268" spans="1:5" x14ac:dyDescent="0.25">
      <c r="A7268" s="22"/>
      <c r="B7268" s="23"/>
      <c r="C7268" s="23"/>
      <c r="D7268" s="23"/>
      <c r="E7268" s="23"/>
    </row>
    <row r="7269" spans="1:5" x14ac:dyDescent="0.25">
      <c r="A7269" s="22"/>
      <c r="B7269" s="23"/>
      <c r="C7269" s="23"/>
      <c r="D7269" s="23"/>
      <c r="E7269" s="23"/>
    </row>
    <row r="7270" spans="1:5" x14ac:dyDescent="0.25">
      <c r="A7270" s="22"/>
      <c r="B7270" s="23"/>
      <c r="C7270" s="23"/>
      <c r="D7270" s="23"/>
      <c r="E7270" s="23"/>
    </row>
    <row r="7271" spans="1:5" x14ac:dyDescent="0.25">
      <c r="A7271" s="22"/>
      <c r="B7271" s="23"/>
      <c r="C7271" s="23"/>
      <c r="D7271" s="23"/>
      <c r="E7271" s="23"/>
    </row>
    <row r="7272" spans="1:5" x14ac:dyDescent="0.25">
      <c r="A7272" s="22"/>
      <c r="B7272" s="23"/>
      <c r="C7272" s="23"/>
      <c r="D7272" s="23"/>
      <c r="E7272" s="23"/>
    </row>
    <row r="7273" spans="1:5" x14ac:dyDescent="0.25">
      <c r="A7273" s="22"/>
      <c r="B7273" s="23"/>
      <c r="C7273" s="23"/>
      <c r="D7273" s="23"/>
      <c r="E7273" s="23"/>
    </row>
    <row r="7274" spans="1:5" x14ac:dyDescent="0.25">
      <c r="A7274" s="22"/>
      <c r="B7274" s="23"/>
      <c r="C7274" s="23"/>
      <c r="D7274" s="23"/>
      <c r="E7274" s="23"/>
    </row>
    <row r="7275" spans="1:5" x14ac:dyDescent="0.25">
      <c r="A7275" s="22"/>
      <c r="B7275" s="23"/>
      <c r="C7275" s="23"/>
      <c r="D7275" s="23"/>
      <c r="E7275" s="23"/>
    </row>
    <row r="7276" spans="1:5" x14ac:dyDescent="0.25">
      <c r="A7276" s="22"/>
      <c r="B7276" s="23"/>
      <c r="C7276" s="23"/>
      <c r="D7276" s="23"/>
      <c r="E7276" s="23"/>
    </row>
    <row r="7277" spans="1:5" x14ac:dyDescent="0.25">
      <c r="A7277" s="22"/>
      <c r="B7277" s="23"/>
      <c r="C7277" s="23"/>
      <c r="D7277" s="23"/>
      <c r="E7277" s="23"/>
    </row>
    <row r="7278" spans="1:5" x14ac:dyDescent="0.25">
      <c r="A7278" s="22"/>
      <c r="B7278" s="23"/>
      <c r="C7278" s="23"/>
      <c r="D7278" s="23"/>
      <c r="E7278" s="23"/>
    </row>
    <row r="7279" spans="1:5" x14ac:dyDescent="0.25">
      <c r="A7279" s="22"/>
      <c r="B7279" s="23"/>
      <c r="C7279" s="23"/>
      <c r="D7279" s="23"/>
      <c r="E7279" s="23"/>
    </row>
    <row r="7280" spans="1:5" x14ac:dyDescent="0.25">
      <c r="A7280" s="22"/>
      <c r="B7280" s="23"/>
      <c r="C7280" s="23"/>
      <c r="D7280" s="23"/>
      <c r="E7280" s="23"/>
    </row>
    <row r="7281" spans="1:5" x14ac:dyDescent="0.25">
      <c r="A7281" s="22"/>
      <c r="B7281" s="23"/>
      <c r="C7281" s="23"/>
      <c r="D7281" s="23"/>
      <c r="E7281" s="23"/>
    </row>
    <row r="7282" spans="1:5" x14ac:dyDescent="0.25">
      <c r="A7282" s="22"/>
      <c r="B7282" s="23"/>
      <c r="C7282" s="23"/>
      <c r="D7282" s="23"/>
      <c r="E7282" s="23"/>
    </row>
    <row r="7283" spans="1:5" x14ac:dyDescent="0.25">
      <c r="A7283" s="22"/>
      <c r="B7283" s="23"/>
      <c r="C7283" s="23"/>
      <c r="D7283" s="23"/>
      <c r="E7283" s="23"/>
    </row>
    <row r="7284" spans="1:5" x14ac:dyDescent="0.25">
      <c r="A7284" s="22"/>
      <c r="B7284" s="23"/>
      <c r="C7284" s="23"/>
      <c r="D7284" s="23"/>
      <c r="E7284" s="23"/>
    </row>
    <row r="7285" spans="1:5" x14ac:dyDescent="0.25">
      <c r="A7285" s="22"/>
      <c r="B7285" s="23"/>
      <c r="C7285" s="23"/>
      <c r="D7285" s="23"/>
      <c r="E7285" s="23"/>
    </row>
    <row r="7286" spans="1:5" x14ac:dyDescent="0.25">
      <c r="A7286" s="22"/>
      <c r="B7286" s="23"/>
      <c r="C7286" s="23"/>
      <c r="D7286" s="23"/>
      <c r="E7286" s="23"/>
    </row>
    <row r="7287" spans="1:5" x14ac:dyDescent="0.25">
      <c r="A7287" s="22"/>
      <c r="B7287" s="23"/>
      <c r="C7287" s="23"/>
      <c r="D7287" s="23"/>
      <c r="E7287" s="23"/>
    </row>
    <row r="7288" spans="1:5" x14ac:dyDescent="0.25">
      <c r="A7288" s="22"/>
      <c r="B7288" s="23"/>
      <c r="C7288" s="23"/>
      <c r="D7288" s="23"/>
      <c r="E7288" s="23"/>
    </row>
    <row r="7289" spans="1:5" x14ac:dyDescent="0.25">
      <c r="A7289" s="22"/>
      <c r="B7289" s="23"/>
      <c r="C7289" s="23"/>
      <c r="D7289" s="23"/>
      <c r="E7289" s="23"/>
    </row>
    <row r="7290" spans="1:5" x14ac:dyDescent="0.25">
      <c r="A7290" s="22"/>
      <c r="B7290" s="23"/>
      <c r="C7290" s="23"/>
      <c r="D7290" s="23"/>
      <c r="E7290" s="23"/>
    </row>
    <row r="7291" spans="1:5" x14ac:dyDescent="0.25">
      <c r="A7291" s="22"/>
      <c r="B7291" s="23"/>
      <c r="C7291" s="23"/>
      <c r="D7291" s="23"/>
      <c r="E7291" s="23"/>
    </row>
    <row r="7292" spans="1:5" x14ac:dyDescent="0.25">
      <c r="A7292" s="22"/>
      <c r="B7292" s="23"/>
      <c r="C7292" s="23"/>
      <c r="D7292" s="23"/>
      <c r="E7292" s="23"/>
    </row>
    <row r="7293" spans="1:5" x14ac:dyDescent="0.25">
      <c r="A7293" s="22"/>
      <c r="B7293" s="23"/>
      <c r="C7293" s="23"/>
      <c r="D7293" s="23"/>
      <c r="E7293" s="23"/>
    </row>
    <row r="7294" spans="1:5" x14ac:dyDescent="0.25">
      <c r="A7294" s="22"/>
      <c r="B7294" s="23"/>
      <c r="C7294" s="23"/>
      <c r="D7294" s="23"/>
      <c r="E7294" s="23"/>
    </row>
    <row r="7295" spans="1:5" x14ac:dyDescent="0.25">
      <c r="A7295" s="22"/>
      <c r="B7295" s="23"/>
      <c r="C7295" s="23"/>
      <c r="D7295" s="23"/>
      <c r="E7295" s="23"/>
    </row>
    <row r="7296" spans="1:5" x14ac:dyDescent="0.25">
      <c r="A7296" s="22"/>
      <c r="B7296" s="23"/>
      <c r="C7296" s="23"/>
      <c r="D7296" s="23"/>
      <c r="E7296" s="23"/>
    </row>
    <row r="7297" spans="1:5" x14ac:dyDescent="0.25">
      <c r="A7297" s="22"/>
      <c r="B7297" s="23"/>
      <c r="C7297" s="23"/>
      <c r="D7297" s="23"/>
      <c r="E7297" s="23"/>
    </row>
    <row r="7298" spans="1:5" x14ac:dyDescent="0.25">
      <c r="A7298" s="22"/>
      <c r="B7298" s="23"/>
      <c r="C7298" s="23"/>
      <c r="D7298" s="23"/>
      <c r="E7298" s="23"/>
    </row>
    <row r="7299" spans="1:5" x14ac:dyDescent="0.25">
      <c r="A7299" s="22"/>
      <c r="B7299" s="23"/>
      <c r="C7299" s="23"/>
      <c r="D7299" s="23"/>
      <c r="E7299" s="23"/>
    </row>
    <row r="7300" spans="1:5" x14ac:dyDescent="0.25">
      <c r="A7300" s="22"/>
      <c r="B7300" s="23"/>
      <c r="C7300" s="23"/>
      <c r="D7300" s="23"/>
      <c r="E7300" s="23"/>
    </row>
    <row r="7301" spans="1:5" x14ac:dyDescent="0.25">
      <c r="A7301" s="22"/>
      <c r="B7301" s="23"/>
      <c r="C7301" s="23"/>
      <c r="D7301" s="23"/>
      <c r="E7301" s="23"/>
    </row>
    <row r="7302" spans="1:5" x14ac:dyDescent="0.25">
      <c r="A7302" s="22"/>
      <c r="B7302" s="23"/>
      <c r="C7302" s="23"/>
      <c r="D7302" s="23"/>
      <c r="E7302" s="23"/>
    </row>
    <row r="7303" spans="1:5" x14ac:dyDescent="0.25">
      <c r="A7303" s="22"/>
      <c r="B7303" s="23"/>
      <c r="C7303" s="23"/>
      <c r="D7303" s="23"/>
      <c r="E7303" s="23"/>
    </row>
    <row r="7304" spans="1:5" x14ac:dyDescent="0.25">
      <c r="A7304" s="22"/>
      <c r="B7304" s="23"/>
      <c r="C7304" s="23"/>
      <c r="D7304" s="23"/>
      <c r="E7304" s="23"/>
    </row>
    <row r="7305" spans="1:5" x14ac:dyDescent="0.25">
      <c r="A7305" s="22"/>
      <c r="B7305" s="23"/>
      <c r="C7305" s="23"/>
      <c r="D7305" s="23"/>
      <c r="E7305" s="23"/>
    </row>
    <row r="7306" spans="1:5" x14ac:dyDescent="0.25">
      <c r="A7306" s="22"/>
      <c r="B7306" s="23"/>
      <c r="C7306" s="23"/>
      <c r="D7306" s="23"/>
      <c r="E7306" s="23"/>
    </row>
    <row r="7307" spans="1:5" x14ac:dyDescent="0.25">
      <c r="A7307" s="22"/>
      <c r="B7307" s="23"/>
      <c r="C7307" s="23"/>
      <c r="D7307" s="23"/>
      <c r="E7307" s="23"/>
    </row>
    <row r="7308" spans="1:5" x14ac:dyDescent="0.25">
      <c r="A7308" s="22"/>
      <c r="B7308" s="23"/>
      <c r="C7308" s="23"/>
      <c r="D7308" s="23"/>
      <c r="E7308" s="23"/>
    </row>
    <row r="7309" spans="1:5" x14ac:dyDescent="0.25">
      <c r="A7309" s="22"/>
      <c r="B7309" s="23"/>
      <c r="C7309" s="23"/>
      <c r="D7309" s="23"/>
      <c r="E7309" s="23"/>
    </row>
    <row r="7310" spans="1:5" x14ac:dyDescent="0.25">
      <c r="A7310" s="22"/>
      <c r="B7310" s="23"/>
      <c r="C7310" s="23"/>
      <c r="D7310" s="23"/>
      <c r="E7310" s="23"/>
    </row>
    <row r="7311" spans="1:5" x14ac:dyDescent="0.25">
      <c r="A7311" s="22"/>
      <c r="B7311" s="23"/>
      <c r="C7311" s="23"/>
      <c r="D7311" s="23"/>
      <c r="E7311" s="23"/>
    </row>
    <row r="7312" spans="1:5" x14ac:dyDescent="0.25">
      <c r="A7312" s="22"/>
      <c r="B7312" s="23"/>
      <c r="C7312" s="23"/>
      <c r="D7312" s="23"/>
      <c r="E7312" s="23"/>
    </row>
    <row r="7313" spans="1:5" x14ac:dyDescent="0.25">
      <c r="A7313" s="22"/>
      <c r="B7313" s="23"/>
      <c r="C7313" s="23"/>
      <c r="D7313" s="23"/>
      <c r="E7313" s="23"/>
    </row>
    <row r="7314" spans="1:5" x14ac:dyDescent="0.25">
      <c r="A7314" s="22"/>
      <c r="B7314" s="23"/>
      <c r="C7314" s="23"/>
      <c r="D7314" s="23"/>
      <c r="E7314" s="23"/>
    </row>
    <row r="7315" spans="1:5" x14ac:dyDescent="0.25">
      <c r="A7315" s="22"/>
      <c r="B7315" s="23"/>
      <c r="C7315" s="23"/>
      <c r="D7315" s="23"/>
      <c r="E7315" s="23"/>
    </row>
    <row r="7316" spans="1:5" x14ac:dyDescent="0.25">
      <c r="A7316" s="22"/>
      <c r="B7316" s="23"/>
      <c r="C7316" s="23"/>
      <c r="D7316" s="23"/>
      <c r="E7316" s="23"/>
    </row>
    <row r="7317" spans="1:5" x14ac:dyDescent="0.25">
      <c r="A7317" s="22"/>
      <c r="B7317" s="23"/>
      <c r="C7317" s="23"/>
      <c r="D7317" s="23"/>
      <c r="E7317" s="23"/>
    </row>
    <row r="7318" spans="1:5" x14ac:dyDescent="0.25">
      <c r="A7318" s="22"/>
      <c r="B7318" s="23"/>
      <c r="C7318" s="23"/>
      <c r="D7318" s="23"/>
      <c r="E7318" s="23"/>
    </row>
    <row r="7319" spans="1:5" x14ac:dyDescent="0.25">
      <c r="A7319" s="22"/>
      <c r="B7319" s="23"/>
      <c r="C7319" s="23"/>
      <c r="D7319" s="23"/>
      <c r="E7319" s="23"/>
    </row>
    <row r="7320" spans="1:5" x14ac:dyDescent="0.25">
      <c r="A7320" s="22"/>
      <c r="B7320" s="23"/>
      <c r="C7320" s="23"/>
      <c r="D7320" s="23"/>
      <c r="E7320" s="23"/>
    </row>
    <row r="7321" spans="1:5" x14ac:dyDescent="0.25">
      <c r="A7321" s="22"/>
      <c r="B7321" s="23"/>
      <c r="C7321" s="23"/>
      <c r="D7321" s="23"/>
      <c r="E7321" s="23"/>
    </row>
    <row r="7322" spans="1:5" x14ac:dyDescent="0.25">
      <c r="A7322" s="22"/>
      <c r="B7322" s="23"/>
      <c r="C7322" s="23"/>
      <c r="D7322" s="23"/>
      <c r="E7322" s="23"/>
    </row>
    <row r="7323" spans="1:5" x14ac:dyDescent="0.25">
      <c r="A7323" s="22"/>
      <c r="B7323" s="23"/>
      <c r="C7323" s="23"/>
      <c r="D7323" s="23"/>
      <c r="E7323" s="23"/>
    </row>
    <row r="7324" spans="1:5" x14ac:dyDescent="0.25">
      <c r="A7324" s="22"/>
      <c r="B7324" s="23"/>
      <c r="C7324" s="23"/>
      <c r="D7324" s="23"/>
      <c r="E7324" s="23"/>
    </row>
    <row r="7325" spans="1:5" x14ac:dyDescent="0.25">
      <c r="A7325" s="22"/>
      <c r="B7325" s="23"/>
      <c r="C7325" s="23"/>
      <c r="D7325" s="23"/>
      <c r="E7325" s="23"/>
    </row>
    <row r="7326" spans="1:5" x14ac:dyDescent="0.25">
      <c r="A7326" s="22"/>
      <c r="B7326" s="23"/>
      <c r="C7326" s="23"/>
      <c r="D7326" s="23"/>
      <c r="E7326" s="23"/>
    </row>
    <row r="7327" spans="1:5" x14ac:dyDescent="0.25">
      <c r="A7327" s="22"/>
      <c r="B7327" s="23"/>
      <c r="C7327" s="23"/>
      <c r="D7327" s="23"/>
      <c r="E7327" s="23"/>
    </row>
    <row r="7328" spans="1:5" x14ac:dyDescent="0.25">
      <c r="A7328" s="22"/>
      <c r="B7328" s="23"/>
      <c r="C7328" s="23"/>
      <c r="D7328" s="23"/>
      <c r="E7328" s="23"/>
    </row>
    <row r="7329" spans="1:5" x14ac:dyDescent="0.25">
      <c r="A7329" s="22"/>
      <c r="B7329" s="23"/>
      <c r="C7329" s="23"/>
      <c r="D7329" s="23"/>
      <c r="E7329" s="23"/>
    </row>
    <row r="7330" spans="1:5" x14ac:dyDescent="0.25">
      <c r="A7330" s="22"/>
      <c r="B7330" s="23"/>
      <c r="C7330" s="23"/>
      <c r="D7330" s="23"/>
      <c r="E7330" s="23"/>
    </row>
    <row r="7331" spans="1:5" x14ac:dyDescent="0.25">
      <c r="A7331" s="22"/>
      <c r="B7331" s="23"/>
      <c r="C7331" s="23"/>
      <c r="D7331" s="23"/>
      <c r="E7331" s="23"/>
    </row>
    <row r="7332" spans="1:5" x14ac:dyDescent="0.25">
      <c r="A7332" s="22"/>
      <c r="B7332" s="23"/>
      <c r="C7332" s="23"/>
      <c r="D7332" s="23"/>
      <c r="E7332" s="23"/>
    </row>
    <row r="7333" spans="1:5" x14ac:dyDescent="0.25">
      <c r="A7333" s="22"/>
      <c r="B7333" s="23"/>
      <c r="C7333" s="23"/>
      <c r="D7333" s="23"/>
      <c r="E7333" s="23"/>
    </row>
    <row r="7334" spans="1:5" x14ac:dyDescent="0.25">
      <c r="A7334" s="22"/>
      <c r="B7334" s="23"/>
      <c r="C7334" s="23"/>
      <c r="D7334" s="23"/>
      <c r="E7334" s="23"/>
    </row>
    <row r="7335" spans="1:5" x14ac:dyDescent="0.25">
      <c r="A7335" s="22"/>
      <c r="B7335" s="23"/>
      <c r="C7335" s="23"/>
      <c r="D7335" s="23"/>
      <c r="E7335" s="23"/>
    </row>
    <row r="7336" spans="1:5" x14ac:dyDescent="0.25">
      <c r="A7336" s="22"/>
      <c r="B7336" s="23"/>
      <c r="C7336" s="23"/>
      <c r="D7336" s="23"/>
      <c r="E7336" s="23"/>
    </row>
    <row r="7337" spans="1:5" x14ac:dyDescent="0.25">
      <c r="A7337" s="22"/>
      <c r="B7337" s="23"/>
      <c r="C7337" s="23"/>
      <c r="D7337" s="23"/>
      <c r="E7337" s="23"/>
    </row>
    <row r="7338" spans="1:5" x14ac:dyDescent="0.25">
      <c r="A7338" s="22"/>
      <c r="B7338" s="23"/>
      <c r="C7338" s="23"/>
      <c r="D7338" s="23"/>
      <c r="E7338" s="23"/>
    </row>
    <row r="7339" spans="1:5" x14ac:dyDescent="0.25">
      <c r="A7339" s="22"/>
      <c r="B7339" s="23"/>
      <c r="C7339" s="23"/>
      <c r="D7339" s="23"/>
      <c r="E7339" s="23"/>
    </row>
    <row r="7340" spans="1:5" x14ac:dyDescent="0.25">
      <c r="A7340" s="22"/>
      <c r="B7340" s="23"/>
      <c r="C7340" s="23"/>
      <c r="D7340" s="23"/>
      <c r="E7340" s="23"/>
    </row>
    <row r="7341" spans="1:5" x14ac:dyDescent="0.25">
      <c r="A7341" s="22"/>
      <c r="B7341" s="23"/>
      <c r="C7341" s="23"/>
      <c r="D7341" s="23"/>
      <c r="E7341" s="23"/>
    </row>
    <row r="7342" spans="1:5" x14ac:dyDescent="0.25">
      <c r="A7342" s="22"/>
      <c r="B7342" s="23"/>
      <c r="C7342" s="23"/>
      <c r="D7342" s="23"/>
      <c r="E7342" s="23"/>
    </row>
    <row r="7343" spans="1:5" x14ac:dyDescent="0.25">
      <c r="A7343" s="22"/>
      <c r="B7343" s="23"/>
      <c r="C7343" s="23"/>
      <c r="D7343" s="23"/>
      <c r="E7343" s="23"/>
    </row>
    <row r="7344" spans="1:5" x14ac:dyDescent="0.25">
      <c r="A7344" s="22"/>
      <c r="B7344" s="23"/>
      <c r="C7344" s="23"/>
      <c r="D7344" s="23"/>
      <c r="E7344" s="23"/>
    </row>
    <row r="7345" spans="1:5" x14ac:dyDescent="0.25">
      <c r="A7345" s="22"/>
      <c r="B7345" s="23"/>
      <c r="C7345" s="23"/>
      <c r="D7345" s="23"/>
      <c r="E7345" s="23"/>
    </row>
    <row r="7346" spans="1:5" x14ac:dyDescent="0.25">
      <c r="A7346" s="22"/>
      <c r="B7346" s="23"/>
      <c r="C7346" s="23"/>
      <c r="D7346" s="23"/>
      <c r="E7346" s="23"/>
    </row>
    <row r="7347" spans="1:5" x14ac:dyDescent="0.25">
      <c r="A7347" s="22"/>
      <c r="B7347" s="23"/>
      <c r="C7347" s="23"/>
      <c r="D7347" s="23"/>
      <c r="E7347" s="23"/>
    </row>
    <row r="7348" spans="1:5" x14ac:dyDescent="0.25">
      <c r="A7348" s="22"/>
      <c r="B7348" s="23"/>
      <c r="C7348" s="23"/>
      <c r="D7348" s="23"/>
      <c r="E7348" s="23"/>
    </row>
    <row r="7349" spans="1:5" x14ac:dyDescent="0.25">
      <c r="A7349" s="22"/>
      <c r="B7349" s="23"/>
      <c r="C7349" s="23"/>
      <c r="D7349" s="23"/>
      <c r="E7349" s="23"/>
    </row>
    <row r="7350" spans="1:5" x14ac:dyDescent="0.25">
      <c r="A7350" s="22"/>
      <c r="B7350" s="23"/>
      <c r="C7350" s="23"/>
      <c r="D7350" s="23"/>
      <c r="E7350" s="23"/>
    </row>
    <row r="7351" spans="1:5" x14ac:dyDescent="0.25">
      <c r="A7351" s="22"/>
      <c r="B7351" s="23"/>
      <c r="C7351" s="23"/>
      <c r="D7351" s="23"/>
      <c r="E7351" s="23"/>
    </row>
    <row r="7352" spans="1:5" x14ac:dyDescent="0.25">
      <c r="A7352" s="22"/>
      <c r="B7352" s="23"/>
      <c r="C7352" s="23"/>
      <c r="D7352" s="23"/>
      <c r="E7352" s="23"/>
    </row>
    <row r="7353" spans="1:5" x14ac:dyDescent="0.25">
      <c r="A7353" s="22"/>
      <c r="B7353" s="23"/>
      <c r="C7353" s="23"/>
      <c r="D7353" s="23"/>
      <c r="E7353" s="23"/>
    </row>
    <row r="7354" spans="1:5" x14ac:dyDescent="0.25">
      <c r="A7354" s="22"/>
      <c r="B7354" s="23"/>
      <c r="C7354" s="23"/>
      <c r="D7354" s="23"/>
      <c r="E7354" s="23"/>
    </row>
    <row r="7355" spans="1:5" x14ac:dyDescent="0.25">
      <c r="A7355" s="22"/>
      <c r="B7355" s="23"/>
      <c r="C7355" s="23"/>
      <c r="D7355" s="23"/>
      <c r="E7355" s="23"/>
    </row>
    <row r="7356" spans="1:5" x14ac:dyDescent="0.25">
      <c r="A7356" s="22"/>
      <c r="B7356" s="23"/>
      <c r="C7356" s="23"/>
      <c r="D7356" s="23"/>
      <c r="E7356" s="23"/>
    </row>
    <row r="7357" spans="1:5" x14ac:dyDescent="0.25">
      <c r="A7357" s="22"/>
      <c r="B7357" s="23"/>
      <c r="C7357" s="23"/>
      <c r="D7357" s="23"/>
      <c r="E7357" s="23"/>
    </row>
    <row r="7358" spans="1:5" x14ac:dyDescent="0.25">
      <c r="A7358" s="22"/>
      <c r="B7358" s="23"/>
      <c r="C7358" s="23"/>
      <c r="D7358" s="23"/>
      <c r="E7358" s="23"/>
    </row>
    <row r="7359" spans="1:5" x14ac:dyDescent="0.25">
      <c r="A7359" s="22"/>
      <c r="B7359" s="23"/>
      <c r="C7359" s="23"/>
      <c r="D7359" s="23"/>
      <c r="E7359" s="23"/>
    </row>
    <row r="7360" spans="1:5" x14ac:dyDescent="0.25">
      <c r="A7360" s="22"/>
      <c r="B7360" s="23"/>
      <c r="C7360" s="23"/>
      <c r="D7360" s="23"/>
      <c r="E7360" s="23"/>
    </row>
    <row r="7361" spans="1:5" x14ac:dyDescent="0.25">
      <c r="A7361" s="22"/>
      <c r="B7361" s="23"/>
      <c r="C7361" s="23"/>
      <c r="D7361" s="23"/>
      <c r="E7361" s="23"/>
    </row>
    <row r="7362" spans="1:5" x14ac:dyDescent="0.25">
      <c r="A7362" s="22"/>
      <c r="B7362" s="23"/>
      <c r="C7362" s="23"/>
      <c r="D7362" s="23"/>
      <c r="E7362" s="23"/>
    </row>
    <row r="7363" spans="1:5" x14ac:dyDescent="0.25">
      <c r="A7363" s="22"/>
      <c r="B7363" s="23"/>
      <c r="C7363" s="23"/>
      <c r="D7363" s="23"/>
      <c r="E7363" s="23"/>
    </row>
    <row r="7364" spans="1:5" x14ac:dyDescent="0.25">
      <c r="A7364" s="22"/>
      <c r="B7364" s="23"/>
      <c r="C7364" s="23"/>
      <c r="D7364" s="23"/>
      <c r="E7364" s="23"/>
    </row>
    <row r="7365" spans="1:5" x14ac:dyDescent="0.25">
      <c r="A7365" s="22"/>
      <c r="B7365" s="23"/>
      <c r="C7365" s="23"/>
      <c r="D7365" s="23"/>
      <c r="E7365" s="23"/>
    </row>
    <row r="7366" spans="1:5" x14ac:dyDescent="0.25">
      <c r="A7366" s="22"/>
      <c r="B7366" s="23"/>
      <c r="C7366" s="23"/>
      <c r="D7366" s="23"/>
      <c r="E7366" s="23"/>
    </row>
    <row r="7367" spans="1:5" x14ac:dyDescent="0.25">
      <c r="A7367" s="22"/>
      <c r="B7367" s="23"/>
      <c r="C7367" s="23"/>
      <c r="D7367" s="23"/>
      <c r="E7367" s="23"/>
    </row>
    <row r="7368" spans="1:5" x14ac:dyDescent="0.25">
      <c r="A7368" s="22"/>
      <c r="B7368" s="23"/>
      <c r="C7368" s="23"/>
      <c r="D7368" s="23"/>
      <c r="E7368" s="23"/>
    </row>
    <row r="7369" spans="1:5" x14ac:dyDescent="0.25">
      <c r="A7369" s="22"/>
      <c r="B7369" s="23"/>
      <c r="C7369" s="23"/>
      <c r="D7369" s="23"/>
      <c r="E7369" s="23"/>
    </row>
    <row r="7370" spans="1:5" x14ac:dyDescent="0.25">
      <c r="A7370" s="22"/>
      <c r="B7370" s="23"/>
      <c r="C7370" s="23"/>
      <c r="D7370" s="23"/>
      <c r="E7370" s="23"/>
    </row>
    <row r="7371" spans="1:5" x14ac:dyDescent="0.25">
      <c r="A7371" s="22"/>
      <c r="B7371" s="23"/>
      <c r="C7371" s="23"/>
      <c r="D7371" s="23"/>
      <c r="E7371" s="23"/>
    </row>
    <row r="7372" spans="1:5" x14ac:dyDescent="0.25">
      <c r="A7372" s="22"/>
      <c r="B7372" s="23"/>
      <c r="C7372" s="23"/>
      <c r="D7372" s="23"/>
      <c r="E7372" s="23"/>
    </row>
    <row r="7373" spans="1:5" x14ac:dyDescent="0.25">
      <c r="A7373" s="22"/>
      <c r="B7373" s="23"/>
      <c r="C7373" s="23"/>
      <c r="D7373" s="23"/>
      <c r="E7373" s="23"/>
    </row>
    <row r="7374" spans="1:5" x14ac:dyDescent="0.25">
      <c r="A7374" s="22"/>
      <c r="B7374" s="23"/>
      <c r="C7374" s="23"/>
      <c r="D7374" s="23"/>
      <c r="E7374" s="23"/>
    </row>
    <row r="7375" spans="1:5" x14ac:dyDescent="0.25">
      <c r="A7375" s="22"/>
      <c r="B7375" s="23"/>
      <c r="C7375" s="23"/>
      <c r="D7375" s="23"/>
      <c r="E7375" s="23"/>
    </row>
    <row r="7376" spans="1:5" x14ac:dyDescent="0.25">
      <c r="A7376" s="22"/>
      <c r="B7376" s="23"/>
      <c r="C7376" s="23"/>
      <c r="D7376" s="23"/>
      <c r="E7376" s="23"/>
    </row>
    <row r="7377" spans="1:5" x14ac:dyDescent="0.25">
      <c r="A7377" s="22"/>
      <c r="B7377" s="23"/>
      <c r="C7377" s="23"/>
      <c r="D7377" s="23"/>
      <c r="E7377" s="23"/>
    </row>
    <row r="7378" spans="1:5" x14ac:dyDescent="0.25">
      <c r="A7378" s="22"/>
      <c r="B7378" s="23"/>
      <c r="C7378" s="23"/>
      <c r="D7378" s="23"/>
      <c r="E7378" s="23"/>
    </row>
    <row r="7379" spans="1:5" x14ac:dyDescent="0.25">
      <c r="A7379" s="22"/>
      <c r="B7379" s="23"/>
      <c r="C7379" s="23"/>
      <c r="D7379" s="23"/>
      <c r="E7379" s="23"/>
    </row>
    <row r="7380" spans="1:5" x14ac:dyDescent="0.25">
      <c r="A7380" s="22"/>
      <c r="B7380" s="23"/>
      <c r="C7380" s="23"/>
      <c r="D7380" s="23"/>
      <c r="E7380" s="23"/>
    </row>
    <row r="7381" spans="1:5" x14ac:dyDescent="0.25">
      <c r="A7381" s="22"/>
      <c r="B7381" s="23"/>
      <c r="C7381" s="23"/>
      <c r="D7381" s="23"/>
      <c r="E7381" s="23"/>
    </row>
    <row r="7382" spans="1:5" x14ac:dyDescent="0.25">
      <c r="A7382" s="22"/>
      <c r="B7382" s="23"/>
      <c r="C7382" s="23"/>
      <c r="D7382" s="23"/>
      <c r="E7382" s="23"/>
    </row>
    <row r="7383" spans="1:5" x14ac:dyDescent="0.25">
      <c r="A7383" s="22"/>
      <c r="B7383" s="23"/>
      <c r="C7383" s="23"/>
      <c r="D7383" s="23"/>
      <c r="E7383" s="23"/>
    </row>
    <row r="7384" spans="1:5" x14ac:dyDescent="0.25">
      <c r="A7384" s="22"/>
      <c r="B7384" s="23"/>
      <c r="C7384" s="23"/>
      <c r="D7384" s="23"/>
      <c r="E7384" s="23"/>
    </row>
    <row r="7385" spans="1:5" x14ac:dyDescent="0.25">
      <c r="A7385" s="22"/>
      <c r="B7385" s="23"/>
      <c r="C7385" s="23"/>
      <c r="D7385" s="23"/>
      <c r="E7385" s="23"/>
    </row>
    <row r="7386" spans="1:5" x14ac:dyDescent="0.25">
      <c r="A7386" s="22"/>
      <c r="B7386" s="23"/>
      <c r="C7386" s="23"/>
      <c r="D7386" s="23"/>
      <c r="E7386" s="23"/>
    </row>
    <row r="7387" spans="1:5" x14ac:dyDescent="0.25">
      <c r="A7387" s="22"/>
      <c r="B7387" s="23"/>
      <c r="C7387" s="23"/>
      <c r="D7387" s="23"/>
      <c r="E7387" s="23"/>
    </row>
    <row r="7388" spans="1:5" x14ac:dyDescent="0.25">
      <c r="A7388" s="22"/>
      <c r="B7388" s="23"/>
      <c r="C7388" s="23"/>
      <c r="D7388" s="23"/>
      <c r="E7388" s="23"/>
    </row>
    <row r="7389" spans="1:5" x14ac:dyDescent="0.25">
      <c r="A7389" s="22"/>
      <c r="B7389" s="23"/>
      <c r="C7389" s="23"/>
      <c r="D7389" s="23"/>
      <c r="E7389" s="23"/>
    </row>
    <row r="7390" spans="1:5" x14ac:dyDescent="0.25">
      <c r="A7390" s="22"/>
      <c r="B7390" s="23"/>
      <c r="C7390" s="23"/>
      <c r="D7390" s="23"/>
      <c r="E7390" s="23"/>
    </row>
    <row r="7391" spans="1:5" x14ac:dyDescent="0.25">
      <c r="A7391" s="22"/>
      <c r="B7391" s="23"/>
      <c r="C7391" s="23"/>
      <c r="D7391" s="23"/>
      <c r="E7391" s="23"/>
    </row>
    <row r="7392" spans="1:5" x14ac:dyDescent="0.25">
      <c r="A7392" s="22"/>
      <c r="B7392" s="23"/>
      <c r="C7392" s="23"/>
      <c r="D7392" s="23"/>
      <c r="E7392" s="23"/>
    </row>
    <row r="7393" spans="1:5" x14ac:dyDescent="0.25">
      <c r="A7393" s="22"/>
      <c r="B7393" s="23"/>
      <c r="C7393" s="23"/>
      <c r="D7393" s="23"/>
      <c r="E7393" s="23"/>
    </row>
    <row r="7394" spans="1:5" x14ac:dyDescent="0.25">
      <c r="A7394" s="22"/>
      <c r="B7394" s="23"/>
      <c r="C7394" s="23"/>
      <c r="D7394" s="23"/>
      <c r="E7394" s="23"/>
    </row>
    <row r="7395" spans="1:5" x14ac:dyDescent="0.25">
      <c r="A7395" s="22"/>
      <c r="B7395" s="23"/>
      <c r="C7395" s="23"/>
      <c r="D7395" s="23"/>
      <c r="E7395" s="23"/>
    </row>
    <row r="7396" spans="1:5" x14ac:dyDescent="0.25">
      <c r="A7396" s="22"/>
      <c r="B7396" s="23"/>
      <c r="C7396" s="23"/>
      <c r="D7396" s="23"/>
      <c r="E7396" s="23"/>
    </row>
    <row r="7397" spans="1:5" x14ac:dyDescent="0.25">
      <c r="A7397" s="22"/>
      <c r="B7397" s="23"/>
      <c r="C7397" s="23"/>
      <c r="D7397" s="23"/>
      <c r="E7397" s="23"/>
    </row>
    <row r="7398" spans="1:5" x14ac:dyDescent="0.25">
      <c r="A7398" s="22"/>
      <c r="B7398" s="23"/>
      <c r="C7398" s="23"/>
      <c r="D7398" s="23"/>
      <c r="E7398" s="23"/>
    </row>
    <row r="7399" spans="1:5" x14ac:dyDescent="0.25">
      <c r="A7399" s="22"/>
      <c r="B7399" s="23"/>
      <c r="C7399" s="23"/>
      <c r="D7399" s="23"/>
      <c r="E7399" s="23"/>
    </row>
    <row r="7400" spans="1:5" x14ac:dyDescent="0.25">
      <c r="A7400" s="22"/>
      <c r="B7400" s="23"/>
      <c r="C7400" s="23"/>
      <c r="D7400" s="23"/>
      <c r="E7400" s="23"/>
    </row>
    <row r="7401" spans="1:5" x14ac:dyDescent="0.25">
      <c r="A7401" s="22"/>
      <c r="B7401" s="23"/>
      <c r="C7401" s="23"/>
      <c r="D7401" s="23"/>
      <c r="E7401" s="23"/>
    </row>
    <row r="7402" spans="1:5" x14ac:dyDescent="0.25">
      <c r="A7402" s="22"/>
      <c r="B7402" s="23"/>
      <c r="C7402" s="23"/>
      <c r="D7402" s="23"/>
      <c r="E7402" s="23"/>
    </row>
    <row r="7403" spans="1:5" x14ac:dyDescent="0.25">
      <c r="A7403" s="22"/>
      <c r="B7403" s="23"/>
      <c r="C7403" s="23"/>
      <c r="D7403" s="23"/>
      <c r="E7403" s="23"/>
    </row>
    <row r="7404" spans="1:5" x14ac:dyDescent="0.25">
      <c r="A7404" s="22"/>
      <c r="B7404" s="23"/>
      <c r="C7404" s="23"/>
      <c r="D7404" s="23"/>
      <c r="E7404" s="23"/>
    </row>
    <row r="7405" spans="1:5" x14ac:dyDescent="0.25">
      <c r="A7405" s="22"/>
      <c r="B7405" s="23"/>
      <c r="C7405" s="23"/>
      <c r="D7405" s="23"/>
      <c r="E7405" s="23"/>
    </row>
    <row r="7406" spans="1:5" x14ac:dyDescent="0.25">
      <c r="A7406" s="22"/>
      <c r="B7406" s="23"/>
      <c r="C7406" s="23"/>
      <c r="D7406" s="23"/>
      <c r="E7406" s="23"/>
    </row>
    <row r="7407" spans="1:5" x14ac:dyDescent="0.25">
      <c r="A7407" s="22"/>
      <c r="B7407" s="23"/>
      <c r="C7407" s="23"/>
      <c r="D7407" s="23"/>
      <c r="E7407" s="23"/>
    </row>
    <row r="7408" spans="1:5" x14ac:dyDescent="0.25">
      <c r="A7408" s="22"/>
      <c r="B7408" s="23"/>
      <c r="C7408" s="23"/>
      <c r="D7408" s="23"/>
      <c r="E7408" s="23"/>
    </row>
    <row r="7409" spans="1:5" x14ac:dyDescent="0.25">
      <c r="A7409" s="22"/>
      <c r="B7409" s="23"/>
      <c r="C7409" s="23"/>
      <c r="D7409" s="23"/>
      <c r="E7409" s="23"/>
    </row>
    <row r="7410" spans="1:5" x14ac:dyDescent="0.25">
      <c r="A7410" s="22"/>
      <c r="B7410" s="23"/>
      <c r="C7410" s="23"/>
      <c r="D7410" s="23"/>
      <c r="E7410" s="23"/>
    </row>
    <row r="7411" spans="1:5" x14ac:dyDescent="0.25">
      <c r="A7411" s="22"/>
      <c r="B7411" s="23"/>
      <c r="C7411" s="23"/>
      <c r="D7411" s="23"/>
      <c r="E7411" s="23"/>
    </row>
    <row r="7412" spans="1:5" x14ac:dyDescent="0.25">
      <c r="A7412" s="22"/>
      <c r="B7412" s="23"/>
      <c r="C7412" s="23"/>
      <c r="D7412" s="23"/>
      <c r="E7412" s="23"/>
    </row>
    <row r="7413" spans="1:5" x14ac:dyDescent="0.25">
      <c r="A7413" s="22"/>
      <c r="B7413" s="23"/>
      <c r="C7413" s="23"/>
      <c r="D7413" s="23"/>
      <c r="E7413" s="23"/>
    </row>
    <row r="7414" spans="1:5" x14ac:dyDescent="0.25">
      <c r="A7414" s="22"/>
      <c r="B7414" s="23"/>
      <c r="C7414" s="23"/>
      <c r="D7414" s="23"/>
      <c r="E7414" s="23"/>
    </row>
    <row r="7415" spans="1:5" x14ac:dyDescent="0.25">
      <c r="A7415" s="22"/>
      <c r="B7415" s="23"/>
      <c r="C7415" s="23"/>
      <c r="D7415" s="23"/>
      <c r="E7415" s="23"/>
    </row>
    <row r="7416" spans="1:5" x14ac:dyDescent="0.25">
      <c r="A7416" s="22"/>
      <c r="B7416" s="23"/>
      <c r="C7416" s="23"/>
      <c r="D7416" s="23"/>
      <c r="E7416" s="23"/>
    </row>
    <row r="7417" spans="1:5" x14ac:dyDescent="0.25">
      <c r="A7417" s="22"/>
      <c r="B7417" s="23"/>
      <c r="C7417" s="23"/>
      <c r="D7417" s="23"/>
      <c r="E7417" s="23"/>
    </row>
    <row r="7418" spans="1:5" x14ac:dyDescent="0.25">
      <c r="A7418" s="22"/>
      <c r="B7418" s="23"/>
      <c r="C7418" s="23"/>
      <c r="D7418" s="23"/>
      <c r="E7418" s="23"/>
    </row>
    <row r="7419" spans="1:5" x14ac:dyDescent="0.25">
      <c r="A7419" s="22"/>
      <c r="B7419" s="23"/>
      <c r="C7419" s="23"/>
      <c r="D7419" s="23"/>
      <c r="E7419" s="23"/>
    </row>
    <row r="7420" spans="1:5" x14ac:dyDescent="0.25">
      <c r="A7420" s="22"/>
      <c r="B7420" s="23"/>
      <c r="C7420" s="23"/>
      <c r="D7420" s="23"/>
      <c r="E7420" s="23"/>
    </row>
    <row r="7421" spans="1:5" x14ac:dyDescent="0.25">
      <c r="A7421" s="22"/>
      <c r="B7421" s="23"/>
      <c r="C7421" s="23"/>
      <c r="D7421" s="23"/>
      <c r="E7421" s="23"/>
    </row>
    <row r="7422" spans="1:5" x14ac:dyDescent="0.25">
      <c r="A7422" s="22"/>
      <c r="B7422" s="23"/>
      <c r="C7422" s="23"/>
      <c r="D7422" s="23"/>
      <c r="E7422" s="23"/>
    </row>
    <row r="7423" spans="1:5" x14ac:dyDescent="0.25">
      <c r="A7423" s="22"/>
      <c r="B7423" s="23"/>
      <c r="C7423" s="23"/>
      <c r="D7423" s="23"/>
      <c r="E7423" s="23"/>
    </row>
    <row r="7424" spans="1:5" x14ac:dyDescent="0.25">
      <c r="A7424" s="22"/>
      <c r="B7424" s="23"/>
      <c r="C7424" s="23"/>
      <c r="D7424" s="23"/>
      <c r="E7424" s="23"/>
    </row>
    <row r="7425" spans="1:5" x14ac:dyDescent="0.25">
      <c r="A7425" s="22"/>
      <c r="B7425" s="23"/>
      <c r="C7425" s="23"/>
      <c r="D7425" s="23"/>
      <c r="E7425" s="23"/>
    </row>
    <row r="7426" spans="1:5" x14ac:dyDescent="0.25">
      <c r="A7426" s="22"/>
      <c r="B7426" s="23"/>
      <c r="C7426" s="23"/>
      <c r="D7426" s="23"/>
      <c r="E7426" s="23"/>
    </row>
    <row r="7427" spans="1:5" x14ac:dyDescent="0.25">
      <c r="A7427" s="22"/>
      <c r="B7427" s="23"/>
      <c r="C7427" s="23"/>
      <c r="D7427" s="23"/>
      <c r="E7427" s="23"/>
    </row>
    <row r="7428" spans="1:5" x14ac:dyDescent="0.25">
      <c r="A7428" s="22"/>
      <c r="B7428" s="23"/>
      <c r="C7428" s="23"/>
      <c r="D7428" s="23"/>
      <c r="E7428" s="23"/>
    </row>
    <row r="7429" spans="1:5" x14ac:dyDescent="0.25">
      <c r="A7429" s="22"/>
      <c r="B7429" s="23"/>
      <c r="C7429" s="23"/>
      <c r="D7429" s="23"/>
      <c r="E7429" s="23"/>
    </row>
    <row r="7430" spans="1:5" x14ac:dyDescent="0.25">
      <c r="A7430" s="22"/>
      <c r="B7430" s="23"/>
      <c r="C7430" s="23"/>
      <c r="D7430" s="23"/>
      <c r="E7430" s="23"/>
    </row>
    <row r="7431" spans="1:5" x14ac:dyDescent="0.25">
      <c r="A7431" s="22"/>
      <c r="B7431" s="23"/>
      <c r="C7431" s="23"/>
      <c r="D7431" s="23"/>
      <c r="E7431" s="23"/>
    </row>
    <row r="7432" spans="1:5" x14ac:dyDescent="0.25">
      <c r="A7432" s="22"/>
      <c r="B7432" s="23"/>
      <c r="C7432" s="23"/>
      <c r="D7432" s="23"/>
      <c r="E7432" s="23"/>
    </row>
    <row r="7433" spans="1:5" x14ac:dyDescent="0.25">
      <c r="A7433" s="22"/>
      <c r="B7433" s="23"/>
      <c r="C7433" s="23"/>
      <c r="D7433" s="23"/>
      <c r="E7433" s="23"/>
    </row>
    <row r="7434" spans="1:5" x14ac:dyDescent="0.25">
      <c r="A7434" s="22"/>
      <c r="B7434" s="23"/>
      <c r="C7434" s="23"/>
      <c r="D7434" s="23"/>
      <c r="E7434" s="23"/>
    </row>
    <row r="7435" spans="1:5" x14ac:dyDescent="0.25">
      <c r="A7435" s="22"/>
      <c r="B7435" s="23"/>
      <c r="C7435" s="23"/>
      <c r="D7435" s="23"/>
      <c r="E7435" s="23"/>
    </row>
    <row r="7436" spans="1:5" x14ac:dyDescent="0.25">
      <c r="A7436" s="22"/>
      <c r="B7436" s="23"/>
      <c r="C7436" s="23"/>
      <c r="D7436" s="23"/>
      <c r="E7436" s="23"/>
    </row>
    <row r="7437" spans="1:5" x14ac:dyDescent="0.25">
      <c r="A7437" s="22"/>
      <c r="B7437" s="23"/>
      <c r="C7437" s="23"/>
      <c r="D7437" s="23"/>
      <c r="E7437" s="23"/>
    </row>
    <row r="7438" spans="1:5" x14ac:dyDescent="0.25">
      <c r="A7438" s="22"/>
      <c r="B7438" s="23"/>
      <c r="C7438" s="23"/>
      <c r="D7438" s="23"/>
      <c r="E7438" s="23"/>
    </row>
    <row r="7439" spans="1:5" x14ac:dyDescent="0.25">
      <c r="A7439" s="22"/>
      <c r="B7439" s="23"/>
      <c r="C7439" s="23"/>
      <c r="D7439" s="23"/>
      <c r="E7439" s="23"/>
    </row>
    <row r="7440" spans="1:5" x14ac:dyDescent="0.25">
      <c r="A7440" s="22"/>
      <c r="B7440" s="23"/>
      <c r="C7440" s="23"/>
      <c r="D7440" s="23"/>
      <c r="E7440" s="23"/>
    </row>
    <row r="7441" spans="1:5" x14ac:dyDescent="0.25">
      <c r="A7441" s="22"/>
      <c r="B7441" s="23"/>
      <c r="C7441" s="23"/>
      <c r="D7441" s="23"/>
      <c r="E7441" s="23"/>
    </row>
    <row r="7442" spans="1:5" x14ac:dyDescent="0.25">
      <c r="A7442" s="22"/>
      <c r="B7442" s="23"/>
      <c r="C7442" s="23"/>
      <c r="D7442" s="23"/>
      <c r="E7442" s="23"/>
    </row>
    <row r="7443" spans="1:5" x14ac:dyDescent="0.25">
      <c r="A7443" s="22"/>
      <c r="B7443" s="23"/>
      <c r="C7443" s="23"/>
      <c r="D7443" s="23"/>
      <c r="E7443" s="23"/>
    </row>
    <row r="7444" spans="1:5" x14ac:dyDescent="0.25">
      <c r="A7444" s="22"/>
      <c r="B7444" s="23"/>
      <c r="C7444" s="23"/>
      <c r="D7444" s="23"/>
      <c r="E7444" s="23"/>
    </row>
    <row r="7445" spans="1:5" x14ac:dyDescent="0.25">
      <c r="A7445" s="22"/>
      <c r="B7445" s="23"/>
      <c r="C7445" s="23"/>
      <c r="D7445" s="23"/>
      <c r="E7445" s="23"/>
    </row>
    <row r="7446" spans="1:5" x14ac:dyDescent="0.25">
      <c r="A7446" s="22"/>
      <c r="B7446" s="23"/>
      <c r="C7446" s="23"/>
      <c r="D7446" s="23"/>
      <c r="E7446" s="23"/>
    </row>
    <row r="7447" spans="1:5" x14ac:dyDescent="0.25">
      <c r="A7447" s="22"/>
      <c r="B7447" s="23"/>
      <c r="C7447" s="23"/>
      <c r="D7447" s="23"/>
      <c r="E7447" s="23"/>
    </row>
    <row r="7448" spans="1:5" x14ac:dyDescent="0.25">
      <c r="A7448" s="22"/>
      <c r="B7448" s="23"/>
      <c r="C7448" s="23"/>
      <c r="D7448" s="23"/>
      <c r="E7448" s="23"/>
    </row>
    <row r="7449" spans="1:5" x14ac:dyDescent="0.25">
      <c r="A7449" s="22"/>
      <c r="B7449" s="23"/>
      <c r="C7449" s="23"/>
      <c r="D7449" s="23"/>
      <c r="E7449" s="23"/>
    </row>
    <row r="7450" spans="1:5" x14ac:dyDescent="0.25">
      <c r="A7450" s="22"/>
      <c r="B7450" s="23"/>
      <c r="C7450" s="23"/>
      <c r="D7450" s="23"/>
      <c r="E7450" s="23"/>
    </row>
    <row r="7451" spans="1:5" x14ac:dyDescent="0.25">
      <c r="A7451" s="22"/>
      <c r="B7451" s="23"/>
      <c r="C7451" s="23"/>
      <c r="D7451" s="23"/>
      <c r="E7451" s="23"/>
    </row>
    <row r="7452" spans="1:5" x14ac:dyDescent="0.25">
      <c r="A7452" s="22"/>
      <c r="B7452" s="23"/>
      <c r="C7452" s="23"/>
      <c r="D7452" s="23"/>
      <c r="E7452" s="23"/>
    </row>
    <row r="7453" spans="1:5" x14ac:dyDescent="0.25">
      <c r="A7453" s="22"/>
      <c r="B7453" s="23"/>
      <c r="C7453" s="23"/>
      <c r="D7453" s="23"/>
      <c r="E7453" s="23"/>
    </row>
    <row r="7454" spans="1:5" x14ac:dyDescent="0.25">
      <c r="A7454" s="22"/>
      <c r="B7454" s="23"/>
      <c r="C7454" s="23"/>
      <c r="D7454" s="23"/>
      <c r="E7454" s="23"/>
    </row>
    <row r="7455" spans="1:5" x14ac:dyDescent="0.25">
      <c r="A7455" s="22"/>
      <c r="B7455" s="23"/>
      <c r="C7455" s="23"/>
      <c r="D7455" s="23"/>
      <c r="E7455" s="23"/>
    </row>
    <row r="7456" spans="1:5" x14ac:dyDescent="0.25">
      <c r="A7456" s="22"/>
      <c r="B7456" s="23"/>
      <c r="C7456" s="23"/>
      <c r="D7456" s="23"/>
      <c r="E7456" s="23"/>
    </row>
    <row r="7457" spans="1:5" x14ac:dyDescent="0.25">
      <c r="A7457" s="22"/>
      <c r="B7457" s="23"/>
      <c r="C7457" s="23"/>
      <c r="D7457" s="23"/>
      <c r="E7457" s="23"/>
    </row>
    <row r="7458" spans="1:5" x14ac:dyDescent="0.25">
      <c r="A7458" s="22"/>
      <c r="B7458" s="23"/>
      <c r="C7458" s="23"/>
      <c r="D7458" s="23"/>
      <c r="E7458" s="23"/>
    </row>
    <row r="7459" spans="1:5" x14ac:dyDescent="0.25">
      <c r="A7459" s="22"/>
      <c r="B7459" s="23"/>
      <c r="C7459" s="23"/>
      <c r="D7459" s="23"/>
      <c r="E7459" s="23"/>
    </row>
    <row r="7460" spans="1:5" x14ac:dyDescent="0.25">
      <c r="A7460" s="22"/>
      <c r="B7460" s="23"/>
      <c r="C7460" s="23"/>
      <c r="D7460" s="23"/>
      <c r="E7460" s="23"/>
    </row>
    <row r="7461" spans="1:5" x14ac:dyDescent="0.25">
      <c r="A7461" s="22"/>
      <c r="B7461" s="23"/>
      <c r="C7461" s="23"/>
      <c r="D7461" s="23"/>
      <c r="E7461" s="23"/>
    </row>
    <row r="7462" spans="1:5" x14ac:dyDescent="0.25">
      <c r="A7462" s="22"/>
      <c r="B7462" s="23"/>
      <c r="C7462" s="23"/>
      <c r="D7462" s="23"/>
      <c r="E7462" s="23"/>
    </row>
    <row r="7463" spans="1:5" x14ac:dyDescent="0.25">
      <c r="A7463" s="22"/>
      <c r="B7463" s="23"/>
      <c r="C7463" s="23"/>
      <c r="D7463" s="23"/>
      <c r="E7463" s="23"/>
    </row>
    <row r="7464" spans="1:5" x14ac:dyDescent="0.25">
      <c r="A7464" s="22"/>
      <c r="B7464" s="23"/>
      <c r="C7464" s="23"/>
      <c r="D7464" s="23"/>
      <c r="E7464" s="23"/>
    </row>
    <row r="7465" spans="1:5" x14ac:dyDescent="0.25">
      <c r="A7465" s="22"/>
      <c r="B7465" s="23"/>
      <c r="C7465" s="23"/>
      <c r="D7465" s="23"/>
      <c r="E7465" s="23"/>
    </row>
    <row r="7466" spans="1:5" x14ac:dyDescent="0.25">
      <c r="A7466" s="22"/>
      <c r="B7466" s="23"/>
      <c r="C7466" s="23"/>
      <c r="D7466" s="23"/>
      <c r="E7466" s="23"/>
    </row>
    <row r="7467" spans="1:5" x14ac:dyDescent="0.25">
      <c r="A7467" s="22"/>
      <c r="B7467" s="23"/>
      <c r="C7467" s="23"/>
      <c r="D7467" s="23"/>
      <c r="E7467" s="23"/>
    </row>
    <row r="7468" spans="1:5" x14ac:dyDescent="0.25">
      <c r="A7468" s="22"/>
      <c r="B7468" s="23"/>
      <c r="C7468" s="23"/>
      <c r="D7468" s="23"/>
      <c r="E7468" s="23"/>
    </row>
    <row r="7469" spans="1:5" x14ac:dyDescent="0.25">
      <c r="A7469" s="22"/>
      <c r="B7469" s="23"/>
      <c r="C7469" s="23"/>
      <c r="D7469" s="23"/>
      <c r="E7469" s="23"/>
    </row>
    <row r="7470" spans="1:5" x14ac:dyDescent="0.25">
      <c r="A7470" s="22"/>
      <c r="B7470" s="23"/>
      <c r="C7470" s="23"/>
      <c r="D7470" s="23"/>
      <c r="E7470" s="23"/>
    </row>
    <row r="7471" spans="1:5" x14ac:dyDescent="0.25">
      <c r="A7471" s="22"/>
      <c r="B7471" s="23"/>
      <c r="C7471" s="23"/>
      <c r="D7471" s="23"/>
      <c r="E7471" s="23"/>
    </row>
    <row r="7472" spans="1:5" x14ac:dyDescent="0.25">
      <c r="A7472" s="22"/>
      <c r="B7472" s="23"/>
      <c r="C7472" s="23"/>
      <c r="D7472" s="23"/>
      <c r="E7472" s="23"/>
    </row>
    <row r="7473" spans="1:5" x14ac:dyDescent="0.25">
      <c r="A7473" s="22"/>
      <c r="B7473" s="23"/>
      <c r="C7473" s="23"/>
      <c r="D7473" s="23"/>
      <c r="E7473" s="23"/>
    </row>
    <row r="7474" spans="1:5" x14ac:dyDescent="0.25">
      <c r="A7474" s="22"/>
      <c r="B7474" s="23"/>
      <c r="C7474" s="23"/>
      <c r="D7474" s="23"/>
      <c r="E7474" s="23"/>
    </row>
    <row r="7475" spans="1:5" x14ac:dyDescent="0.25">
      <c r="A7475" s="22"/>
      <c r="B7475" s="23"/>
      <c r="C7475" s="23"/>
      <c r="D7475" s="23"/>
      <c r="E7475" s="23"/>
    </row>
    <row r="7476" spans="1:5" x14ac:dyDescent="0.25">
      <c r="A7476" s="22"/>
      <c r="B7476" s="23"/>
      <c r="C7476" s="23"/>
      <c r="D7476" s="23"/>
      <c r="E7476" s="23"/>
    </row>
    <row r="7477" spans="1:5" x14ac:dyDescent="0.25">
      <c r="A7477" s="22"/>
      <c r="B7477" s="23"/>
      <c r="C7477" s="23"/>
      <c r="D7477" s="23"/>
      <c r="E7477" s="23"/>
    </row>
    <row r="7478" spans="1:5" x14ac:dyDescent="0.25">
      <c r="A7478" s="22"/>
      <c r="B7478" s="23"/>
      <c r="C7478" s="23"/>
      <c r="D7478" s="23"/>
      <c r="E7478" s="23"/>
    </row>
    <row r="7479" spans="1:5" x14ac:dyDescent="0.25">
      <c r="A7479" s="22"/>
      <c r="B7479" s="23"/>
      <c r="C7479" s="23"/>
      <c r="D7479" s="23"/>
      <c r="E7479" s="23"/>
    </row>
    <row r="7480" spans="1:5" x14ac:dyDescent="0.25">
      <c r="A7480" s="22"/>
      <c r="B7480" s="23"/>
      <c r="C7480" s="23"/>
      <c r="D7480" s="23"/>
      <c r="E7480" s="23"/>
    </row>
    <row r="7481" spans="1:5" x14ac:dyDescent="0.25">
      <c r="A7481" s="22"/>
      <c r="B7481" s="23"/>
      <c r="C7481" s="23"/>
      <c r="D7481" s="23"/>
      <c r="E7481" s="23"/>
    </row>
    <row r="7482" spans="1:5" x14ac:dyDescent="0.25">
      <c r="A7482" s="22"/>
      <c r="B7482" s="23"/>
      <c r="C7482" s="23"/>
      <c r="D7482" s="23"/>
      <c r="E7482" s="23"/>
    </row>
    <row r="7483" spans="1:5" x14ac:dyDescent="0.25">
      <c r="A7483" s="22"/>
      <c r="B7483" s="23"/>
      <c r="C7483" s="23"/>
      <c r="D7483" s="23"/>
      <c r="E7483" s="23"/>
    </row>
    <row r="7484" spans="1:5" x14ac:dyDescent="0.25">
      <c r="A7484" s="22"/>
      <c r="B7484" s="23"/>
      <c r="C7484" s="23"/>
      <c r="D7484" s="23"/>
      <c r="E7484" s="23"/>
    </row>
    <row r="7485" spans="1:5" x14ac:dyDescent="0.25">
      <c r="A7485" s="22"/>
      <c r="B7485" s="23"/>
      <c r="C7485" s="23"/>
      <c r="D7485" s="23"/>
      <c r="E7485" s="23"/>
    </row>
    <row r="7486" spans="1:5" x14ac:dyDescent="0.25">
      <c r="A7486" s="22"/>
      <c r="B7486" s="23"/>
      <c r="C7486" s="23"/>
      <c r="D7486" s="23"/>
      <c r="E7486" s="23"/>
    </row>
    <row r="7487" spans="1:5" x14ac:dyDescent="0.25">
      <c r="A7487" s="22"/>
      <c r="B7487" s="23"/>
      <c r="C7487" s="23"/>
      <c r="D7487" s="23"/>
      <c r="E7487" s="23"/>
    </row>
    <row r="7488" spans="1:5" x14ac:dyDescent="0.25">
      <c r="A7488" s="22"/>
      <c r="B7488" s="23"/>
      <c r="C7488" s="23"/>
      <c r="D7488" s="23"/>
      <c r="E7488" s="23"/>
    </row>
    <row r="7489" spans="1:5" x14ac:dyDescent="0.25">
      <c r="A7489" s="22"/>
      <c r="B7489" s="23"/>
      <c r="C7489" s="23"/>
      <c r="D7489" s="23"/>
      <c r="E7489" s="23"/>
    </row>
    <row r="7490" spans="1:5" x14ac:dyDescent="0.25">
      <c r="A7490" s="22"/>
      <c r="B7490" s="23"/>
      <c r="C7490" s="23"/>
      <c r="D7490" s="23"/>
      <c r="E7490" s="23"/>
    </row>
    <row r="7491" spans="1:5" x14ac:dyDescent="0.25">
      <c r="A7491" s="22"/>
      <c r="B7491" s="23"/>
      <c r="C7491" s="23"/>
      <c r="D7491" s="23"/>
      <c r="E7491" s="23"/>
    </row>
    <row r="7492" spans="1:5" x14ac:dyDescent="0.25">
      <c r="A7492" s="22"/>
      <c r="B7492" s="23"/>
      <c r="C7492" s="23"/>
      <c r="D7492" s="23"/>
      <c r="E7492" s="23"/>
    </row>
    <row r="7493" spans="1:5" x14ac:dyDescent="0.25">
      <c r="A7493" s="22"/>
      <c r="B7493" s="23"/>
      <c r="C7493" s="23"/>
      <c r="D7493" s="23"/>
      <c r="E7493" s="23"/>
    </row>
    <row r="7494" spans="1:5" x14ac:dyDescent="0.25">
      <c r="A7494" s="22"/>
      <c r="B7494" s="23"/>
      <c r="C7494" s="23"/>
      <c r="D7494" s="23"/>
      <c r="E7494" s="23"/>
    </row>
    <row r="7495" spans="1:5" x14ac:dyDescent="0.25">
      <c r="A7495" s="22"/>
      <c r="B7495" s="23"/>
      <c r="C7495" s="23"/>
      <c r="D7495" s="23"/>
      <c r="E7495" s="23"/>
    </row>
    <row r="7496" spans="1:5" x14ac:dyDescent="0.25">
      <c r="A7496" s="22"/>
      <c r="B7496" s="23"/>
      <c r="C7496" s="23"/>
      <c r="D7496" s="23"/>
      <c r="E7496" s="23"/>
    </row>
    <row r="7497" spans="1:5" x14ac:dyDescent="0.25">
      <c r="A7497" s="22"/>
      <c r="B7497" s="23"/>
      <c r="C7497" s="23"/>
      <c r="D7497" s="23"/>
      <c r="E7497" s="23"/>
    </row>
    <row r="7498" spans="1:5" x14ac:dyDescent="0.25">
      <c r="A7498" s="22"/>
      <c r="B7498" s="23"/>
      <c r="C7498" s="23"/>
      <c r="D7498" s="23"/>
      <c r="E7498" s="23"/>
    </row>
    <row r="7499" spans="1:5" x14ac:dyDescent="0.25">
      <c r="A7499" s="22"/>
      <c r="B7499" s="23"/>
      <c r="C7499" s="23"/>
      <c r="D7499" s="23"/>
      <c r="E7499" s="23"/>
    </row>
    <row r="7500" spans="1:5" x14ac:dyDescent="0.25">
      <c r="A7500" s="22"/>
      <c r="B7500" s="23"/>
      <c r="C7500" s="23"/>
      <c r="D7500" s="23"/>
      <c r="E7500" s="23"/>
    </row>
    <row r="7501" spans="1:5" x14ac:dyDescent="0.25">
      <c r="A7501" s="22"/>
      <c r="B7501" s="23"/>
      <c r="C7501" s="23"/>
      <c r="D7501" s="23"/>
      <c r="E7501" s="23"/>
    </row>
    <row r="7502" spans="1:5" x14ac:dyDescent="0.25">
      <c r="A7502" s="22"/>
      <c r="B7502" s="23"/>
      <c r="C7502" s="23"/>
      <c r="D7502" s="23"/>
      <c r="E7502" s="23"/>
    </row>
    <row r="7503" spans="1:5" x14ac:dyDescent="0.25">
      <c r="A7503" s="22"/>
      <c r="B7503" s="23"/>
      <c r="C7503" s="23"/>
      <c r="D7503" s="23"/>
      <c r="E7503" s="23"/>
    </row>
    <row r="7504" spans="1:5" x14ac:dyDescent="0.25">
      <c r="A7504" s="22"/>
      <c r="B7504" s="23"/>
      <c r="C7504" s="23"/>
      <c r="D7504" s="23"/>
      <c r="E7504" s="23"/>
    </row>
    <row r="7505" spans="1:5" x14ac:dyDescent="0.25">
      <c r="A7505" s="22"/>
      <c r="B7505" s="23"/>
      <c r="C7505" s="23"/>
      <c r="D7505" s="23"/>
      <c r="E7505" s="23"/>
    </row>
    <row r="7506" spans="1:5" x14ac:dyDescent="0.25">
      <c r="A7506" s="22"/>
      <c r="B7506" s="23"/>
      <c r="C7506" s="23"/>
      <c r="D7506" s="23"/>
      <c r="E7506" s="23"/>
    </row>
    <row r="7507" spans="1:5" x14ac:dyDescent="0.25">
      <c r="A7507" s="22"/>
      <c r="B7507" s="23"/>
      <c r="C7507" s="23"/>
      <c r="D7507" s="23"/>
      <c r="E7507" s="23"/>
    </row>
    <row r="7508" spans="1:5" x14ac:dyDescent="0.25">
      <c r="A7508" s="22"/>
      <c r="B7508" s="23"/>
      <c r="C7508" s="23"/>
      <c r="D7508" s="23"/>
      <c r="E7508" s="23"/>
    </row>
    <row r="7509" spans="1:5" x14ac:dyDescent="0.25">
      <c r="A7509" s="22"/>
      <c r="B7509" s="23"/>
      <c r="C7509" s="23"/>
      <c r="D7509" s="23"/>
      <c r="E7509" s="23"/>
    </row>
    <row r="7510" spans="1:5" x14ac:dyDescent="0.25">
      <c r="A7510" s="22"/>
      <c r="B7510" s="23"/>
      <c r="C7510" s="23"/>
      <c r="D7510" s="23"/>
      <c r="E7510" s="23"/>
    </row>
    <row r="7511" spans="1:5" x14ac:dyDescent="0.25">
      <c r="A7511" s="22"/>
      <c r="B7511" s="23"/>
      <c r="C7511" s="23"/>
      <c r="D7511" s="23"/>
      <c r="E7511" s="23"/>
    </row>
    <row r="7512" spans="1:5" x14ac:dyDescent="0.25">
      <c r="A7512" s="22"/>
      <c r="B7512" s="23"/>
      <c r="C7512" s="23"/>
      <c r="D7512" s="23"/>
      <c r="E7512" s="23"/>
    </row>
    <row r="7513" spans="1:5" x14ac:dyDescent="0.25">
      <c r="A7513" s="22"/>
      <c r="B7513" s="23"/>
      <c r="C7513" s="23"/>
      <c r="D7513" s="23"/>
      <c r="E7513" s="23"/>
    </row>
    <row r="7514" spans="1:5" x14ac:dyDescent="0.25">
      <c r="A7514" s="22"/>
      <c r="B7514" s="23"/>
      <c r="C7514" s="23"/>
      <c r="D7514" s="23"/>
      <c r="E7514" s="23"/>
    </row>
    <row r="7515" spans="1:5" x14ac:dyDescent="0.25">
      <c r="A7515" s="22"/>
      <c r="B7515" s="23"/>
      <c r="C7515" s="23"/>
      <c r="D7515" s="23"/>
      <c r="E7515" s="23"/>
    </row>
    <row r="7516" spans="1:5" x14ac:dyDescent="0.25">
      <c r="A7516" s="22"/>
      <c r="B7516" s="23"/>
      <c r="C7516" s="23"/>
      <c r="D7516" s="23"/>
      <c r="E7516" s="23"/>
    </row>
    <row r="7517" spans="1:5" x14ac:dyDescent="0.25">
      <c r="A7517" s="22"/>
      <c r="B7517" s="23"/>
      <c r="C7517" s="23"/>
      <c r="D7517" s="23"/>
      <c r="E7517" s="23"/>
    </row>
    <row r="7518" spans="1:5" x14ac:dyDescent="0.25">
      <c r="A7518" s="22"/>
      <c r="B7518" s="23"/>
      <c r="C7518" s="23"/>
      <c r="D7518" s="23"/>
      <c r="E7518" s="23"/>
    </row>
    <row r="7519" spans="1:5" x14ac:dyDescent="0.25">
      <c r="A7519" s="22"/>
      <c r="B7519" s="23"/>
      <c r="C7519" s="23"/>
      <c r="D7519" s="23"/>
      <c r="E7519" s="23"/>
    </row>
    <row r="7520" spans="1:5" x14ac:dyDescent="0.25">
      <c r="A7520" s="22"/>
      <c r="B7520" s="23"/>
      <c r="C7520" s="23"/>
      <c r="D7520" s="23"/>
      <c r="E7520" s="23"/>
    </row>
    <row r="7521" spans="1:5" x14ac:dyDescent="0.25">
      <c r="A7521" s="22"/>
      <c r="B7521" s="23"/>
      <c r="C7521" s="23"/>
      <c r="D7521" s="23"/>
      <c r="E7521" s="23"/>
    </row>
    <row r="7522" spans="1:5" x14ac:dyDescent="0.25">
      <c r="A7522" s="22"/>
      <c r="B7522" s="23"/>
      <c r="C7522" s="23"/>
      <c r="D7522" s="23"/>
      <c r="E7522" s="23"/>
    </row>
    <row r="7523" spans="1:5" x14ac:dyDescent="0.25">
      <c r="A7523" s="22"/>
      <c r="B7523" s="23"/>
      <c r="C7523" s="23"/>
      <c r="D7523" s="23"/>
      <c r="E7523" s="23"/>
    </row>
    <row r="7524" spans="1:5" x14ac:dyDescent="0.25">
      <c r="A7524" s="22"/>
      <c r="B7524" s="23"/>
      <c r="C7524" s="23"/>
      <c r="D7524" s="23"/>
      <c r="E7524" s="23"/>
    </row>
    <row r="7525" spans="1:5" x14ac:dyDescent="0.25">
      <c r="A7525" s="22"/>
      <c r="B7525" s="23"/>
      <c r="C7525" s="23"/>
      <c r="D7525" s="23"/>
      <c r="E7525" s="23"/>
    </row>
    <row r="7526" spans="1:5" x14ac:dyDescent="0.25">
      <c r="A7526" s="22"/>
      <c r="B7526" s="23"/>
      <c r="C7526" s="23"/>
      <c r="D7526" s="23"/>
      <c r="E7526" s="23"/>
    </row>
    <row r="7527" spans="1:5" x14ac:dyDescent="0.25">
      <c r="A7527" s="22"/>
      <c r="B7527" s="23"/>
      <c r="C7527" s="23"/>
      <c r="D7527" s="23"/>
      <c r="E7527" s="23"/>
    </row>
    <row r="7528" spans="1:5" x14ac:dyDescent="0.25">
      <c r="A7528" s="22"/>
      <c r="B7528" s="23"/>
      <c r="C7528" s="23"/>
      <c r="D7528" s="23"/>
      <c r="E7528" s="23"/>
    </row>
    <row r="7529" spans="1:5" x14ac:dyDescent="0.25">
      <c r="A7529" s="22"/>
      <c r="B7529" s="23"/>
      <c r="C7529" s="23"/>
      <c r="D7529" s="23"/>
      <c r="E7529" s="23"/>
    </row>
    <row r="7530" spans="1:5" x14ac:dyDescent="0.25">
      <c r="A7530" s="22"/>
      <c r="B7530" s="23"/>
      <c r="C7530" s="23"/>
      <c r="D7530" s="23"/>
      <c r="E7530" s="23"/>
    </row>
    <row r="7531" spans="1:5" x14ac:dyDescent="0.25">
      <c r="A7531" s="22"/>
      <c r="B7531" s="23"/>
      <c r="C7531" s="23"/>
      <c r="D7531" s="23"/>
      <c r="E7531" s="23"/>
    </row>
    <row r="7532" spans="1:5" x14ac:dyDescent="0.25">
      <c r="A7532" s="22"/>
      <c r="B7532" s="23"/>
      <c r="C7532" s="23"/>
      <c r="D7532" s="23"/>
      <c r="E7532" s="23"/>
    </row>
    <row r="7533" spans="1:5" x14ac:dyDescent="0.25">
      <c r="A7533" s="22"/>
      <c r="B7533" s="23"/>
      <c r="C7533" s="23"/>
      <c r="D7533" s="23"/>
      <c r="E7533" s="23"/>
    </row>
    <row r="7534" spans="1:5" x14ac:dyDescent="0.25">
      <c r="A7534" s="22"/>
      <c r="B7534" s="23"/>
      <c r="C7534" s="23"/>
      <c r="D7534" s="23"/>
      <c r="E7534" s="23"/>
    </row>
    <row r="7535" spans="1:5" x14ac:dyDescent="0.25">
      <c r="A7535" s="22"/>
      <c r="B7535" s="23"/>
      <c r="C7535" s="23"/>
      <c r="D7535" s="23"/>
      <c r="E7535" s="23"/>
    </row>
    <row r="7536" spans="1:5" x14ac:dyDescent="0.25">
      <c r="A7536" s="22"/>
      <c r="B7536" s="23"/>
      <c r="C7536" s="23"/>
      <c r="D7536" s="23"/>
      <c r="E7536" s="23"/>
    </row>
    <row r="7537" spans="1:5" x14ac:dyDescent="0.25">
      <c r="A7537" s="22"/>
      <c r="B7537" s="23"/>
      <c r="C7537" s="23"/>
      <c r="D7537" s="23"/>
      <c r="E7537" s="23"/>
    </row>
    <row r="7538" spans="1:5" x14ac:dyDescent="0.25">
      <c r="A7538" s="22"/>
      <c r="B7538" s="23"/>
      <c r="C7538" s="23"/>
      <c r="D7538" s="23"/>
      <c r="E7538" s="23"/>
    </row>
    <row r="7539" spans="1:5" x14ac:dyDescent="0.25">
      <c r="A7539" s="22"/>
      <c r="B7539" s="23"/>
      <c r="C7539" s="23"/>
      <c r="D7539" s="23"/>
      <c r="E7539" s="23"/>
    </row>
    <row r="7540" spans="1:5" x14ac:dyDescent="0.25">
      <c r="A7540" s="22"/>
      <c r="B7540" s="23"/>
      <c r="C7540" s="23"/>
      <c r="D7540" s="23"/>
      <c r="E7540" s="23"/>
    </row>
    <row r="7541" spans="1:5" x14ac:dyDescent="0.25">
      <c r="A7541" s="22"/>
      <c r="B7541" s="23"/>
      <c r="C7541" s="23"/>
      <c r="D7541" s="23"/>
      <c r="E7541" s="23"/>
    </row>
    <row r="7542" spans="1:5" x14ac:dyDescent="0.25">
      <c r="A7542" s="22"/>
      <c r="B7542" s="23"/>
      <c r="C7542" s="23"/>
      <c r="D7542" s="23"/>
      <c r="E7542" s="23"/>
    </row>
    <row r="7543" spans="1:5" x14ac:dyDescent="0.25">
      <c r="A7543" s="22"/>
      <c r="B7543" s="23"/>
      <c r="C7543" s="23"/>
      <c r="D7543" s="23"/>
      <c r="E7543" s="23"/>
    </row>
    <row r="7544" spans="1:5" x14ac:dyDescent="0.25">
      <c r="A7544" s="22"/>
      <c r="B7544" s="23"/>
      <c r="C7544" s="23"/>
      <c r="D7544" s="23"/>
      <c r="E7544" s="23"/>
    </row>
    <row r="7545" spans="1:5" x14ac:dyDescent="0.25">
      <c r="A7545" s="22"/>
      <c r="B7545" s="23"/>
      <c r="C7545" s="23"/>
      <c r="D7545" s="23"/>
      <c r="E7545" s="23"/>
    </row>
    <row r="7546" spans="1:5" x14ac:dyDescent="0.25">
      <c r="A7546" s="22"/>
      <c r="B7546" s="23"/>
      <c r="C7546" s="23"/>
      <c r="D7546" s="23"/>
      <c r="E7546" s="23"/>
    </row>
    <row r="7547" spans="1:5" x14ac:dyDescent="0.25">
      <c r="A7547" s="22"/>
      <c r="B7547" s="23"/>
      <c r="C7547" s="23"/>
      <c r="D7547" s="23"/>
      <c r="E7547" s="23"/>
    </row>
    <row r="7548" spans="1:5" x14ac:dyDescent="0.25">
      <c r="A7548" s="22"/>
      <c r="B7548" s="23"/>
      <c r="C7548" s="23"/>
      <c r="D7548" s="23"/>
      <c r="E7548" s="23"/>
    </row>
    <row r="7549" spans="1:5" x14ac:dyDescent="0.25">
      <c r="A7549" s="22"/>
      <c r="B7549" s="23"/>
      <c r="C7549" s="23"/>
      <c r="D7549" s="23"/>
      <c r="E7549" s="23"/>
    </row>
    <row r="7550" spans="1:5" x14ac:dyDescent="0.25">
      <c r="A7550" s="22"/>
      <c r="B7550" s="23"/>
      <c r="C7550" s="23"/>
      <c r="D7550" s="23"/>
      <c r="E7550" s="23"/>
    </row>
    <row r="7551" spans="1:5" x14ac:dyDescent="0.25">
      <c r="A7551" s="22"/>
      <c r="B7551" s="23"/>
      <c r="C7551" s="23"/>
      <c r="D7551" s="23"/>
      <c r="E7551" s="23"/>
    </row>
    <row r="7552" spans="1:5" x14ac:dyDescent="0.25">
      <c r="A7552" s="22"/>
      <c r="B7552" s="23"/>
      <c r="C7552" s="23"/>
      <c r="D7552" s="23"/>
      <c r="E7552" s="23"/>
    </row>
    <row r="7553" spans="1:5" x14ac:dyDescent="0.25">
      <c r="A7553" s="22"/>
      <c r="B7553" s="23"/>
      <c r="C7553" s="23"/>
      <c r="D7553" s="23"/>
      <c r="E7553" s="23"/>
    </row>
    <row r="7554" spans="1:5" x14ac:dyDescent="0.25">
      <c r="A7554" s="22"/>
      <c r="B7554" s="23"/>
      <c r="C7554" s="23"/>
      <c r="D7554" s="23"/>
      <c r="E7554" s="23"/>
    </row>
    <row r="7555" spans="1:5" x14ac:dyDescent="0.25">
      <c r="A7555" s="22"/>
      <c r="B7555" s="23"/>
      <c r="C7555" s="23"/>
      <c r="D7555" s="23"/>
      <c r="E7555" s="23"/>
    </row>
    <row r="7556" spans="1:5" x14ac:dyDescent="0.25">
      <c r="A7556" s="22"/>
      <c r="B7556" s="23"/>
      <c r="C7556" s="23"/>
      <c r="D7556" s="23"/>
      <c r="E7556" s="23"/>
    </row>
    <row r="7557" spans="1:5" x14ac:dyDescent="0.25">
      <c r="A7557" s="22"/>
      <c r="B7557" s="23"/>
      <c r="C7557" s="23"/>
      <c r="D7557" s="23"/>
      <c r="E7557" s="23"/>
    </row>
    <row r="7558" spans="1:5" x14ac:dyDescent="0.25">
      <c r="A7558" s="22"/>
      <c r="B7558" s="23"/>
      <c r="C7558" s="23"/>
      <c r="D7558" s="23"/>
      <c r="E7558" s="23"/>
    </row>
    <row r="7559" spans="1:5" x14ac:dyDescent="0.25">
      <c r="A7559" s="22"/>
      <c r="B7559" s="23"/>
      <c r="C7559" s="23"/>
      <c r="D7559" s="23"/>
      <c r="E7559" s="23"/>
    </row>
    <row r="7560" spans="1:5" x14ac:dyDescent="0.25">
      <c r="A7560" s="22"/>
      <c r="B7560" s="23"/>
      <c r="C7560" s="23"/>
      <c r="D7560" s="23"/>
      <c r="E7560" s="23"/>
    </row>
    <row r="7561" spans="1:5" x14ac:dyDescent="0.25">
      <c r="A7561" s="22"/>
      <c r="B7561" s="23"/>
      <c r="C7561" s="23"/>
      <c r="D7561" s="23"/>
      <c r="E7561" s="23"/>
    </row>
    <row r="7562" spans="1:5" x14ac:dyDescent="0.25">
      <c r="A7562" s="22"/>
      <c r="B7562" s="23"/>
      <c r="C7562" s="23"/>
      <c r="D7562" s="23"/>
      <c r="E7562" s="23"/>
    </row>
    <row r="7563" spans="1:5" x14ac:dyDescent="0.25">
      <c r="A7563" s="22"/>
      <c r="B7563" s="23"/>
      <c r="C7563" s="23"/>
      <c r="D7563" s="23"/>
      <c r="E7563" s="23"/>
    </row>
    <row r="7564" spans="1:5" x14ac:dyDescent="0.25">
      <c r="A7564" s="22"/>
      <c r="B7564" s="23"/>
      <c r="C7564" s="23"/>
      <c r="D7564" s="23"/>
      <c r="E7564" s="23"/>
    </row>
    <row r="7565" spans="1:5" x14ac:dyDescent="0.25">
      <c r="A7565" s="22"/>
      <c r="B7565" s="23"/>
      <c r="C7565" s="23"/>
      <c r="D7565" s="23"/>
      <c r="E7565" s="23"/>
    </row>
    <row r="7566" spans="1:5" x14ac:dyDescent="0.25">
      <c r="A7566" s="22"/>
      <c r="B7566" s="23"/>
      <c r="C7566" s="23"/>
      <c r="D7566" s="23"/>
      <c r="E7566" s="23"/>
    </row>
    <row r="7567" spans="1:5" x14ac:dyDescent="0.25">
      <c r="A7567" s="22"/>
      <c r="B7567" s="23"/>
      <c r="C7567" s="23"/>
      <c r="D7567" s="23"/>
      <c r="E7567" s="23"/>
    </row>
    <row r="7568" spans="1:5" x14ac:dyDescent="0.25">
      <c r="A7568" s="22"/>
      <c r="B7568" s="23"/>
      <c r="C7568" s="23"/>
      <c r="D7568" s="23"/>
      <c r="E7568" s="23"/>
    </row>
    <row r="7569" spans="1:5" x14ac:dyDescent="0.25">
      <c r="A7569" s="22"/>
      <c r="B7569" s="23"/>
      <c r="C7569" s="23"/>
      <c r="D7569" s="23"/>
      <c r="E7569" s="23"/>
    </row>
    <row r="7570" spans="1:5" x14ac:dyDescent="0.25">
      <c r="A7570" s="22"/>
      <c r="B7570" s="23"/>
      <c r="C7570" s="23"/>
      <c r="D7570" s="23"/>
      <c r="E7570" s="23"/>
    </row>
    <row r="7571" spans="1:5" x14ac:dyDescent="0.25">
      <c r="A7571" s="22"/>
      <c r="B7571" s="23"/>
      <c r="C7571" s="23"/>
      <c r="D7571" s="23"/>
      <c r="E7571" s="23"/>
    </row>
    <row r="7572" spans="1:5" x14ac:dyDescent="0.25">
      <c r="A7572" s="22"/>
      <c r="B7572" s="23"/>
      <c r="C7572" s="23"/>
      <c r="D7572" s="23"/>
      <c r="E7572" s="23"/>
    </row>
    <row r="7573" spans="1:5" x14ac:dyDescent="0.25">
      <c r="A7573" s="22"/>
      <c r="B7573" s="23"/>
      <c r="C7573" s="23"/>
      <c r="D7573" s="23"/>
      <c r="E7573" s="23"/>
    </row>
    <row r="7574" spans="1:5" x14ac:dyDescent="0.25">
      <c r="A7574" s="22"/>
      <c r="B7574" s="23"/>
      <c r="C7574" s="23"/>
      <c r="D7574" s="23"/>
      <c r="E7574" s="23"/>
    </row>
    <row r="7575" spans="1:5" x14ac:dyDescent="0.25">
      <c r="A7575" s="22"/>
      <c r="B7575" s="23"/>
      <c r="C7575" s="23"/>
      <c r="D7575" s="23"/>
      <c r="E7575" s="23"/>
    </row>
    <row r="7576" spans="1:5" x14ac:dyDescent="0.25">
      <c r="A7576" s="22"/>
      <c r="B7576" s="23"/>
      <c r="C7576" s="23"/>
      <c r="D7576" s="23"/>
      <c r="E7576" s="23"/>
    </row>
    <row r="7577" spans="1:5" x14ac:dyDescent="0.25">
      <c r="A7577" s="22"/>
      <c r="B7577" s="23"/>
      <c r="C7577" s="23"/>
      <c r="D7577" s="23"/>
      <c r="E7577" s="23"/>
    </row>
    <row r="7578" spans="1:5" x14ac:dyDescent="0.25">
      <c r="A7578" s="22"/>
      <c r="B7578" s="23"/>
      <c r="C7578" s="23"/>
      <c r="D7578" s="23"/>
      <c r="E7578" s="23"/>
    </row>
    <row r="7579" spans="1:5" x14ac:dyDescent="0.25">
      <c r="A7579" s="22"/>
      <c r="B7579" s="23"/>
      <c r="C7579" s="23"/>
      <c r="D7579" s="23"/>
      <c r="E7579" s="23"/>
    </row>
    <row r="7580" spans="1:5" x14ac:dyDescent="0.25">
      <c r="A7580" s="22"/>
      <c r="B7580" s="23"/>
      <c r="C7580" s="23"/>
      <c r="D7580" s="23"/>
      <c r="E7580" s="23"/>
    </row>
    <row r="7581" spans="1:5" x14ac:dyDescent="0.25">
      <c r="A7581" s="22"/>
      <c r="B7581" s="23"/>
      <c r="C7581" s="23"/>
      <c r="D7581" s="23"/>
      <c r="E7581" s="23"/>
    </row>
    <row r="7582" spans="1:5" x14ac:dyDescent="0.25">
      <c r="A7582" s="22"/>
      <c r="B7582" s="23"/>
      <c r="C7582" s="23"/>
      <c r="D7582" s="23"/>
      <c r="E7582" s="23"/>
    </row>
    <row r="7583" spans="1:5" x14ac:dyDescent="0.25">
      <c r="A7583" s="22"/>
      <c r="B7583" s="23"/>
      <c r="C7583" s="23"/>
      <c r="D7583" s="23"/>
      <c r="E7583" s="23"/>
    </row>
    <row r="7584" spans="1:5" x14ac:dyDescent="0.25">
      <c r="A7584" s="22"/>
      <c r="B7584" s="23"/>
      <c r="C7584" s="23"/>
      <c r="D7584" s="23"/>
      <c r="E7584" s="23"/>
    </row>
    <row r="7585" spans="1:5" x14ac:dyDescent="0.25">
      <c r="A7585" s="22"/>
      <c r="B7585" s="23"/>
      <c r="C7585" s="23"/>
      <c r="D7585" s="23"/>
      <c r="E7585" s="23"/>
    </row>
    <row r="7586" spans="1:5" x14ac:dyDescent="0.25">
      <c r="A7586" s="22"/>
      <c r="B7586" s="23"/>
      <c r="C7586" s="23"/>
      <c r="D7586" s="23"/>
      <c r="E7586" s="23"/>
    </row>
    <row r="7587" spans="1:5" x14ac:dyDescent="0.25">
      <c r="A7587" s="22"/>
      <c r="B7587" s="23"/>
      <c r="C7587" s="23"/>
      <c r="D7587" s="23"/>
      <c r="E7587" s="23"/>
    </row>
    <row r="7588" spans="1:5" x14ac:dyDescent="0.25">
      <c r="A7588" s="22"/>
      <c r="B7588" s="23"/>
      <c r="C7588" s="23"/>
      <c r="D7588" s="23"/>
      <c r="E7588" s="23"/>
    </row>
    <row r="7589" spans="1:5" x14ac:dyDescent="0.25">
      <c r="A7589" s="22"/>
      <c r="B7589" s="23"/>
      <c r="C7589" s="23"/>
      <c r="D7589" s="23"/>
      <c r="E7589" s="23"/>
    </row>
    <row r="7590" spans="1:5" x14ac:dyDescent="0.25">
      <c r="A7590" s="22"/>
      <c r="B7590" s="23"/>
      <c r="C7590" s="23"/>
      <c r="D7590" s="23"/>
      <c r="E7590" s="23"/>
    </row>
    <row r="7591" spans="1:5" x14ac:dyDescent="0.25">
      <c r="A7591" s="22"/>
      <c r="B7591" s="23"/>
      <c r="C7591" s="23"/>
      <c r="D7591" s="23"/>
      <c r="E7591" s="23"/>
    </row>
    <row r="7592" spans="1:5" x14ac:dyDescent="0.25">
      <c r="A7592" s="22"/>
      <c r="B7592" s="23"/>
      <c r="C7592" s="23"/>
      <c r="D7592" s="23"/>
      <c r="E7592" s="23"/>
    </row>
    <row r="7593" spans="1:5" x14ac:dyDescent="0.25">
      <c r="A7593" s="22"/>
      <c r="B7593" s="23"/>
      <c r="C7593" s="23"/>
      <c r="D7593" s="23"/>
      <c r="E7593" s="23"/>
    </row>
    <row r="7594" spans="1:5" x14ac:dyDescent="0.25">
      <c r="A7594" s="22"/>
      <c r="B7594" s="23"/>
      <c r="C7594" s="23"/>
      <c r="D7594" s="23"/>
      <c r="E7594" s="23"/>
    </row>
    <row r="7595" spans="1:5" x14ac:dyDescent="0.25">
      <c r="A7595" s="22"/>
      <c r="B7595" s="23"/>
      <c r="C7595" s="23"/>
      <c r="D7595" s="23"/>
      <c r="E7595" s="23"/>
    </row>
    <row r="7596" spans="1:5" x14ac:dyDescent="0.25">
      <c r="A7596" s="22"/>
      <c r="B7596" s="23"/>
      <c r="C7596" s="23"/>
      <c r="D7596" s="23"/>
      <c r="E7596" s="23"/>
    </row>
    <row r="7597" spans="1:5" x14ac:dyDescent="0.25">
      <c r="A7597" s="22"/>
      <c r="B7597" s="23"/>
      <c r="C7597" s="23"/>
      <c r="D7597" s="23"/>
      <c r="E7597" s="23"/>
    </row>
    <row r="7598" spans="1:5" x14ac:dyDescent="0.25">
      <c r="A7598" s="22"/>
      <c r="B7598" s="23"/>
      <c r="C7598" s="23"/>
      <c r="D7598" s="23"/>
      <c r="E7598" s="23"/>
    </row>
    <row r="7599" spans="1:5" x14ac:dyDescent="0.25">
      <c r="A7599" s="22"/>
      <c r="B7599" s="23"/>
      <c r="C7599" s="23"/>
      <c r="D7599" s="23"/>
      <c r="E7599" s="23"/>
    </row>
    <row r="7600" spans="1:5" x14ac:dyDescent="0.25">
      <c r="A7600" s="22"/>
      <c r="B7600" s="23"/>
      <c r="C7600" s="23"/>
      <c r="D7600" s="23"/>
      <c r="E7600" s="23"/>
    </row>
    <row r="7601" spans="1:5" x14ac:dyDescent="0.25">
      <c r="A7601" s="22"/>
      <c r="B7601" s="23"/>
      <c r="C7601" s="23"/>
      <c r="D7601" s="23"/>
      <c r="E7601" s="23"/>
    </row>
    <row r="7602" spans="1:5" x14ac:dyDescent="0.25">
      <c r="A7602" s="22"/>
      <c r="B7602" s="23"/>
      <c r="C7602" s="23"/>
      <c r="D7602" s="23"/>
      <c r="E7602" s="23"/>
    </row>
    <row r="7603" spans="1:5" x14ac:dyDescent="0.25">
      <c r="A7603" s="22"/>
      <c r="B7603" s="23"/>
      <c r="C7603" s="23"/>
      <c r="D7603" s="23"/>
      <c r="E7603" s="23"/>
    </row>
    <row r="7604" spans="1:5" x14ac:dyDescent="0.25">
      <c r="A7604" s="22"/>
      <c r="B7604" s="23"/>
      <c r="C7604" s="23"/>
      <c r="D7604" s="23"/>
      <c r="E7604" s="23"/>
    </row>
    <row r="7605" spans="1:5" x14ac:dyDescent="0.25">
      <c r="A7605" s="22"/>
      <c r="B7605" s="23"/>
      <c r="C7605" s="23"/>
      <c r="D7605" s="23"/>
      <c r="E7605" s="23"/>
    </row>
    <row r="7606" spans="1:5" x14ac:dyDescent="0.25">
      <c r="A7606" s="22"/>
      <c r="B7606" s="23"/>
      <c r="C7606" s="23"/>
      <c r="D7606" s="23"/>
      <c r="E7606" s="23"/>
    </row>
    <row r="7607" spans="1:5" x14ac:dyDescent="0.25">
      <c r="A7607" s="22"/>
      <c r="B7607" s="23"/>
      <c r="C7607" s="23"/>
      <c r="D7607" s="23"/>
      <c r="E7607" s="23"/>
    </row>
    <row r="7608" spans="1:5" x14ac:dyDescent="0.25">
      <c r="A7608" s="22"/>
      <c r="B7608" s="23"/>
      <c r="C7608" s="23"/>
      <c r="D7608" s="23"/>
      <c r="E7608" s="23"/>
    </row>
    <row r="7609" spans="1:5" x14ac:dyDescent="0.25">
      <c r="A7609" s="22"/>
      <c r="B7609" s="23"/>
      <c r="C7609" s="23"/>
      <c r="D7609" s="23"/>
      <c r="E7609" s="23"/>
    </row>
    <row r="7610" spans="1:5" x14ac:dyDescent="0.25">
      <c r="A7610" s="22"/>
      <c r="B7610" s="23"/>
      <c r="C7610" s="23"/>
      <c r="D7610" s="23"/>
      <c r="E7610" s="23"/>
    </row>
    <row r="7611" spans="1:5" x14ac:dyDescent="0.25">
      <c r="A7611" s="22"/>
      <c r="B7611" s="23"/>
      <c r="C7611" s="23"/>
      <c r="D7611" s="23"/>
      <c r="E7611" s="23"/>
    </row>
    <row r="7612" spans="1:5" x14ac:dyDescent="0.25">
      <c r="A7612" s="22"/>
      <c r="B7612" s="23"/>
      <c r="C7612" s="23"/>
      <c r="D7612" s="23"/>
      <c r="E7612" s="23"/>
    </row>
    <row r="7613" spans="1:5" x14ac:dyDescent="0.25">
      <c r="A7613" s="22"/>
      <c r="B7613" s="23"/>
      <c r="C7613" s="23"/>
      <c r="D7613" s="23"/>
      <c r="E7613" s="23"/>
    </row>
    <row r="7614" spans="1:5" x14ac:dyDescent="0.25">
      <c r="A7614" s="22"/>
      <c r="B7614" s="23"/>
      <c r="C7614" s="23"/>
      <c r="D7614" s="23"/>
      <c r="E7614" s="23"/>
    </row>
    <row r="7615" spans="1:5" x14ac:dyDescent="0.25">
      <c r="A7615" s="22"/>
      <c r="B7615" s="23"/>
      <c r="C7615" s="23"/>
      <c r="D7615" s="23"/>
      <c r="E7615" s="23"/>
    </row>
    <row r="7616" spans="1:5" x14ac:dyDescent="0.25">
      <c r="A7616" s="22"/>
      <c r="B7616" s="23"/>
      <c r="C7616" s="23"/>
      <c r="D7616" s="23"/>
      <c r="E7616" s="23"/>
    </row>
    <row r="7617" spans="1:5" x14ac:dyDescent="0.25">
      <c r="A7617" s="22"/>
      <c r="B7617" s="23"/>
      <c r="C7617" s="23"/>
      <c r="D7617" s="23"/>
      <c r="E7617" s="23"/>
    </row>
    <row r="7618" spans="1:5" x14ac:dyDescent="0.25">
      <c r="A7618" s="22"/>
      <c r="B7618" s="23"/>
      <c r="C7618" s="23"/>
      <c r="D7618" s="23"/>
      <c r="E7618" s="23"/>
    </row>
    <row r="7619" spans="1:5" x14ac:dyDescent="0.25">
      <c r="A7619" s="22"/>
      <c r="B7619" s="23"/>
      <c r="C7619" s="23"/>
      <c r="D7619" s="23"/>
      <c r="E7619" s="23"/>
    </row>
    <row r="7620" spans="1:5" x14ac:dyDescent="0.25">
      <c r="A7620" s="22"/>
      <c r="B7620" s="23"/>
      <c r="C7620" s="23"/>
      <c r="D7620" s="23"/>
      <c r="E7620" s="23"/>
    </row>
    <row r="7621" spans="1:5" x14ac:dyDescent="0.25">
      <c r="A7621" s="22"/>
      <c r="B7621" s="23"/>
      <c r="C7621" s="23"/>
      <c r="D7621" s="23"/>
      <c r="E7621" s="23"/>
    </row>
    <row r="7622" spans="1:5" x14ac:dyDescent="0.25">
      <c r="A7622" s="22"/>
      <c r="B7622" s="23"/>
      <c r="C7622" s="23"/>
      <c r="D7622" s="23"/>
      <c r="E7622" s="23"/>
    </row>
    <row r="7623" spans="1:5" x14ac:dyDescent="0.25">
      <c r="A7623" s="22"/>
      <c r="B7623" s="23"/>
      <c r="C7623" s="23"/>
      <c r="D7623" s="23"/>
      <c r="E7623" s="23"/>
    </row>
    <row r="7624" spans="1:5" x14ac:dyDescent="0.25">
      <c r="A7624" s="22"/>
      <c r="B7624" s="23"/>
      <c r="C7624" s="23"/>
      <c r="D7624" s="23"/>
      <c r="E7624" s="23"/>
    </row>
    <row r="7625" spans="1:5" x14ac:dyDescent="0.25">
      <c r="A7625" s="22"/>
      <c r="B7625" s="23"/>
      <c r="C7625" s="23"/>
      <c r="D7625" s="23"/>
      <c r="E7625" s="23"/>
    </row>
    <row r="7626" spans="1:5" x14ac:dyDescent="0.25">
      <c r="A7626" s="22"/>
      <c r="B7626" s="23"/>
      <c r="C7626" s="23"/>
      <c r="D7626" s="23"/>
      <c r="E7626" s="23"/>
    </row>
    <row r="7627" spans="1:5" x14ac:dyDescent="0.25">
      <c r="A7627" s="22"/>
      <c r="B7627" s="23"/>
      <c r="C7627" s="23"/>
      <c r="D7627" s="23"/>
      <c r="E7627" s="23"/>
    </row>
    <row r="7628" spans="1:5" x14ac:dyDescent="0.25">
      <c r="A7628" s="22"/>
      <c r="B7628" s="23"/>
      <c r="C7628" s="23"/>
      <c r="D7628" s="23"/>
      <c r="E7628" s="23"/>
    </row>
    <row r="7629" spans="1:5" x14ac:dyDescent="0.25">
      <c r="A7629" s="22"/>
      <c r="B7629" s="23"/>
      <c r="C7629" s="23"/>
      <c r="D7629" s="23"/>
      <c r="E7629" s="23"/>
    </row>
    <row r="7630" spans="1:5" x14ac:dyDescent="0.25">
      <c r="A7630" s="22"/>
      <c r="B7630" s="23"/>
      <c r="C7630" s="23"/>
      <c r="D7630" s="23"/>
      <c r="E7630" s="23"/>
    </row>
    <row r="7631" spans="1:5" x14ac:dyDescent="0.25">
      <c r="A7631" s="22"/>
      <c r="B7631" s="23"/>
      <c r="C7631" s="23"/>
      <c r="D7631" s="23"/>
      <c r="E7631" s="23"/>
    </row>
    <row r="7632" spans="1:5" x14ac:dyDescent="0.25">
      <c r="A7632" s="22"/>
      <c r="B7632" s="23"/>
      <c r="C7632" s="23"/>
      <c r="D7632" s="23"/>
      <c r="E7632" s="23"/>
    </row>
    <row r="7633" spans="1:5" x14ac:dyDescent="0.25">
      <c r="A7633" s="22"/>
      <c r="B7633" s="23"/>
      <c r="C7633" s="23"/>
      <c r="D7633" s="23"/>
      <c r="E7633" s="23"/>
    </row>
    <row r="7634" spans="1:5" x14ac:dyDescent="0.25">
      <c r="A7634" s="22"/>
      <c r="B7634" s="23"/>
      <c r="C7634" s="23"/>
      <c r="D7634" s="23"/>
      <c r="E7634" s="23"/>
    </row>
    <row r="7635" spans="1:5" x14ac:dyDescent="0.25">
      <c r="A7635" s="22"/>
      <c r="B7635" s="23"/>
      <c r="C7635" s="23"/>
      <c r="D7635" s="23"/>
      <c r="E7635" s="23"/>
    </row>
    <row r="7636" spans="1:5" x14ac:dyDescent="0.25">
      <c r="A7636" s="22"/>
      <c r="B7636" s="23"/>
      <c r="C7636" s="23"/>
      <c r="D7636" s="23"/>
      <c r="E7636" s="23"/>
    </row>
    <row r="7637" spans="1:5" x14ac:dyDescent="0.25">
      <c r="A7637" s="22"/>
      <c r="B7637" s="23"/>
      <c r="C7637" s="23"/>
      <c r="D7637" s="23"/>
      <c r="E7637" s="23"/>
    </row>
    <row r="7638" spans="1:5" x14ac:dyDescent="0.25">
      <c r="A7638" s="22"/>
      <c r="B7638" s="23"/>
      <c r="C7638" s="23"/>
      <c r="D7638" s="23"/>
      <c r="E7638" s="23"/>
    </row>
    <row r="7639" spans="1:5" x14ac:dyDescent="0.25">
      <c r="A7639" s="22"/>
      <c r="B7639" s="23"/>
      <c r="C7639" s="23"/>
      <c r="D7639" s="23"/>
      <c r="E7639" s="23"/>
    </row>
    <row r="7640" spans="1:5" x14ac:dyDescent="0.25">
      <c r="A7640" s="22"/>
      <c r="B7640" s="23"/>
      <c r="C7640" s="23"/>
      <c r="D7640" s="23"/>
      <c r="E7640" s="23"/>
    </row>
    <row r="7641" spans="1:5" x14ac:dyDescent="0.25">
      <c r="A7641" s="22"/>
      <c r="B7641" s="23"/>
      <c r="C7641" s="23"/>
      <c r="D7641" s="23"/>
      <c r="E7641" s="23"/>
    </row>
    <row r="7642" spans="1:5" x14ac:dyDescent="0.25">
      <c r="A7642" s="22"/>
      <c r="B7642" s="23"/>
      <c r="C7642" s="23"/>
      <c r="D7642" s="23"/>
      <c r="E7642" s="23"/>
    </row>
    <row r="7643" spans="1:5" x14ac:dyDescent="0.25">
      <c r="A7643" s="22"/>
      <c r="B7643" s="23"/>
      <c r="C7643" s="23"/>
      <c r="D7643" s="23"/>
      <c r="E7643" s="23"/>
    </row>
    <row r="7644" spans="1:5" x14ac:dyDescent="0.25">
      <c r="A7644" s="22"/>
      <c r="B7644" s="23"/>
      <c r="C7644" s="23"/>
      <c r="D7644" s="23"/>
      <c r="E7644" s="23"/>
    </row>
    <row r="7645" spans="1:5" x14ac:dyDescent="0.25">
      <c r="A7645" s="22"/>
      <c r="B7645" s="23"/>
      <c r="C7645" s="23"/>
      <c r="D7645" s="23"/>
      <c r="E7645" s="23"/>
    </row>
    <row r="7646" spans="1:5" x14ac:dyDescent="0.25">
      <c r="A7646" s="22"/>
      <c r="B7646" s="23"/>
      <c r="C7646" s="23"/>
      <c r="D7646" s="23"/>
      <c r="E7646" s="23"/>
    </row>
    <row r="7647" spans="1:5" x14ac:dyDescent="0.25">
      <c r="A7647" s="22"/>
      <c r="B7647" s="23"/>
      <c r="C7647" s="23"/>
      <c r="D7647" s="23"/>
      <c r="E7647" s="23"/>
    </row>
    <row r="7648" spans="1:5" x14ac:dyDescent="0.25">
      <c r="A7648" s="22"/>
      <c r="B7648" s="23"/>
      <c r="C7648" s="23"/>
      <c r="D7648" s="23"/>
      <c r="E7648" s="23"/>
    </row>
    <row r="7649" spans="1:5" x14ac:dyDescent="0.25">
      <c r="A7649" s="22"/>
      <c r="B7649" s="23"/>
      <c r="C7649" s="23"/>
      <c r="D7649" s="23"/>
      <c r="E7649" s="23"/>
    </row>
    <row r="7650" spans="1:5" x14ac:dyDescent="0.25">
      <c r="A7650" s="22"/>
      <c r="B7650" s="23"/>
      <c r="C7650" s="23"/>
      <c r="D7650" s="23"/>
      <c r="E7650" s="23"/>
    </row>
    <row r="7651" spans="1:5" x14ac:dyDescent="0.25">
      <c r="A7651" s="22"/>
      <c r="B7651" s="23"/>
      <c r="C7651" s="23"/>
      <c r="D7651" s="23"/>
      <c r="E7651" s="23"/>
    </row>
    <row r="7652" spans="1:5" x14ac:dyDescent="0.25">
      <c r="A7652" s="22"/>
      <c r="B7652" s="23"/>
      <c r="C7652" s="23"/>
      <c r="D7652" s="23"/>
      <c r="E7652" s="23"/>
    </row>
    <row r="7653" spans="1:5" x14ac:dyDescent="0.25">
      <c r="A7653" s="22"/>
      <c r="B7653" s="23"/>
      <c r="C7653" s="23"/>
      <c r="D7653" s="23"/>
      <c r="E7653" s="23"/>
    </row>
    <row r="7654" spans="1:5" x14ac:dyDescent="0.25">
      <c r="A7654" s="22"/>
      <c r="B7654" s="23"/>
      <c r="C7654" s="23"/>
      <c r="D7654" s="23"/>
      <c r="E7654" s="23"/>
    </row>
    <row r="7655" spans="1:5" x14ac:dyDescent="0.25">
      <c r="A7655" s="22"/>
      <c r="B7655" s="23"/>
      <c r="C7655" s="23"/>
      <c r="D7655" s="23"/>
      <c r="E7655" s="23"/>
    </row>
    <row r="7656" spans="1:5" x14ac:dyDescent="0.25">
      <c r="A7656" s="22"/>
      <c r="B7656" s="23"/>
      <c r="C7656" s="23"/>
      <c r="D7656" s="23"/>
      <c r="E7656" s="23"/>
    </row>
    <row r="7657" spans="1:5" x14ac:dyDescent="0.25">
      <c r="A7657" s="22"/>
      <c r="B7657" s="23"/>
      <c r="C7657" s="23"/>
      <c r="D7657" s="23"/>
      <c r="E7657" s="23"/>
    </row>
    <row r="7658" spans="1:5" x14ac:dyDescent="0.25">
      <c r="A7658" s="22"/>
      <c r="B7658" s="23"/>
      <c r="C7658" s="23"/>
      <c r="D7658" s="23"/>
      <c r="E7658" s="23"/>
    </row>
    <row r="7659" spans="1:5" x14ac:dyDescent="0.25">
      <c r="A7659" s="22"/>
      <c r="B7659" s="23"/>
      <c r="C7659" s="23"/>
      <c r="D7659" s="23"/>
      <c r="E7659" s="23"/>
    </row>
    <row r="7660" spans="1:5" x14ac:dyDescent="0.25">
      <c r="A7660" s="22"/>
      <c r="B7660" s="23"/>
      <c r="C7660" s="23"/>
      <c r="D7660" s="23"/>
      <c r="E7660" s="23"/>
    </row>
    <row r="7661" spans="1:5" x14ac:dyDescent="0.25">
      <c r="A7661" s="22"/>
      <c r="B7661" s="23"/>
      <c r="C7661" s="23"/>
      <c r="D7661" s="23"/>
      <c r="E7661" s="23"/>
    </row>
    <row r="7662" spans="1:5" x14ac:dyDescent="0.25">
      <c r="A7662" s="22"/>
      <c r="B7662" s="23"/>
      <c r="C7662" s="23"/>
      <c r="D7662" s="23"/>
      <c r="E7662" s="23"/>
    </row>
    <row r="7663" spans="1:5" x14ac:dyDescent="0.25">
      <c r="A7663" s="22"/>
      <c r="B7663" s="23"/>
      <c r="C7663" s="23"/>
      <c r="D7663" s="23"/>
      <c r="E7663" s="23"/>
    </row>
    <row r="7664" spans="1:5" x14ac:dyDescent="0.25">
      <c r="A7664" s="22"/>
      <c r="B7664" s="23"/>
      <c r="C7664" s="23"/>
      <c r="D7664" s="23"/>
      <c r="E7664" s="23"/>
    </row>
    <row r="7665" spans="1:5" x14ac:dyDescent="0.25">
      <c r="A7665" s="22"/>
      <c r="B7665" s="23"/>
      <c r="C7665" s="23"/>
      <c r="D7665" s="23"/>
      <c r="E7665" s="23"/>
    </row>
    <row r="7666" spans="1:5" x14ac:dyDescent="0.25">
      <c r="A7666" s="22"/>
      <c r="B7666" s="23"/>
      <c r="C7666" s="23"/>
      <c r="D7666" s="23"/>
      <c r="E7666" s="23"/>
    </row>
    <row r="7667" spans="1:5" x14ac:dyDescent="0.25">
      <c r="A7667" s="22"/>
      <c r="B7667" s="23"/>
      <c r="C7667" s="23"/>
      <c r="D7667" s="23"/>
      <c r="E7667" s="23"/>
    </row>
    <row r="7668" spans="1:5" x14ac:dyDescent="0.25">
      <c r="A7668" s="22"/>
      <c r="B7668" s="23"/>
      <c r="C7668" s="23"/>
      <c r="D7668" s="23"/>
      <c r="E7668" s="23"/>
    </row>
    <row r="7669" spans="1:5" x14ac:dyDescent="0.25">
      <c r="A7669" s="22"/>
      <c r="B7669" s="23"/>
      <c r="C7669" s="23"/>
      <c r="D7669" s="23"/>
      <c r="E7669" s="23"/>
    </row>
    <row r="7670" spans="1:5" x14ac:dyDescent="0.25">
      <c r="A7670" s="22"/>
      <c r="B7670" s="23"/>
      <c r="C7670" s="23"/>
      <c r="D7670" s="23"/>
      <c r="E7670" s="23"/>
    </row>
    <row r="7671" spans="1:5" x14ac:dyDescent="0.25">
      <c r="A7671" s="22"/>
      <c r="B7671" s="23"/>
      <c r="C7671" s="23"/>
      <c r="D7671" s="23"/>
      <c r="E7671" s="23"/>
    </row>
    <row r="7672" spans="1:5" x14ac:dyDescent="0.25">
      <c r="A7672" s="22"/>
      <c r="B7672" s="23"/>
      <c r="C7672" s="23"/>
      <c r="D7672" s="23"/>
      <c r="E7672" s="23"/>
    </row>
    <row r="7673" spans="1:5" x14ac:dyDescent="0.25">
      <c r="A7673" s="22"/>
      <c r="B7673" s="23"/>
      <c r="C7673" s="23"/>
      <c r="D7673" s="23"/>
      <c r="E7673" s="23"/>
    </row>
    <row r="7674" spans="1:5" x14ac:dyDescent="0.25">
      <c r="A7674" s="22"/>
      <c r="B7674" s="23"/>
      <c r="C7674" s="23"/>
      <c r="D7674" s="23"/>
      <c r="E7674" s="23"/>
    </row>
    <row r="7675" spans="1:5" x14ac:dyDescent="0.25">
      <c r="A7675" s="22"/>
      <c r="B7675" s="23"/>
      <c r="C7675" s="23"/>
      <c r="D7675" s="23"/>
      <c r="E7675" s="23"/>
    </row>
    <row r="7676" spans="1:5" x14ac:dyDescent="0.25">
      <c r="A7676" s="22"/>
      <c r="B7676" s="23"/>
      <c r="C7676" s="23"/>
      <c r="D7676" s="23"/>
      <c r="E7676" s="23"/>
    </row>
    <row r="7677" spans="1:5" x14ac:dyDescent="0.25">
      <c r="A7677" s="22"/>
      <c r="B7677" s="23"/>
      <c r="C7677" s="23"/>
      <c r="D7677" s="23"/>
      <c r="E7677" s="23"/>
    </row>
    <row r="7678" spans="1:5" x14ac:dyDescent="0.25">
      <c r="A7678" s="22"/>
      <c r="B7678" s="23"/>
      <c r="C7678" s="23"/>
      <c r="D7678" s="23"/>
      <c r="E7678" s="23"/>
    </row>
    <row r="7679" spans="1:5" x14ac:dyDescent="0.25">
      <c r="A7679" s="22"/>
      <c r="B7679" s="23"/>
      <c r="C7679" s="23"/>
      <c r="D7679" s="23"/>
      <c r="E7679" s="23"/>
    </row>
    <row r="7680" spans="1:5" x14ac:dyDescent="0.25">
      <c r="A7680" s="22"/>
      <c r="B7680" s="23"/>
      <c r="C7680" s="23"/>
      <c r="D7680" s="23"/>
      <c r="E7680" s="23"/>
    </row>
    <row r="7681" spans="1:5" x14ac:dyDescent="0.25">
      <c r="A7681" s="22"/>
      <c r="B7681" s="23"/>
      <c r="C7681" s="23"/>
      <c r="D7681" s="23"/>
      <c r="E7681" s="23"/>
    </row>
    <row r="7682" spans="1:5" x14ac:dyDescent="0.25">
      <c r="A7682" s="22"/>
      <c r="B7682" s="23"/>
      <c r="C7682" s="23"/>
      <c r="D7682" s="23"/>
      <c r="E7682" s="23"/>
    </row>
    <row r="7683" spans="1:5" x14ac:dyDescent="0.25">
      <c r="A7683" s="22"/>
      <c r="B7683" s="23"/>
      <c r="C7683" s="23"/>
      <c r="D7683" s="23"/>
      <c r="E7683" s="23"/>
    </row>
    <row r="7684" spans="1:5" x14ac:dyDescent="0.25">
      <c r="A7684" s="22"/>
      <c r="B7684" s="23"/>
      <c r="C7684" s="23"/>
      <c r="D7684" s="23"/>
      <c r="E7684" s="23"/>
    </row>
    <row r="7685" spans="1:5" x14ac:dyDescent="0.25">
      <c r="A7685" s="22"/>
      <c r="B7685" s="23"/>
      <c r="C7685" s="23"/>
      <c r="D7685" s="23"/>
      <c r="E7685" s="23"/>
    </row>
    <row r="7686" spans="1:5" x14ac:dyDescent="0.25">
      <c r="A7686" s="22"/>
      <c r="B7686" s="23"/>
      <c r="C7686" s="23"/>
      <c r="D7686" s="23"/>
      <c r="E7686" s="23"/>
    </row>
    <row r="7687" spans="1:5" x14ac:dyDescent="0.25">
      <c r="A7687" s="22"/>
      <c r="B7687" s="23"/>
      <c r="C7687" s="23"/>
      <c r="D7687" s="23"/>
      <c r="E7687" s="23"/>
    </row>
    <row r="7688" spans="1:5" x14ac:dyDescent="0.25">
      <c r="A7688" s="22"/>
      <c r="B7688" s="23"/>
      <c r="C7688" s="23"/>
      <c r="D7688" s="23"/>
      <c r="E7688" s="23"/>
    </row>
    <row r="7689" spans="1:5" x14ac:dyDescent="0.25">
      <c r="A7689" s="22"/>
      <c r="B7689" s="23"/>
      <c r="C7689" s="23"/>
      <c r="D7689" s="23"/>
      <c r="E7689" s="23"/>
    </row>
    <row r="7690" spans="1:5" x14ac:dyDescent="0.25">
      <c r="A7690" s="22"/>
      <c r="B7690" s="23"/>
      <c r="C7690" s="23"/>
      <c r="D7690" s="23"/>
      <c r="E7690" s="23"/>
    </row>
    <row r="7691" spans="1:5" x14ac:dyDescent="0.25">
      <c r="A7691" s="22"/>
      <c r="B7691" s="23"/>
      <c r="C7691" s="23"/>
      <c r="D7691" s="23"/>
      <c r="E7691" s="23"/>
    </row>
    <row r="7692" spans="1:5" x14ac:dyDescent="0.25">
      <c r="A7692" s="22"/>
      <c r="B7692" s="23"/>
      <c r="C7692" s="23"/>
      <c r="D7692" s="23"/>
      <c r="E7692" s="23"/>
    </row>
    <row r="7693" spans="1:5" x14ac:dyDescent="0.25">
      <c r="A7693" s="22"/>
      <c r="B7693" s="23"/>
      <c r="C7693" s="23"/>
      <c r="D7693" s="23"/>
      <c r="E7693" s="23"/>
    </row>
    <row r="7694" spans="1:5" x14ac:dyDescent="0.25">
      <c r="A7694" s="22"/>
      <c r="B7694" s="23"/>
      <c r="C7694" s="23"/>
      <c r="D7694" s="23"/>
      <c r="E7694" s="23"/>
    </row>
    <row r="7695" spans="1:5" x14ac:dyDescent="0.25">
      <c r="A7695" s="22"/>
      <c r="B7695" s="23"/>
      <c r="C7695" s="23"/>
      <c r="D7695" s="23"/>
      <c r="E7695" s="23"/>
    </row>
    <row r="7696" spans="1:5" x14ac:dyDescent="0.25">
      <c r="A7696" s="22"/>
      <c r="B7696" s="23"/>
      <c r="C7696" s="23"/>
      <c r="D7696" s="23"/>
      <c r="E7696" s="23"/>
    </row>
    <row r="7697" spans="1:5" x14ac:dyDescent="0.25">
      <c r="A7697" s="22"/>
      <c r="B7697" s="23"/>
      <c r="C7697" s="23"/>
      <c r="D7697" s="23"/>
      <c r="E7697" s="23"/>
    </row>
    <row r="7698" spans="1:5" x14ac:dyDescent="0.25">
      <c r="A7698" s="22"/>
      <c r="B7698" s="23"/>
      <c r="C7698" s="23"/>
      <c r="D7698" s="23"/>
      <c r="E7698" s="23"/>
    </row>
    <row r="7699" spans="1:5" x14ac:dyDescent="0.25">
      <c r="A7699" s="22"/>
      <c r="B7699" s="23"/>
      <c r="C7699" s="23"/>
      <c r="D7699" s="23"/>
      <c r="E7699" s="23"/>
    </row>
    <row r="7700" spans="1:5" x14ac:dyDescent="0.25">
      <c r="A7700" s="22"/>
      <c r="B7700" s="23"/>
      <c r="C7700" s="23"/>
      <c r="D7700" s="23"/>
      <c r="E7700" s="23"/>
    </row>
    <row r="7701" spans="1:5" x14ac:dyDescent="0.25">
      <c r="A7701" s="22"/>
      <c r="B7701" s="23"/>
      <c r="C7701" s="23"/>
      <c r="D7701" s="23"/>
      <c r="E7701" s="23"/>
    </row>
    <row r="7702" spans="1:5" x14ac:dyDescent="0.25">
      <c r="A7702" s="22"/>
      <c r="B7702" s="23"/>
      <c r="C7702" s="23"/>
      <c r="D7702" s="23"/>
      <c r="E7702" s="23"/>
    </row>
    <row r="7703" spans="1:5" x14ac:dyDescent="0.25">
      <c r="A7703" s="22"/>
      <c r="B7703" s="23"/>
      <c r="C7703" s="23"/>
      <c r="D7703" s="23"/>
      <c r="E7703" s="23"/>
    </row>
    <row r="7704" spans="1:5" x14ac:dyDescent="0.25">
      <c r="A7704" s="22"/>
      <c r="B7704" s="23"/>
      <c r="C7704" s="23"/>
      <c r="D7704" s="23"/>
      <c r="E7704" s="23"/>
    </row>
    <row r="7705" spans="1:5" x14ac:dyDescent="0.25">
      <c r="A7705" s="22"/>
      <c r="B7705" s="23"/>
      <c r="C7705" s="23"/>
      <c r="D7705" s="23"/>
      <c r="E7705" s="23"/>
    </row>
    <row r="7706" spans="1:5" x14ac:dyDescent="0.25">
      <c r="A7706" s="22"/>
      <c r="B7706" s="23"/>
      <c r="C7706" s="23"/>
      <c r="D7706" s="23"/>
      <c r="E7706" s="23"/>
    </row>
    <row r="7707" spans="1:5" x14ac:dyDescent="0.25">
      <c r="A7707" s="22"/>
      <c r="B7707" s="23"/>
      <c r="C7707" s="23"/>
      <c r="D7707" s="23"/>
      <c r="E7707" s="23"/>
    </row>
    <row r="7708" spans="1:5" x14ac:dyDescent="0.25">
      <c r="A7708" s="22"/>
      <c r="B7708" s="23"/>
      <c r="C7708" s="23"/>
      <c r="D7708" s="23"/>
      <c r="E7708" s="23"/>
    </row>
    <row r="7709" spans="1:5" x14ac:dyDescent="0.25">
      <c r="A7709" s="22"/>
      <c r="B7709" s="23"/>
      <c r="C7709" s="23"/>
      <c r="D7709" s="23"/>
      <c r="E7709" s="23"/>
    </row>
    <row r="7710" spans="1:5" x14ac:dyDescent="0.25">
      <c r="A7710" s="22"/>
      <c r="B7710" s="23"/>
      <c r="C7710" s="23"/>
      <c r="D7710" s="23"/>
      <c r="E7710" s="23"/>
    </row>
    <row r="7711" spans="1:5" x14ac:dyDescent="0.25">
      <c r="A7711" s="22"/>
      <c r="B7711" s="23"/>
      <c r="C7711" s="23"/>
      <c r="D7711" s="23"/>
      <c r="E7711" s="23"/>
    </row>
    <row r="7712" spans="1:5" x14ac:dyDescent="0.25">
      <c r="A7712" s="22"/>
      <c r="B7712" s="23"/>
      <c r="C7712" s="23"/>
      <c r="D7712" s="23"/>
      <c r="E7712" s="23"/>
    </row>
    <row r="7713" spans="1:5" x14ac:dyDescent="0.25">
      <c r="A7713" s="22"/>
      <c r="B7713" s="23"/>
      <c r="C7713" s="23"/>
      <c r="D7713" s="23"/>
      <c r="E7713" s="23"/>
    </row>
    <row r="7714" spans="1:5" x14ac:dyDescent="0.25">
      <c r="A7714" s="22"/>
      <c r="B7714" s="23"/>
      <c r="C7714" s="23"/>
      <c r="D7714" s="23"/>
      <c r="E7714" s="23"/>
    </row>
    <row r="7715" spans="1:5" x14ac:dyDescent="0.25">
      <c r="A7715" s="22"/>
      <c r="B7715" s="23"/>
      <c r="C7715" s="23"/>
      <c r="D7715" s="23"/>
      <c r="E7715" s="23"/>
    </row>
    <row r="7716" spans="1:5" x14ac:dyDescent="0.25">
      <c r="A7716" s="22"/>
      <c r="B7716" s="23"/>
      <c r="C7716" s="23"/>
      <c r="D7716" s="23"/>
      <c r="E7716" s="23"/>
    </row>
    <row r="7717" spans="1:5" x14ac:dyDescent="0.25">
      <c r="A7717" s="22"/>
      <c r="B7717" s="23"/>
      <c r="C7717" s="23"/>
      <c r="D7717" s="23"/>
      <c r="E7717" s="23"/>
    </row>
    <row r="7718" spans="1:5" x14ac:dyDescent="0.25">
      <c r="A7718" s="22"/>
      <c r="B7718" s="23"/>
      <c r="C7718" s="23"/>
      <c r="D7718" s="23"/>
      <c r="E7718" s="23"/>
    </row>
    <row r="7719" spans="1:5" x14ac:dyDescent="0.25">
      <c r="A7719" s="22"/>
      <c r="B7719" s="23"/>
      <c r="C7719" s="23"/>
      <c r="D7719" s="23"/>
      <c r="E7719" s="23"/>
    </row>
    <row r="7720" spans="1:5" x14ac:dyDescent="0.25">
      <c r="A7720" s="22"/>
      <c r="B7720" s="23"/>
      <c r="C7720" s="23"/>
      <c r="D7720" s="23"/>
      <c r="E7720" s="23"/>
    </row>
    <row r="7721" spans="1:5" x14ac:dyDescent="0.25">
      <c r="A7721" s="22"/>
      <c r="B7721" s="23"/>
      <c r="C7721" s="23"/>
      <c r="D7721" s="23"/>
      <c r="E7721" s="23"/>
    </row>
    <row r="7722" spans="1:5" x14ac:dyDescent="0.25">
      <c r="A7722" s="22"/>
      <c r="B7722" s="23"/>
      <c r="C7722" s="23"/>
      <c r="D7722" s="23"/>
      <c r="E7722" s="23"/>
    </row>
    <row r="7723" spans="1:5" x14ac:dyDescent="0.25">
      <c r="A7723" s="22"/>
      <c r="B7723" s="23"/>
      <c r="C7723" s="23"/>
      <c r="D7723" s="23"/>
      <c r="E7723" s="23"/>
    </row>
    <row r="7724" spans="1:5" x14ac:dyDescent="0.25">
      <c r="A7724" s="22"/>
      <c r="B7724" s="23"/>
      <c r="C7724" s="23"/>
      <c r="D7724" s="23"/>
      <c r="E7724" s="23"/>
    </row>
    <row r="7725" spans="1:5" x14ac:dyDescent="0.25">
      <c r="A7725" s="22"/>
      <c r="B7725" s="23"/>
      <c r="C7725" s="23"/>
      <c r="D7725" s="23"/>
      <c r="E7725" s="23"/>
    </row>
    <row r="7726" spans="1:5" x14ac:dyDescent="0.25">
      <c r="A7726" s="22"/>
      <c r="B7726" s="23"/>
      <c r="C7726" s="23"/>
      <c r="D7726" s="23"/>
      <c r="E7726" s="23"/>
    </row>
    <row r="7727" spans="1:5" x14ac:dyDescent="0.25">
      <c r="A7727" s="22"/>
      <c r="B7727" s="23"/>
      <c r="C7727" s="23"/>
      <c r="D7727" s="23"/>
      <c r="E7727" s="23"/>
    </row>
    <row r="7728" spans="1:5" x14ac:dyDescent="0.25">
      <c r="A7728" s="22"/>
      <c r="B7728" s="23"/>
      <c r="C7728" s="23"/>
      <c r="D7728" s="23"/>
      <c r="E7728" s="23"/>
    </row>
    <row r="7729" spans="1:5" x14ac:dyDescent="0.25">
      <c r="A7729" s="22"/>
      <c r="B7729" s="23"/>
      <c r="C7729" s="23"/>
      <c r="D7729" s="23"/>
      <c r="E7729" s="23"/>
    </row>
    <row r="7730" spans="1:5" x14ac:dyDescent="0.25">
      <c r="A7730" s="22"/>
      <c r="B7730" s="23"/>
      <c r="C7730" s="23"/>
      <c r="D7730" s="23"/>
      <c r="E7730" s="23"/>
    </row>
    <row r="7731" spans="1:5" x14ac:dyDescent="0.25">
      <c r="A7731" s="22"/>
      <c r="B7731" s="23"/>
      <c r="C7731" s="23"/>
      <c r="D7731" s="23"/>
      <c r="E7731" s="23"/>
    </row>
    <row r="7732" spans="1:5" x14ac:dyDescent="0.25">
      <c r="A7732" s="22"/>
      <c r="B7732" s="23"/>
      <c r="C7732" s="23"/>
      <c r="D7732" s="23"/>
      <c r="E7732" s="23"/>
    </row>
    <row r="7733" spans="1:5" x14ac:dyDescent="0.25">
      <c r="A7733" s="22"/>
      <c r="B7733" s="23"/>
      <c r="C7733" s="23"/>
      <c r="D7733" s="23"/>
      <c r="E7733" s="23"/>
    </row>
    <row r="7734" spans="1:5" x14ac:dyDescent="0.25">
      <c r="A7734" s="22"/>
      <c r="B7734" s="23"/>
      <c r="C7734" s="23"/>
      <c r="D7734" s="23"/>
      <c r="E7734" s="23"/>
    </row>
    <row r="7735" spans="1:5" x14ac:dyDescent="0.25">
      <c r="A7735" s="22"/>
      <c r="B7735" s="23"/>
      <c r="C7735" s="23"/>
      <c r="D7735" s="23"/>
      <c r="E7735" s="23"/>
    </row>
    <row r="7736" spans="1:5" x14ac:dyDescent="0.25">
      <c r="A7736" s="22"/>
      <c r="B7736" s="23"/>
      <c r="C7736" s="23"/>
      <c r="D7736" s="23"/>
      <c r="E7736" s="23"/>
    </row>
    <row r="7737" spans="1:5" x14ac:dyDescent="0.25">
      <c r="A7737" s="22"/>
      <c r="B7737" s="23"/>
      <c r="C7737" s="23"/>
      <c r="D7737" s="23"/>
      <c r="E7737" s="23"/>
    </row>
    <row r="7738" spans="1:5" x14ac:dyDescent="0.25">
      <c r="A7738" s="22"/>
      <c r="B7738" s="23"/>
      <c r="C7738" s="23"/>
      <c r="D7738" s="23"/>
      <c r="E7738" s="23"/>
    </row>
    <row r="7739" spans="1:5" x14ac:dyDescent="0.25">
      <c r="A7739" s="22"/>
      <c r="B7739" s="23"/>
      <c r="C7739" s="23"/>
      <c r="D7739" s="23"/>
      <c r="E7739" s="23"/>
    </row>
    <row r="7740" spans="1:5" x14ac:dyDescent="0.25">
      <c r="A7740" s="22"/>
      <c r="B7740" s="23"/>
      <c r="C7740" s="23"/>
      <c r="D7740" s="23"/>
      <c r="E7740" s="23"/>
    </row>
    <row r="7741" spans="1:5" x14ac:dyDescent="0.25">
      <c r="A7741" s="22"/>
      <c r="B7741" s="23"/>
      <c r="C7741" s="23"/>
      <c r="D7741" s="23"/>
      <c r="E7741" s="23"/>
    </row>
    <row r="7742" spans="1:5" x14ac:dyDescent="0.25">
      <c r="A7742" s="22"/>
      <c r="B7742" s="23"/>
      <c r="C7742" s="23"/>
      <c r="D7742" s="23"/>
      <c r="E7742" s="23"/>
    </row>
    <row r="7743" spans="1:5" x14ac:dyDescent="0.25">
      <c r="A7743" s="22"/>
      <c r="B7743" s="23"/>
      <c r="C7743" s="23"/>
      <c r="D7743" s="23"/>
      <c r="E7743" s="23"/>
    </row>
    <row r="7744" spans="1:5" x14ac:dyDescent="0.25">
      <c r="A7744" s="22"/>
      <c r="B7744" s="23"/>
      <c r="C7744" s="23"/>
      <c r="D7744" s="23"/>
      <c r="E7744" s="23"/>
    </row>
    <row r="7745" spans="1:5" x14ac:dyDescent="0.25">
      <c r="A7745" s="22"/>
      <c r="B7745" s="23"/>
      <c r="C7745" s="23"/>
      <c r="D7745" s="23"/>
      <c r="E7745" s="23"/>
    </row>
    <row r="7746" spans="1:5" x14ac:dyDescent="0.25">
      <c r="A7746" s="22"/>
      <c r="B7746" s="23"/>
      <c r="C7746" s="23"/>
      <c r="D7746" s="23"/>
      <c r="E7746" s="23"/>
    </row>
    <row r="7747" spans="1:5" x14ac:dyDescent="0.25">
      <c r="A7747" s="22"/>
      <c r="B7747" s="23"/>
      <c r="C7747" s="23"/>
      <c r="D7747" s="23"/>
      <c r="E7747" s="23"/>
    </row>
    <row r="7748" spans="1:5" x14ac:dyDescent="0.25">
      <c r="A7748" s="22"/>
      <c r="B7748" s="23"/>
      <c r="C7748" s="23"/>
      <c r="D7748" s="23"/>
      <c r="E7748" s="23"/>
    </row>
    <row r="7749" spans="1:5" x14ac:dyDescent="0.25">
      <c r="A7749" s="22"/>
      <c r="B7749" s="23"/>
      <c r="C7749" s="23"/>
      <c r="D7749" s="23"/>
      <c r="E7749" s="23"/>
    </row>
    <row r="7750" spans="1:5" x14ac:dyDescent="0.25">
      <c r="A7750" s="22"/>
      <c r="B7750" s="23"/>
      <c r="C7750" s="23"/>
      <c r="D7750" s="23"/>
      <c r="E7750" s="23"/>
    </row>
    <row r="7751" spans="1:5" x14ac:dyDescent="0.25">
      <c r="A7751" s="22"/>
      <c r="B7751" s="23"/>
      <c r="C7751" s="23"/>
      <c r="D7751" s="23"/>
      <c r="E7751" s="23"/>
    </row>
    <row r="7752" spans="1:5" x14ac:dyDescent="0.25">
      <c r="A7752" s="22"/>
      <c r="B7752" s="23"/>
      <c r="C7752" s="23"/>
      <c r="D7752" s="23"/>
      <c r="E7752" s="23"/>
    </row>
    <row r="7753" spans="1:5" x14ac:dyDescent="0.25">
      <c r="A7753" s="22"/>
      <c r="B7753" s="23"/>
      <c r="C7753" s="23"/>
      <c r="D7753" s="23"/>
      <c r="E7753" s="23"/>
    </row>
    <row r="7754" spans="1:5" x14ac:dyDescent="0.25">
      <c r="A7754" s="22"/>
      <c r="B7754" s="23"/>
      <c r="C7754" s="23"/>
      <c r="D7754" s="23"/>
      <c r="E7754" s="23"/>
    </row>
    <row r="7755" spans="1:5" x14ac:dyDescent="0.25">
      <c r="A7755" s="22"/>
      <c r="B7755" s="23"/>
      <c r="C7755" s="23"/>
      <c r="D7755" s="23"/>
      <c r="E7755" s="23"/>
    </row>
    <row r="7756" spans="1:5" x14ac:dyDescent="0.25">
      <c r="A7756" s="22"/>
      <c r="B7756" s="23"/>
      <c r="C7756" s="23"/>
      <c r="D7756" s="23"/>
      <c r="E7756" s="23"/>
    </row>
    <row r="7757" spans="1:5" x14ac:dyDescent="0.25">
      <c r="A7757" s="22"/>
      <c r="B7757" s="23"/>
      <c r="C7757" s="23"/>
      <c r="D7757" s="23"/>
      <c r="E7757" s="23"/>
    </row>
    <row r="7758" spans="1:5" x14ac:dyDescent="0.25">
      <c r="A7758" s="22"/>
      <c r="B7758" s="23"/>
      <c r="C7758" s="23"/>
      <c r="D7758" s="23"/>
      <c r="E7758" s="23"/>
    </row>
    <row r="7759" spans="1:5" x14ac:dyDescent="0.25">
      <c r="A7759" s="22"/>
      <c r="B7759" s="23"/>
      <c r="C7759" s="23"/>
      <c r="D7759" s="23"/>
      <c r="E7759" s="23"/>
    </row>
    <row r="7760" spans="1:5" x14ac:dyDescent="0.25">
      <c r="A7760" s="22"/>
      <c r="B7760" s="23"/>
      <c r="C7760" s="23"/>
      <c r="D7760" s="23"/>
      <c r="E7760" s="23"/>
    </row>
    <row r="7761" spans="1:5" x14ac:dyDescent="0.25">
      <c r="A7761" s="22"/>
      <c r="B7761" s="23"/>
      <c r="C7761" s="23"/>
      <c r="D7761" s="23"/>
      <c r="E7761" s="23"/>
    </row>
    <row r="7762" spans="1:5" x14ac:dyDescent="0.25">
      <c r="A7762" s="22"/>
      <c r="B7762" s="23"/>
      <c r="C7762" s="23"/>
      <c r="D7762" s="23"/>
      <c r="E7762" s="23"/>
    </row>
    <row r="7763" spans="1:5" x14ac:dyDescent="0.25">
      <c r="A7763" s="22"/>
      <c r="B7763" s="23"/>
      <c r="C7763" s="23"/>
      <c r="D7763" s="23"/>
      <c r="E7763" s="23"/>
    </row>
    <row r="7764" spans="1:5" x14ac:dyDescent="0.25">
      <c r="A7764" s="22"/>
      <c r="B7764" s="23"/>
      <c r="C7764" s="23"/>
      <c r="D7764" s="23"/>
      <c r="E7764" s="23"/>
    </row>
    <row r="7765" spans="1:5" x14ac:dyDescent="0.25">
      <c r="A7765" s="22"/>
      <c r="B7765" s="23"/>
      <c r="C7765" s="23"/>
      <c r="D7765" s="23"/>
      <c r="E7765" s="23"/>
    </row>
    <row r="7766" spans="1:5" x14ac:dyDescent="0.25">
      <c r="A7766" s="22"/>
      <c r="B7766" s="23"/>
      <c r="C7766" s="23"/>
      <c r="D7766" s="23"/>
      <c r="E7766" s="23"/>
    </row>
    <row r="7767" spans="1:5" x14ac:dyDescent="0.25">
      <c r="A7767" s="22"/>
      <c r="B7767" s="23"/>
      <c r="C7767" s="23"/>
      <c r="D7767" s="23"/>
      <c r="E7767" s="23"/>
    </row>
    <row r="7768" spans="1:5" x14ac:dyDescent="0.25">
      <c r="A7768" s="22"/>
      <c r="B7768" s="23"/>
      <c r="C7768" s="23"/>
      <c r="D7768" s="23"/>
      <c r="E7768" s="23"/>
    </row>
    <row r="7769" spans="1:5" x14ac:dyDescent="0.25">
      <c r="A7769" s="22"/>
      <c r="B7769" s="23"/>
      <c r="C7769" s="23"/>
      <c r="D7769" s="23"/>
      <c r="E7769" s="23"/>
    </row>
    <row r="7770" spans="1:5" x14ac:dyDescent="0.25">
      <c r="A7770" s="22"/>
      <c r="B7770" s="23"/>
      <c r="C7770" s="23"/>
      <c r="D7770" s="23"/>
      <c r="E7770" s="23"/>
    </row>
    <row r="7771" spans="1:5" x14ac:dyDescent="0.25">
      <c r="A7771" s="22"/>
      <c r="B7771" s="23"/>
      <c r="C7771" s="23"/>
      <c r="D7771" s="23"/>
      <c r="E7771" s="23"/>
    </row>
    <row r="7772" spans="1:5" x14ac:dyDescent="0.25">
      <c r="A7772" s="22"/>
      <c r="B7772" s="23"/>
      <c r="C7772" s="23"/>
      <c r="D7772" s="23"/>
      <c r="E7772" s="23"/>
    </row>
    <row r="7773" spans="1:5" x14ac:dyDescent="0.25">
      <c r="A7773" s="22"/>
      <c r="B7773" s="23"/>
      <c r="C7773" s="23"/>
      <c r="D7773" s="23"/>
      <c r="E7773" s="23"/>
    </row>
    <row r="7774" spans="1:5" x14ac:dyDescent="0.25">
      <c r="A7774" s="22"/>
      <c r="B7774" s="23"/>
      <c r="C7774" s="23"/>
      <c r="D7774" s="23"/>
      <c r="E7774" s="23"/>
    </row>
    <row r="7775" spans="1:5" x14ac:dyDescent="0.25">
      <c r="A7775" s="22"/>
      <c r="B7775" s="23"/>
      <c r="C7775" s="23"/>
      <c r="D7775" s="23"/>
      <c r="E7775" s="23"/>
    </row>
    <row r="7776" spans="1:5" x14ac:dyDescent="0.25">
      <c r="A7776" s="22"/>
      <c r="B7776" s="23"/>
      <c r="C7776" s="23"/>
      <c r="D7776" s="23"/>
      <c r="E7776" s="23"/>
    </row>
    <row r="7777" spans="1:5" x14ac:dyDescent="0.25">
      <c r="A7777" s="22"/>
      <c r="B7777" s="23"/>
      <c r="C7777" s="23"/>
      <c r="D7777" s="23"/>
      <c r="E7777" s="23"/>
    </row>
    <row r="7778" spans="1:5" x14ac:dyDescent="0.25">
      <c r="A7778" s="22"/>
      <c r="B7778" s="23"/>
      <c r="C7778" s="23"/>
      <c r="D7778" s="23"/>
      <c r="E7778" s="23"/>
    </row>
    <row r="7779" spans="1:5" x14ac:dyDescent="0.25">
      <c r="A7779" s="22"/>
      <c r="B7779" s="23"/>
      <c r="C7779" s="23"/>
      <c r="D7779" s="23"/>
      <c r="E7779" s="23"/>
    </row>
    <row r="7780" spans="1:5" x14ac:dyDescent="0.25">
      <c r="A7780" s="22"/>
      <c r="B7780" s="23"/>
      <c r="C7780" s="23"/>
      <c r="D7780" s="23"/>
      <c r="E7780" s="23"/>
    </row>
    <row r="7781" spans="1:5" x14ac:dyDescent="0.25">
      <c r="A7781" s="22"/>
      <c r="B7781" s="23"/>
      <c r="C7781" s="23"/>
      <c r="D7781" s="23"/>
      <c r="E7781" s="23"/>
    </row>
    <row r="7782" spans="1:5" x14ac:dyDescent="0.25">
      <c r="A7782" s="22"/>
      <c r="B7782" s="23"/>
      <c r="C7782" s="23"/>
      <c r="D7782" s="23"/>
      <c r="E7782" s="23"/>
    </row>
    <row r="7783" spans="1:5" x14ac:dyDescent="0.25">
      <c r="A7783" s="22"/>
      <c r="B7783" s="23"/>
      <c r="C7783" s="23"/>
      <c r="D7783" s="23"/>
      <c r="E7783" s="23"/>
    </row>
    <row r="7784" spans="1:5" x14ac:dyDescent="0.25">
      <c r="A7784" s="22"/>
      <c r="B7784" s="23"/>
      <c r="C7784" s="23"/>
      <c r="D7784" s="23"/>
      <c r="E7784" s="23"/>
    </row>
    <row r="7785" spans="1:5" x14ac:dyDescent="0.25">
      <c r="A7785" s="22"/>
      <c r="B7785" s="23"/>
      <c r="C7785" s="23"/>
      <c r="D7785" s="23"/>
      <c r="E7785" s="23"/>
    </row>
    <row r="7786" spans="1:5" x14ac:dyDescent="0.25">
      <c r="A7786" s="22"/>
      <c r="B7786" s="23"/>
      <c r="C7786" s="23"/>
      <c r="D7786" s="23"/>
      <c r="E7786" s="23"/>
    </row>
    <row r="7787" spans="1:5" x14ac:dyDescent="0.25">
      <c r="A7787" s="22"/>
      <c r="B7787" s="23"/>
      <c r="C7787" s="23"/>
      <c r="D7787" s="23"/>
      <c r="E7787" s="23"/>
    </row>
    <row r="7788" spans="1:5" x14ac:dyDescent="0.25">
      <c r="A7788" s="22"/>
      <c r="B7788" s="23"/>
      <c r="C7788" s="23"/>
      <c r="D7788" s="23"/>
      <c r="E7788" s="23"/>
    </row>
    <row r="7789" spans="1:5" x14ac:dyDescent="0.25">
      <c r="A7789" s="22"/>
      <c r="B7789" s="23"/>
      <c r="C7789" s="23"/>
      <c r="D7789" s="23"/>
      <c r="E7789" s="23"/>
    </row>
    <row r="7790" spans="1:5" x14ac:dyDescent="0.25">
      <c r="A7790" s="22"/>
      <c r="B7790" s="23"/>
      <c r="C7790" s="23"/>
      <c r="D7790" s="23"/>
      <c r="E7790" s="23"/>
    </row>
    <row r="7791" spans="1:5" x14ac:dyDescent="0.25">
      <c r="A7791" s="22"/>
      <c r="B7791" s="23"/>
      <c r="C7791" s="23"/>
      <c r="D7791" s="23"/>
      <c r="E7791" s="23"/>
    </row>
    <row r="7792" spans="1:5" x14ac:dyDescent="0.25">
      <c r="A7792" s="22"/>
      <c r="B7792" s="23"/>
      <c r="C7792" s="23"/>
      <c r="D7792" s="23"/>
      <c r="E7792" s="23"/>
    </row>
    <row r="7793" spans="1:5" x14ac:dyDescent="0.25">
      <c r="A7793" s="22"/>
      <c r="B7793" s="23"/>
      <c r="C7793" s="23"/>
      <c r="D7793" s="23"/>
      <c r="E7793" s="23"/>
    </row>
    <row r="7794" spans="1:5" x14ac:dyDescent="0.25">
      <c r="A7794" s="22"/>
      <c r="B7794" s="23"/>
      <c r="C7794" s="23"/>
      <c r="D7794" s="23"/>
      <c r="E7794" s="23"/>
    </row>
    <row r="7795" spans="1:5" x14ac:dyDescent="0.25">
      <c r="A7795" s="22"/>
      <c r="B7795" s="23"/>
      <c r="C7795" s="23"/>
      <c r="D7795" s="23"/>
      <c r="E7795" s="23"/>
    </row>
    <row r="7796" spans="1:5" x14ac:dyDescent="0.25">
      <c r="A7796" s="22"/>
      <c r="B7796" s="23"/>
      <c r="C7796" s="23"/>
      <c r="D7796" s="23"/>
      <c r="E7796" s="23"/>
    </row>
    <row r="7797" spans="1:5" x14ac:dyDescent="0.25">
      <c r="A7797" s="22"/>
      <c r="B7797" s="23"/>
      <c r="C7797" s="23"/>
      <c r="D7797" s="23"/>
      <c r="E7797" s="23"/>
    </row>
    <row r="7798" spans="1:5" x14ac:dyDescent="0.25">
      <c r="A7798" s="22"/>
      <c r="B7798" s="23"/>
      <c r="C7798" s="23"/>
      <c r="D7798" s="23"/>
      <c r="E7798" s="23"/>
    </row>
    <row r="7799" spans="1:5" x14ac:dyDescent="0.25">
      <c r="A7799" s="22"/>
      <c r="B7799" s="23"/>
      <c r="C7799" s="23"/>
      <c r="D7799" s="23"/>
      <c r="E7799" s="23"/>
    </row>
    <row r="7800" spans="1:5" x14ac:dyDescent="0.25">
      <c r="A7800" s="22"/>
      <c r="B7800" s="23"/>
      <c r="C7800" s="23"/>
      <c r="D7800" s="23"/>
      <c r="E7800" s="23"/>
    </row>
    <row r="7801" spans="1:5" x14ac:dyDescent="0.25">
      <c r="A7801" s="22"/>
      <c r="B7801" s="23"/>
      <c r="C7801" s="23"/>
      <c r="D7801" s="23"/>
      <c r="E7801" s="23"/>
    </row>
    <row r="7802" spans="1:5" x14ac:dyDescent="0.25">
      <c r="A7802" s="22"/>
      <c r="B7802" s="23"/>
      <c r="C7802" s="23"/>
      <c r="D7802" s="23"/>
      <c r="E7802" s="23"/>
    </row>
    <row r="7803" spans="1:5" x14ac:dyDescent="0.25">
      <c r="A7803" s="22"/>
      <c r="B7803" s="23"/>
      <c r="C7803" s="23"/>
      <c r="D7803" s="23"/>
      <c r="E7803" s="23"/>
    </row>
    <row r="7804" spans="1:5" x14ac:dyDescent="0.25">
      <c r="A7804" s="22"/>
      <c r="B7804" s="23"/>
      <c r="C7804" s="23"/>
      <c r="D7804" s="23"/>
      <c r="E7804" s="23"/>
    </row>
    <row r="7805" spans="1:5" x14ac:dyDescent="0.25">
      <c r="A7805" s="22"/>
      <c r="B7805" s="23"/>
      <c r="C7805" s="23"/>
      <c r="D7805" s="23"/>
      <c r="E7805" s="23"/>
    </row>
    <row r="7806" spans="1:5" x14ac:dyDescent="0.25">
      <c r="A7806" s="22"/>
      <c r="B7806" s="23"/>
      <c r="C7806" s="23"/>
      <c r="D7806" s="23"/>
      <c r="E7806" s="23"/>
    </row>
    <row r="7807" spans="1:5" x14ac:dyDescent="0.25">
      <c r="A7807" s="22"/>
      <c r="B7807" s="23"/>
      <c r="C7807" s="23"/>
      <c r="D7807" s="23"/>
      <c r="E7807" s="23"/>
    </row>
    <row r="7808" spans="1:5" x14ac:dyDescent="0.25">
      <c r="A7808" s="22"/>
      <c r="B7808" s="23"/>
      <c r="C7808" s="23"/>
      <c r="D7808" s="23"/>
      <c r="E7808" s="23"/>
    </row>
    <row r="7809" spans="1:5" x14ac:dyDescent="0.25">
      <c r="A7809" s="22"/>
      <c r="B7809" s="23"/>
      <c r="C7809" s="23"/>
      <c r="D7809" s="23"/>
      <c r="E7809" s="23"/>
    </row>
    <row r="7810" spans="1:5" x14ac:dyDescent="0.25">
      <c r="A7810" s="22"/>
      <c r="B7810" s="23"/>
      <c r="C7810" s="23"/>
      <c r="D7810" s="23"/>
      <c r="E7810" s="23"/>
    </row>
    <row r="7811" spans="1:5" x14ac:dyDescent="0.25">
      <c r="A7811" s="22"/>
      <c r="B7811" s="23"/>
      <c r="C7811" s="23"/>
      <c r="D7811" s="23"/>
      <c r="E7811" s="23"/>
    </row>
    <row r="7812" spans="1:5" x14ac:dyDescent="0.25">
      <c r="A7812" s="22"/>
      <c r="B7812" s="23"/>
      <c r="C7812" s="23"/>
      <c r="D7812" s="23"/>
      <c r="E7812" s="23"/>
    </row>
    <row r="7813" spans="1:5" x14ac:dyDescent="0.25">
      <c r="A7813" s="22"/>
      <c r="B7813" s="23"/>
      <c r="C7813" s="23"/>
      <c r="D7813" s="23"/>
      <c r="E7813" s="23"/>
    </row>
    <row r="7814" spans="1:5" x14ac:dyDescent="0.25">
      <c r="A7814" s="22"/>
      <c r="B7814" s="23"/>
      <c r="C7814" s="23"/>
      <c r="D7814" s="23"/>
      <c r="E7814" s="23"/>
    </row>
    <row r="7815" spans="1:5" x14ac:dyDescent="0.25">
      <c r="A7815" s="22"/>
      <c r="B7815" s="23"/>
      <c r="C7815" s="23"/>
      <c r="D7815" s="23"/>
      <c r="E7815" s="23"/>
    </row>
    <row r="7816" spans="1:5" x14ac:dyDescent="0.25">
      <c r="A7816" s="22"/>
      <c r="B7816" s="23"/>
      <c r="C7816" s="23"/>
      <c r="D7816" s="23"/>
      <c r="E7816" s="23"/>
    </row>
    <row r="7817" spans="1:5" x14ac:dyDescent="0.25">
      <c r="A7817" s="22"/>
      <c r="B7817" s="23"/>
      <c r="C7817" s="23"/>
      <c r="D7817" s="23"/>
      <c r="E7817" s="23"/>
    </row>
    <row r="7818" spans="1:5" x14ac:dyDescent="0.25">
      <c r="A7818" s="22"/>
      <c r="B7818" s="23"/>
      <c r="C7818" s="23"/>
      <c r="D7818" s="23"/>
      <c r="E7818" s="23"/>
    </row>
    <row r="7819" spans="1:5" x14ac:dyDescent="0.25">
      <c r="A7819" s="22"/>
      <c r="B7819" s="23"/>
      <c r="C7819" s="23"/>
      <c r="D7819" s="23"/>
      <c r="E7819" s="23"/>
    </row>
    <row r="7820" spans="1:5" x14ac:dyDescent="0.25">
      <c r="A7820" s="22"/>
      <c r="B7820" s="23"/>
      <c r="C7820" s="23"/>
      <c r="D7820" s="23"/>
      <c r="E7820" s="23"/>
    </row>
    <row r="7821" spans="1:5" x14ac:dyDescent="0.25">
      <c r="A7821" s="22"/>
      <c r="B7821" s="23"/>
      <c r="C7821" s="23"/>
      <c r="D7821" s="23"/>
      <c r="E7821" s="23"/>
    </row>
    <row r="7822" spans="1:5" x14ac:dyDescent="0.25">
      <c r="A7822" s="22"/>
      <c r="B7822" s="23"/>
      <c r="C7822" s="23"/>
      <c r="D7822" s="23"/>
      <c r="E7822" s="23"/>
    </row>
    <row r="7823" spans="1:5" x14ac:dyDescent="0.25">
      <c r="A7823" s="22"/>
      <c r="B7823" s="23"/>
      <c r="C7823" s="23"/>
      <c r="D7823" s="23"/>
      <c r="E7823" s="23"/>
    </row>
    <row r="7824" spans="1:5" x14ac:dyDescent="0.25">
      <c r="A7824" s="22"/>
      <c r="B7824" s="23"/>
      <c r="C7824" s="23"/>
      <c r="D7824" s="23"/>
      <c r="E7824" s="23"/>
    </row>
    <row r="7825" spans="1:5" x14ac:dyDescent="0.25">
      <c r="A7825" s="22"/>
      <c r="B7825" s="23"/>
      <c r="C7825" s="23"/>
      <c r="D7825" s="23"/>
      <c r="E7825" s="23"/>
    </row>
    <row r="7826" spans="1:5" x14ac:dyDescent="0.25">
      <c r="A7826" s="22"/>
      <c r="B7826" s="23"/>
      <c r="C7826" s="23"/>
      <c r="D7826" s="23"/>
      <c r="E7826" s="23"/>
    </row>
    <row r="7827" spans="1:5" x14ac:dyDescent="0.25">
      <c r="A7827" s="22"/>
      <c r="B7827" s="23"/>
      <c r="C7827" s="23"/>
      <c r="D7827" s="23"/>
      <c r="E7827" s="23"/>
    </row>
    <row r="7828" spans="1:5" x14ac:dyDescent="0.25">
      <c r="A7828" s="22"/>
      <c r="B7828" s="23"/>
      <c r="C7828" s="23"/>
      <c r="D7828" s="23"/>
      <c r="E7828" s="23"/>
    </row>
    <row r="7829" spans="1:5" x14ac:dyDescent="0.25">
      <c r="A7829" s="22"/>
      <c r="B7829" s="23"/>
      <c r="C7829" s="23"/>
      <c r="D7829" s="23"/>
      <c r="E7829" s="23"/>
    </row>
    <row r="7830" spans="1:5" x14ac:dyDescent="0.25">
      <c r="A7830" s="22"/>
      <c r="B7830" s="23"/>
      <c r="C7830" s="23"/>
      <c r="D7830" s="23"/>
      <c r="E7830" s="23"/>
    </row>
    <row r="7831" spans="1:5" x14ac:dyDescent="0.25">
      <c r="A7831" s="22"/>
      <c r="B7831" s="23"/>
      <c r="C7831" s="23"/>
      <c r="D7831" s="23"/>
      <c r="E7831" s="23"/>
    </row>
    <row r="7832" spans="1:5" x14ac:dyDescent="0.25">
      <c r="A7832" s="22"/>
      <c r="B7832" s="23"/>
      <c r="C7832" s="23"/>
      <c r="D7832" s="23"/>
      <c r="E7832" s="23"/>
    </row>
    <row r="7833" spans="1:5" x14ac:dyDescent="0.25">
      <c r="A7833" s="22"/>
      <c r="B7833" s="23"/>
      <c r="C7833" s="23"/>
      <c r="D7833" s="23"/>
      <c r="E7833" s="23"/>
    </row>
    <row r="7834" spans="1:5" x14ac:dyDescent="0.25">
      <c r="A7834" s="22"/>
      <c r="B7834" s="23"/>
      <c r="C7834" s="23"/>
      <c r="D7834" s="23"/>
      <c r="E7834" s="23"/>
    </row>
    <row r="7835" spans="1:5" x14ac:dyDescent="0.25">
      <c r="A7835" s="22"/>
      <c r="B7835" s="23"/>
      <c r="C7835" s="23"/>
      <c r="D7835" s="23"/>
      <c r="E7835" s="23"/>
    </row>
    <row r="7836" spans="1:5" x14ac:dyDescent="0.25">
      <c r="A7836" s="22"/>
      <c r="B7836" s="23"/>
      <c r="C7836" s="23"/>
      <c r="D7836" s="23"/>
      <c r="E7836" s="23"/>
    </row>
    <row r="7837" spans="1:5" x14ac:dyDescent="0.25">
      <c r="A7837" s="22"/>
      <c r="B7837" s="23"/>
      <c r="C7837" s="23"/>
      <c r="D7837" s="23"/>
      <c r="E7837" s="23"/>
    </row>
    <row r="7838" spans="1:5" x14ac:dyDescent="0.25">
      <c r="A7838" s="22"/>
      <c r="B7838" s="23"/>
      <c r="C7838" s="23"/>
      <c r="D7838" s="23"/>
      <c r="E7838" s="23"/>
    </row>
    <row r="7839" spans="1:5" x14ac:dyDescent="0.25">
      <c r="A7839" s="22"/>
      <c r="B7839" s="23"/>
      <c r="C7839" s="23"/>
      <c r="D7839" s="23"/>
      <c r="E7839" s="23"/>
    </row>
    <row r="7840" spans="1:5" x14ac:dyDescent="0.25">
      <c r="A7840" s="22"/>
      <c r="B7840" s="23"/>
      <c r="C7840" s="23"/>
      <c r="D7840" s="23"/>
      <c r="E7840" s="23"/>
    </row>
    <row r="7841" spans="1:5" x14ac:dyDescent="0.25">
      <c r="A7841" s="22"/>
      <c r="B7841" s="23"/>
      <c r="C7841" s="23"/>
      <c r="D7841" s="23"/>
      <c r="E7841" s="23"/>
    </row>
    <row r="7842" spans="1:5" x14ac:dyDescent="0.25">
      <c r="A7842" s="22"/>
      <c r="B7842" s="23"/>
      <c r="C7842" s="23"/>
      <c r="D7842" s="23"/>
      <c r="E7842" s="23"/>
    </row>
    <row r="7843" spans="1:5" x14ac:dyDescent="0.25">
      <c r="A7843" s="22"/>
      <c r="B7843" s="23"/>
      <c r="C7843" s="23"/>
      <c r="D7843" s="23"/>
      <c r="E7843" s="23"/>
    </row>
    <row r="7844" spans="1:5" x14ac:dyDescent="0.25">
      <c r="A7844" s="22"/>
      <c r="B7844" s="23"/>
      <c r="C7844" s="23"/>
      <c r="D7844" s="23"/>
      <c r="E7844" s="23"/>
    </row>
    <row r="7845" spans="1:5" x14ac:dyDescent="0.25">
      <c r="A7845" s="22"/>
      <c r="B7845" s="23"/>
      <c r="C7845" s="23"/>
      <c r="D7845" s="23"/>
      <c r="E7845" s="23"/>
    </row>
    <row r="7846" spans="1:5" x14ac:dyDescent="0.25">
      <c r="A7846" s="22"/>
      <c r="B7846" s="23"/>
      <c r="C7846" s="23"/>
      <c r="D7846" s="23"/>
      <c r="E7846" s="23"/>
    </row>
    <row r="7847" spans="1:5" x14ac:dyDescent="0.25">
      <c r="A7847" s="22"/>
      <c r="B7847" s="23"/>
      <c r="C7847" s="23"/>
      <c r="D7847" s="23"/>
      <c r="E7847" s="23"/>
    </row>
    <row r="7848" spans="1:5" x14ac:dyDescent="0.25">
      <c r="A7848" s="22"/>
      <c r="B7848" s="23"/>
      <c r="C7848" s="23"/>
      <c r="D7848" s="23"/>
      <c r="E7848" s="23"/>
    </row>
    <row r="7849" spans="1:5" x14ac:dyDescent="0.25">
      <c r="A7849" s="22"/>
      <c r="B7849" s="23"/>
      <c r="C7849" s="23"/>
      <c r="D7849" s="23"/>
      <c r="E7849" s="23"/>
    </row>
    <row r="7850" spans="1:5" x14ac:dyDescent="0.25">
      <c r="A7850" s="22"/>
      <c r="B7850" s="23"/>
      <c r="C7850" s="23"/>
      <c r="D7850" s="23"/>
      <c r="E7850" s="23"/>
    </row>
    <row r="7851" spans="1:5" x14ac:dyDescent="0.25">
      <c r="A7851" s="22"/>
      <c r="B7851" s="23"/>
      <c r="C7851" s="23"/>
      <c r="D7851" s="23"/>
      <c r="E7851" s="23"/>
    </row>
    <row r="7852" spans="1:5" x14ac:dyDescent="0.25">
      <c r="A7852" s="22"/>
      <c r="B7852" s="23"/>
      <c r="C7852" s="23"/>
      <c r="D7852" s="23"/>
      <c r="E7852" s="23"/>
    </row>
    <row r="7853" spans="1:5" x14ac:dyDescent="0.25">
      <c r="A7853" s="22"/>
      <c r="B7853" s="23"/>
      <c r="C7853" s="23"/>
      <c r="D7853" s="23"/>
      <c r="E7853" s="23"/>
    </row>
    <row r="7854" spans="1:5" x14ac:dyDescent="0.25">
      <c r="A7854" s="22"/>
      <c r="B7854" s="23"/>
      <c r="C7854" s="23"/>
      <c r="D7854" s="23"/>
      <c r="E7854" s="23"/>
    </row>
    <row r="7855" spans="1:5" x14ac:dyDescent="0.25">
      <c r="A7855" s="22"/>
      <c r="B7855" s="23"/>
      <c r="C7855" s="23"/>
      <c r="D7855" s="23"/>
      <c r="E7855" s="23"/>
    </row>
    <row r="7856" spans="1:5" x14ac:dyDescent="0.25">
      <c r="A7856" s="22"/>
      <c r="B7856" s="23"/>
      <c r="C7856" s="23"/>
      <c r="D7856" s="23"/>
      <c r="E7856" s="23"/>
    </row>
    <row r="7857" spans="1:5" x14ac:dyDescent="0.25">
      <c r="A7857" s="22"/>
      <c r="B7857" s="23"/>
      <c r="C7857" s="23"/>
      <c r="D7857" s="23"/>
      <c r="E7857" s="23"/>
    </row>
    <row r="7858" spans="1:5" x14ac:dyDescent="0.25">
      <c r="A7858" s="22"/>
      <c r="B7858" s="23"/>
      <c r="C7858" s="23"/>
      <c r="D7858" s="23"/>
      <c r="E7858" s="23"/>
    </row>
    <row r="7859" spans="1:5" x14ac:dyDescent="0.25">
      <c r="A7859" s="22"/>
      <c r="B7859" s="23"/>
      <c r="C7859" s="23"/>
      <c r="D7859" s="23"/>
      <c r="E7859" s="23"/>
    </row>
    <row r="7860" spans="1:5" x14ac:dyDescent="0.25">
      <c r="A7860" s="22"/>
      <c r="B7860" s="23"/>
      <c r="C7860" s="23"/>
      <c r="D7860" s="23"/>
      <c r="E7860" s="23"/>
    </row>
    <row r="7861" spans="1:5" x14ac:dyDescent="0.25">
      <c r="A7861" s="22"/>
      <c r="B7861" s="23"/>
      <c r="C7861" s="23"/>
      <c r="D7861" s="23"/>
      <c r="E7861" s="23"/>
    </row>
    <row r="7862" spans="1:5" x14ac:dyDescent="0.25">
      <c r="A7862" s="22"/>
      <c r="B7862" s="23"/>
      <c r="C7862" s="23"/>
      <c r="D7862" s="23"/>
      <c r="E7862" s="23"/>
    </row>
    <row r="7863" spans="1:5" x14ac:dyDescent="0.25">
      <c r="A7863" s="22"/>
      <c r="B7863" s="23"/>
      <c r="C7863" s="23"/>
      <c r="D7863" s="23"/>
      <c r="E7863" s="23"/>
    </row>
    <row r="7864" spans="1:5" x14ac:dyDescent="0.25">
      <c r="A7864" s="22"/>
      <c r="B7864" s="23"/>
      <c r="C7864" s="23"/>
      <c r="D7864" s="23"/>
      <c r="E7864" s="23"/>
    </row>
    <row r="7865" spans="1:5" x14ac:dyDescent="0.25">
      <c r="A7865" s="22"/>
      <c r="B7865" s="23"/>
      <c r="C7865" s="23"/>
      <c r="D7865" s="23"/>
      <c r="E7865" s="23"/>
    </row>
    <row r="7866" spans="1:5" x14ac:dyDescent="0.25">
      <c r="A7866" s="22"/>
      <c r="B7866" s="23"/>
      <c r="C7866" s="23"/>
      <c r="D7866" s="23"/>
      <c r="E7866" s="23"/>
    </row>
    <row r="7867" spans="1:5" x14ac:dyDescent="0.25">
      <c r="A7867" s="22"/>
      <c r="B7867" s="23"/>
      <c r="C7867" s="23"/>
      <c r="D7867" s="23"/>
      <c r="E7867" s="23"/>
    </row>
    <row r="7868" spans="1:5" x14ac:dyDescent="0.25">
      <c r="A7868" s="22"/>
      <c r="B7868" s="23"/>
      <c r="C7868" s="23"/>
      <c r="D7868" s="23"/>
      <c r="E7868" s="23"/>
    </row>
    <row r="7869" spans="1:5" x14ac:dyDescent="0.25">
      <c r="A7869" s="22"/>
      <c r="B7869" s="23"/>
      <c r="C7869" s="23"/>
      <c r="D7869" s="23"/>
      <c r="E7869" s="23"/>
    </row>
    <row r="7870" spans="1:5" x14ac:dyDescent="0.25">
      <c r="A7870" s="22"/>
      <c r="B7870" s="23"/>
      <c r="C7870" s="23"/>
      <c r="D7870" s="23"/>
      <c r="E7870" s="23"/>
    </row>
    <row r="7871" spans="1:5" x14ac:dyDescent="0.25">
      <c r="A7871" s="22"/>
      <c r="B7871" s="23"/>
      <c r="C7871" s="23"/>
      <c r="D7871" s="23"/>
      <c r="E7871" s="23"/>
    </row>
    <row r="7872" spans="1:5" x14ac:dyDescent="0.25">
      <c r="A7872" s="22"/>
      <c r="B7872" s="23"/>
      <c r="C7872" s="23"/>
      <c r="D7872" s="23"/>
      <c r="E7872" s="23"/>
    </row>
    <row r="7873" spans="1:5" x14ac:dyDescent="0.25">
      <c r="A7873" s="22"/>
      <c r="B7873" s="23"/>
      <c r="C7873" s="23"/>
      <c r="D7873" s="23"/>
      <c r="E7873" s="23"/>
    </row>
    <row r="7874" spans="1:5" x14ac:dyDescent="0.25">
      <c r="A7874" s="22"/>
      <c r="B7874" s="23"/>
      <c r="C7874" s="23"/>
      <c r="D7874" s="23"/>
      <c r="E7874" s="23"/>
    </row>
    <row r="7875" spans="1:5" x14ac:dyDescent="0.25">
      <c r="A7875" s="22"/>
      <c r="B7875" s="23"/>
      <c r="C7875" s="23"/>
      <c r="D7875" s="23"/>
      <c r="E7875" s="23"/>
    </row>
    <row r="7876" spans="1:5" x14ac:dyDescent="0.25">
      <c r="A7876" s="22"/>
      <c r="B7876" s="23"/>
      <c r="C7876" s="23"/>
      <c r="D7876" s="23"/>
      <c r="E7876" s="23"/>
    </row>
    <row r="7877" spans="1:5" x14ac:dyDescent="0.25">
      <c r="A7877" s="22"/>
      <c r="B7877" s="23"/>
      <c r="C7877" s="23"/>
      <c r="D7877" s="23"/>
      <c r="E7877" s="23"/>
    </row>
    <row r="7878" spans="1:5" x14ac:dyDescent="0.25">
      <c r="A7878" s="22"/>
      <c r="B7878" s="23"/>
      <c r="C7878" s="23"/>
      <c r="D7878" s="23"/>
      <c r="E7878" s="23"/>
    </row>
    <row r="7879" spans="1:5" x14ac:dyDescent="0.25">
      <c r="A7879" s="22"/>
      <c r="B7879" s="23"/>
      <c r="C7879" s="23"/>
      <c r="D7879" s="23"/>
      <c r="E7879" s="23"/>
    </row>
    <row r="7880" spans="1:5" x14ac:dyDescent="0.25">
      <c r="A7880" s="22"/>
      <c r="B7880" s="23"/>
      <c r="C7880" s="23"/>
      <c r="D7880" s="23"/>
      <c r="E7880" s="23"/>
    </row>
    <row r="7881" spans="1:5" x14ac:dyDescent="0.25">
      <c r="A7881" s="22"/>
      <c r="B7881" s="23"/>
      <c r="C7881" s="23"/>
      <c r="D7881" s="23"/>
      <c r="E7881" s="23"/>
    </row>
    <row r="7882" spans="1:5" x14ac:dyDescent="0.25">
      <c r="A7882" s="22"/>
      <c r="B7882" s="23"/>
      <c r="C7882" s="23"/>
      <c r="D7882" s="23"/>
      <c r="E7882" s="23"/>
    </row>
    <row r="7883" spans="1:5" x14ac:dyDescent="0.25">
      <c r="A7883" s="22"/>
      <c r="B7883" s="23"/>
      <c r="C7883" s="23"/>
      <c r="D7883" s="23"/>
      <c r="E7883" s="23"/>
    </row>
    <row r="7884" spans="1:5" x14ac:dyDescent="0.25">
      <c r="A7884" s="22"/>
      <c r="B7884" s="23"/>
      <c r="C7884" s="23"/>
      <c r="D7884" s="23"/>
      <c r="E7884" s="23"/>
    </row>
    <row r="7885" spans="1:5" x14ac:dyDescent="0.25">
      <c r="A7885" s="22"/>
      <c r="B7885" s="23"/>
      <c r="C7885" s="23"/>
      <c r="D7885" s="23"/>
      <c r="E7885" s="23"/>
    </row>
    <row r="7886" spans="1:5" x14ac:dyDescent="0.25">
      <c r="A7886" s="22"/>
      <c r="B7886" s="23"/>
      <c r="C7886" s="23"/>
      <c r="D7886" s="23"/>
      <c r="E7886" s="23"/>
    </row>
    <row r="7887" spans="1:5" x14ac:dyDescent="0.25">
      <c r="A7887" s="22"/>
      <c r="B7887" s="23"/>
      <c r="C7887" s="23"/>
      <c r="D7887" s="23"/>
      <c r="E7887" s="23"/>
    </row>
    <row r="7888" spans="1:5" x14ac:dyDescent="0.25">
      <c r="A7888" s="22"/>
      <c r="B7888" s="23"/>
      <c r="C7888" s="23"/>
      <c r="D7888" s="23"/>
      <c r="E7888" s="23"/>
    </row>
    <row r="7889" spans="1:5" x14ac:dyDescent="0.25">
      <c r="A7889" s="22"/>
      <c r="B7889" s="23"/>
      <c r="C7889" s="23"/>
      <c r="D7889" s="23"/>
      <c r="E7889" s="23"/>
    </row>
    <row r="7890" spans="1:5" x14ac:dyDescent="0.25">
      <c r="A7890" s="22"/>
      <c r="B7890" s="23"/>
      <c r="C7890" s="23"/>
      <c r="D7890" s="23"/>
      <c r="E7890" s="23"/>
    </row>
    <row r="7891" spans="1:5" x14ac:dyDescent="0.25">
      <c r="A7891" s="22"/>
      <c r="B7891" s="23"/>
      <c r="C7891" s="23"/>
      <c r="D7891" s="23"/>
      <c r="E7891" s="23"/>
    </row>
    <row r="7892" spans="1:5" x14ac:dyDescent="0.25">
      <c r="A7892" s="22"/>
      <c r="B7892" s="23"/>
      <c r="C7892" s="23"/>
      <c r="D7892" s="23"/>
      <c r="E7892" s="23"/>
    </row>
    <row r="7893" spans="1:5" x14ac:dyDescent="0.25">
      <c r="A7893" s="22"/>
      <c r="B7893" s="23"/>
      <c r="C7893" s="23"/>
      <c r="D7893" s="23"/>
      <c r="E7893" s="23"/>
    </row>
    <row r="7894" spans="1:5" x14ac:dyDescent="0.25">
      <c r="A7894" s="22"/>
      <c r="B7894" s="23"/>
      <c r="C7894" s="23"/>
      <c r="D7894" s="23"/>
      <c r="E7894" s="23"/>
    </row>
    <row r="7895" spans="1:5" x14ac:dyDescent="0.25">
      <c r="A7895" s="22"/>
      <c r="B7895" s="23"/>
      <c r="C7895" s="23"/>
      <c r="D7895" s="23"/>
      <c r="E7895" s="23"/>
    </row>
    <row r="7896" spans="1:5" x14ac:dyDescent="0.25">
      <c r="A7896" s="22"/>
      <c r="B7896" s="23"/>
      <c r="C7896" s="23"/>
      <c r="D7896" s="23"/>
      <c r="E7896" s="23"/>
    </row>
    <row r="7897" spans="1:5" x14ac:dyDescent="0.25">
      <c r="A7897" s="22"/>
      <c r="B7897" s="23"/>
      <c r="C7897" s="23"/>
      <c r="D7897" s="23"/>
      <c r="E7897" s="23"/>
    </row>
    <row r="7898" spans="1:5" x14ac:dyDescent="0.25">
      <c r="A7898" s="22"/>
      <c r="B7898" s="23"/>
      <c r="C7898" s="23"/>
      <c r="D7898" s="23"/>
      <c r="E7898" s="23"/>
    </row>
    <row r="7899" spans="1:5" x14ac:dyDescent="0.25">
      <c r="A7899" s="22"/>
      <c r="B7899" s="23"/>
      <c r="C7899" s="23"/>
      <c r="D7899" s="23"/>
      <c r="E7899" s="23"/>
    </row>
    <row r="7900" spans="1:5" x14ac:dyDescent="0.25">
      <c r="A7900" s="22"/>
      <c r="B7900" s="23"/>
      <c r="C7900" s="23"/>
      <c r="D7900" s="23"/>
      <c r="E7900" s="23"/>
    </row>
    <row r="7901" spans="1:5" x14ac:dyDescent="0.25">
      <c r="A7901" s="22"/>
      <c r="B7901" s="23"/>
      <c r="C7901" s="23"/>
      <c r="D7901" s="23"/>
      <c r="E7901" s="23"/>
    </row>
    <row r="7902" spans="1:5" x14ac:dyDescent="0.25">
      <c r="A7902" s="22"/>
      <c r="B7902" s="23"/>
      <c r="C7902" s="23"/>
      <c r="D7902" s="23"/>
      <c r="E7902" s="23"/>
    </row>
    <row r="7903" spans="1:5" x14ac:dyDescent="0.25">
      <c r="A7903" s="22"/>
      <c r="B7903" s="23"/>
      <c r="C7903" s="23"/>
      <c r="D7903" s="23"/>
      <c r="E7903" s="23"/>
    </row>
    <row r="7904" spans="1:5" x14ac:dyDescent="0.25">
      <c r="A7904" s="22"/>
      <c r="B7904" s="23"/>
      <c r="C7904" s="23"/>
      <c r="D7904" s="23"/>
      <c r="E7904" s="23"/>
    </row>
    <row r="7905" spans="1:5" x14ac:dyDescent="0.25">
      <c r="A7905" s="22"/>
      <c r="B7905" s="23"/>
      <c r="C7905" s="23"/>
      <c r="D7905" s="23"/>
      <c r="E7905" s="23"/>
    </row>
    <row r="7906" spans="1:5" x14ac:dyDescent="0.25">
      <c r="A7906" s="22"/>
      <c r="B7906" s="23"/>
      <c r="C7906" s="23"/>
      <c r="D7906" s="23"/>
      <c r="E7906" s="23"/>
    </row>
    <row r="7907" spans="1:5" x14ac:dyDescent="0.25">
      <c r="A7907" s="22"/>
      <c r="B7907" s="23"/>
      <c r="C7907" s="23"/>
      <c r="D7907" s="23"/>
      <c r="E7907" s="23"/>
    </row>
    <row r="7908" spans="1:5" x14ac:dyDescent="0.25">
      <c r="A7908" s="22"/>
      <c r="B7908" s="23"/>
      <c r="C7908" s="23"/>
      <c r="D7908" s="23"/>
      <c r="E7908" s="23"/>
    </row>
    <row r="7909" spans="1:5" x14ac:dyDescent="0.25">
      <c r="A7909" s="22"/>
      <c r="B7909" s="23"/>
      <c r="C7909" s="23"/>
      <c r="D7909" s="23"/>
      <c r="E7909" s="23"/>
    </row>
    <row r="7910" spans="1:5" x14ac:dyDescent="0.25">
      <c r="A7910" s="22"/>
      <c r="B7910" s="23"/>
      <c r="C7910" s="23"/>
      <c r="D7910" s="23"/>
      <c r="E7910" s="23"/>
    </row>
    <row r="7911" spans="1:5" x14ac:dyDescent="0.25">
      <c r="A7911" s="22"/>
      <c r="B7911" s="23"/>
      <c r="C7911" s="23"/>
      <c r="D7911" s="23"/>
      <c r="E7911" s="23"/>
    </row>
    <row r="7912" spans="1:5" x14ac:dyDescent="0.25">
      <c r="A7912" s="22"/>
      <c r="B7912" s="23"/>
      <c r="C7912" s="23"/>
      <c r="D7912" s="23"/>
      <c r="E7912" s="23"/>
    </row>
    <row r="7913" spans="1:5" x14ac:dyDescent="0.25">
      <c r="A7913" s="22"/>
      <c r="B7913" s="23"/>
      <c r="C7913" s="23"/>
      <c r="D7913" s="23"/>
      <c r="E7913" s="23"/>
    </row>
    <row r="7914" spans="1:5" x14ac:dyDescent="0.25">
      <c r="A7914" s="22"/>
      <c r="B7914" s="23"/>
      <c r="C7914" s="23"/>
      <c r="D7914" s="23"/>
      <c r="E7914" s="23"/>
    </row>
    <row r="7915" spans="1:5" x14ac:dyDescent="0.25">
      <c r="A7915" s="22"/>
      <c r="B7915" s="23"/>
      <c r="C7915" s="23"/>
      <c r="D7915" s="23"/>
      <c r="E7915" s="23"/>
    </row>
    <row r="7916" spans="1:5" x14ac:dyDescent="0.25">
      <c r="A7916" s="22"/>
      <c r="B7916" s="23"/>
      <c r="C7916" s="23"/>
      <c r="D7916" s="23"/>
      <c r="E7916" s="23"/>
    </row>
    <row r="7917" spans="1:5" x14ac:dyDescent="0.25">
      <c r="A7917" s="22"/>
      <c r="B7917" s="23"/>
      <c r="C7917" s="23"/>
      <c r="D7917" s="23"/>
      <c r="E7917" s="23"/>
    </row>
    <row r="7918" spans="1:5" x14ac:dyDescent="0.25">
      <c r="A7918" s="22"/>
      <c r="B7918" s="23"/>
      <c r="C7918" s="23"/>
      <c r="D7918" s="23"/>
      <c r="E7918" s="23"/>
    </row>
    <row r="7919" spans="1:5" x14ac:dyDescent="0.25">
      <c r="A7919" s="22"/>
      <c r="B7919" s="23"/>
      <c r="C7919" s="23"/>
      <c r="D7919" s="23"/>
      <c r="E7919" s="23"/>
    </row>
    <row r="7920" spans="1:5" x14ac:dyDescent="0.25">
      <c r="A7920" s="22"/>
      <c r="B7920" s="23"/>
      <c r="C7920" s="23"/>
      <c r="D7920" s="23"/>
      <c r="E7920" s="23"/>
    </row>
    <row r="7921" spans="1:5" x14ac:dyDescent="0.25">
      <c r="A7921" s="22"/>
      <c r="B7921" s="23"/>
      <c r="C7921" s="23"/>
      <c r="D7921" s="23"/>
      <c r="E7921" s="23"/>
    </row>
    <row r="7922" spans="1:5" x14ac:dyDescent="0.25">
      <c r="A7922" s="22"/>
      <c r="B7922" s="23"/>
      <c r="C7922" s="23"/>
      <c r="D7922" s="23"/>
      <c r="E7922" s="23"/>
    </row>
    <row r="7923" spans="1:5" x14ac:dyDescent="0.25">
      <c r="A7923" s="22"/>
      <c r="B7923" s="23"/>
      <c r="C7923" s="23"/>
      <c r="D7923" s="23"/>
      <c r="E7923" s="23"/>
    </row>
    <row r="7924" spans="1:5" x14ac:dyDescent="0.25">
      <c r="A7924" s="22"/>
      <c r="B7924" s="23"/>
      <c r="C7924" s="23"/>
      <c r="D7924" s="23"/>
      <c r="E7924" s="23"/>
    </row>
    <row r="7925" spans="1:5" x14ac:dyDescent="0.25">
      <c r="A7925" s="22"/>
      <c r="B7925" s="23"/>
      <c r="C7925" s="23"/>
      <c r="D7925" s="23"/>
      <c r="E7925" s="23"/>
    </row>
    <row r="7926" spans="1:5" x14ac:dyDescent="0.25">
      <c r="A7926" s="22"/>
      <c r="B7926" s="23"/>
      <c r="C7926" s="23"/>
      <c r="D7926" s="23"/>
      <c r="E7926" s="23"/>
    </row>
    <row r="7927" spans="1:5" x14ac:dyDescent="0.25">
      <c r="A7927" s="22"/>
      <c r="B7927" s="23"/>
      <c r="C7927" s="23"/>
      <c r="D7927" s="23"/>
      <c r="E7927" s="23"/>
    </row>
    <row r="7928" spans="1:5" x14ac:dyDescent="0.25">
      <c r="A7928" s="22"/>
      <c r="B7928" s="23"/>
      <c r="C7928" s="23"/>
      <c r="D7928" s="23"/>
      <c r="E7928" s="23"/>
    </row>
    <row r="7929" spans="1:5" x14ac:dyDescent="0.25">
      <c r="A7929" s="22"/>
      <c r="B7929" s="23"/>
      <c r="C7929" s="23"/>
      <c r="D7929" s="23"/>
      <c r="E7929" s="23"/>
    </row>
    <row r="7930" spans="1:5" x14ac:dyDescent="0.25">
      <c r="A7930" s="22"/>
      <c r="B7930" s="23"/>
      <c r="C7930" s="23"/>
      <c r="D7930" s="23"/>
      <c r="E7930" s="23"/>
    </row>
    <row r="7931" spans="1:5" x14ac:dyDescent="0.25">
      <c r="A7931" s="22"/>
      <c r="B7931" s="23"/>
      <c r="C7931" s="23"/>
      <c r="D7931" s="23"/>
      <c r="E7931" s="23"/>
    </row>
    <row r="7932" spans="1:5" x14ac:dyDescent="0.25">
      <c r="A7932" s="22"/>
      <c r="B7932" s="23"/>
      <c r="C7932" s="23"/>
      <c r="D7932" s="23"/>
      <c r="E7932" s="23"/>
    </row>
    <row r="7933" spans="1:5" x14ac:dyDescent="0.25">
      <c r="A7933" s="22"/>
      <c r="B7933" s="23"/>
      <c r="C7933" s="23"/>
      <c r="D7933" s="23"/>
      <c r="E7933" s="23"/>
    </row>
    <row r="7934" spans="1:5" x14ac:dyDescent="0.25">
      <c r="A7934" s="22"/>
      <c r="B7934" s="23"/>
      <c r="C7934" s="23"/>
      <c r="D7934" s="23"/>
      <c r="E7934" s="23"/>
    </row>
    <row r="7935" spans="1:5" x14ac:dyDescent="0.25">
      <c r="A7935" s="22"/>
      <c r="B7935" s="23"/>
      <c r="C7935" s="23"/>
      <c r="D7935" s="23"/>
      <c r="E7935" s="23"/>
    </row>
    <row r="7936" spans="1:5" x14ac:dyDescent="0.25">
      <c r="A7936" s="22"/>
      <c r="B7936" s="23"/>
      <c r="C7936" s="23"/>
      <c r="D7936" s="23"/>
      <c r="E7936" s="23"/>
    </row>
    <row r="7937" spans="1:5" x14ac:dyDescent="0.25">
      <c r="A7937" s="22"/>
      <c r="B7937" s="23"/>
      <c r="C7937" s="23"/>
      <c r="D7937" s="23"/>
      <c r="E7937" s="23"/>
    </row>
    <row r="7938" spans="1:5" x14ac:dyDescent="0.25">
      <c r="A7938" s="22"/>
      <c r="B7938" s="23"/>
      <c r="C7938" s="23"/>
      <c r="D7938" s="23"/>
      <c r="E7938" s="23"/>
    </row>
    <row r="7939" spans="1:5" x14ac:dyDescent="0.25">
      <c r="A7939" s="22"/>
      <c r="B7939" s="23"/>
      <c r="C7939" s="23"/>
      <c r="D7939" s="23"/>
      <c r="E7939" s="23"/>
    </row>
    <row r="7940" spans="1:5" x14ac:dyDescent="0.25">
      <c r="A7940" s="22"/>
      <c r="B7940" s="23"/>
      <c r="C7940" s="23"/>
      <c r="D7940" s="23"/>
      <c r="E7940" s="23"/>
    </row>
    <row r="7941" spans="1:5" x14ac:dyDescent="0.25">
      <c r="A7941" s="22"/>
      <c r="B7941" s="23"/>
      <c r="C7941" s="23"/>
      <c r="D7941" s="23"/>
      <c r="E7941" s="23"/>
    </row>
    <row r="7942" spans="1:5" x14ac:dyDescent="0.25">
      <c r="A7942" s="22"/>
      <c r="B7942" s="23"/>
      <c r="C7942" s="23"/>
      <c r="D7942" s="23"/>
      <c r="E7942" s="23"/>
    </row>
    <row r="7943" spans="1:5" x14ac:dyDescent="0.25">
      <c r="A7943" s="22"/>
      <c r="B7943" s="23"/>
      <c r="C7943" s="23"/>
      <c r="D7943" s="23"/>
      <c r="E7943" s="23"/>
    </row>
    <row r="7944" spans="1:5" x14ac:dyDescent="0.25">
      <c r="A7944" s="22"/>
      <c r="B7944" s="23"/>
      <c r="C7944" s="23"/>
      <c r="D7944" s="23"/>
      <c r="E7944" s="23"/>
    </row>
    <row r="7945" spans="1:5" x14ac:dyDescent="0.25">
      <c r="A7945" s="22"/>
      <c r="B7945" s="23"/>
      <c r="C7945" s="23"/>
      <c r="D7945" s="23"/>
      <c r="E7945" s="23"/>
    </row>
    <row r="7946" spans="1:5" x14ac:dyDescent="0.25">
      <c r="A7946" s="22"/>
      <c r="B7946" s="23"/>
      <c r="C7946" s="23"/>
      <c r="D7946" s="23"/>
      <c r="E7946" s="23"/>
    </row>
    <row r="7947" spans="1:5" x14ac:dyDescent="0.25">
      <c r="A7947" s="22"/>
      <c r="B7947" s="23"/>
      <c r="C7947" s="23"/>
      <c r="D7947" s="23"/>
      <c r="E7947" s="23"/>
    </row>
    <row r="7948" spans="1:5" x14ac:dyDescent="0.25">
      <c r="A7948" s="22"/>
      <c r="B7948" s="23"/>
      <c r="C7948" s="23"/>
      <c r="D7948" s="23"/>
      <c r="E7948" s="23"/>
    </row>
    <row r="7949" spans="1:5" x14ac:dyDescent="0.25">
      <c r="A7949" s="22"/>
      <c r="B7949" s="23"/>
      <c r="C7949" s="23"/>
      <c r="D7949" s="23"/>
      <c r="E7949" s="23"/>
    </row>
    <row r="7950" spans="1:5" x14ac:dyDescent="0.25">
      <c r="A7950" s="22"/>
      <c r="B7950" s="23"/>
      <c r="C7950" s="23"/>
      <c r="D7950" s="23"/>
      <c r="E7950" s="23"/>
    </row>
    <row r="7951" spans="1:5" x14ac:dyDescent="0.25">
      <c r="A7951" s="22"/>
      <c r="B7951" s="23"/>
      <c r="C7951" s="23"/>
      <c r="D7951" s="23"/>
      <c r="E7951" s="23"/>
    </row>
    <row r="7952" spans="1:5" x14ac:dyDescent="0.25">
      <c r="A7952" s="22"/>
      <c r="B7952" s="23"/>
      <c r="C7952" s="23"/>
      <c r="D7952" s="23"/>
      <c r="E7952" s="23"/>
    </row>
    <row r="7953" spans="1:5" x14ac:dyDescent="0.25">
      <c r="A7953" s="22"/>
      <c r="B7953" s="23"/>
      <c r="C7953" s="23"/>
      <c r="D7953" s="23"/>
      <c r="E7953" s="23"/>
    </row>
    <row r="7954" spans="1:5" x14ac:dyDescent="0.25">
      <c r="A7954" s="22"/>
      <c r="B7954" s="23"/>
      <c r="C7954" s="23"/>
      <c r="D7954" s="23"/>
      <c r="E7954" s="23"/>
    </row>
    <row r="7955" spans="1:5" x14ac:dyDescent="0.25">
      <c r="A7955" s="22"/>
      <c r="B7955" s="23"/>
      <c r="C7955" s="23"/>
      <c r="D7955" s="23"/>
      <c r="E7955" s="23"/>
    </row>
    <row r="7956" spans="1:5" x14ac:dyDescent="0.25">
      <c r="A7956" s="22"/>
      <c r="B7956" s="23"/>
      <c r="C7956" s="23"/>
      <c r="D7956" s="23"/>
      <c r="E7956" s="23"/>
    </row>
    <row r="7957" spans="1:5" x14ac:dyDescent="0.25">
      <c r="A7957" s="22"/>
      <c r="B7957" s="23"/>
      <c r="C7957" s="23"/>
      <c r="D7957" s="23"/>
      <c r="E7957" s="23"/>
    </row>
    <row r="7958" spans="1:5" x14ac:dyDescent="0.25">
      <c r="A7958" s="22"/>
      <c r="B7958" s="23"/>
      <c r="C7958" s="23"/>
      <c r="D7958" s="23"/>
      <c r="E7958" s="23"/>
    </row>
    <row r="7959" spans="1:5" x14ac:dyDescent="0.25">
      <c r="A7959" s="22"/>
      <c r="B7959" s="23"/>
      <c r="C7959" s="23"/>
      <c r="D7959" s="23"/>
      <c r="E7959" s="23"/>
    </row>
    <row r="7960" spans="1:5" x14ac:dyDescent="0.25">
      <c r="A7960" s="22"/>
      <c r="B7960" s="23"/>
      <c r="C7960" s="23"/>
      <c r="D7960" s="23"/>
      <c r="E7960" s="23"/>
    </row>
    <row r="7961" spans="1:5" x14ac:dyDescent="0.25">
      <c r="A7961" s="22"/>
      <c r="B7961" s="23"/>
      <c r="C7961" s="23"/>
      <c r="D7961" s="23"/>
      <c r="E7961" s="23"/>
    </row>
    <row r="7962" spans="1:5" x14ac:dyDescent="0.25">
      <c r="A7962" s="22"/>
      <c r="B7962" s="23"/>
      <c r="C7962" s="23"/>
      <c r="D7962" s="23"/>
      <c r="E7962" s="23"/>
    </row>
    <row r="7963" spans="1:5" x14ac:dyDescent="0.25">
      <c r="A7963" s="22"/>
      <c r="B7963" s="23"/>
      <c r="C7963" s="23"/>
      <c r="D7963" s="23"/>
      <c r="E7963" s="23"/>
    </row>
    <row r="7964" spans="1:5" x14ac:dyDescent="0.25">
      <c r="A7964" s="22"/>
      <c r="B7964" s="23"/>
      <c r="C7964" s="23"/>
      <c r="D7964" s="23"/>
      <c r="E7964" s="23"/>
    </row>
    <row r="7965" spans="1:5" x14ac:dyDescent="0.25">
      <c r="A7965" s="22"/>
      <c r="B7965" s="23"/>
      <c r="C7965" s="23"/>
      <c r="D7965" s="23"/>
      <c r="E7965" s="23"/>
    </row>
    <row r="7966" spans="1:5" x14ac:dyDescent="0.25">
      <c r="A7966" s="22"/>
      <c r="B7966" s="23"/>
      <c r="C7966" s="23"/>
      <c r="D7966" s="23"/>
      <c r="E7966" s="23"/>
    </row>
    <row r="7967" spans="1:5" x14ac:dyDescent="0.25">
      <c r="A7967" s="22"/>
      <c r="B7967" s="23"/>
      <c r="C7967" s="23"/>
      <c r="D7967" s="23"/>
      <c r="E7967" s="23"/>
    </row>
    <row r="7968" spans="1:5" x14ac:dyDescent="0.25">
      <c r="A7968" s="22"/>
      <c r="B7968" s="23"/>
      <c r="C7968" s="23"/>
      <c r="D7968" s="23"/>
      <c r="E7968" s="23"/>
    </row>
    <row r="7969" spans="1:5" x14ac:dyDescent="0.25">
      <c r="A7969" s="22"/>
      <c r="B7969" s="23"/>
      <c r="C7969" s="23"/>
      <c r="D7969" s="23"/>
      <c r="E7969" s="23"/>
    </row>
    <row r="7970" spans="1:5" x14ac:dyDescent="0.25">
      <c r="A7970" s="22"/>
      <c r="B7970" s="23"/>
      <c r="C7970" s="23"/>
      <c r="D7970" s="23"/>
      <c r="E7970" s="23"/>
    </row>
    <row r="7971" spans="1:5" x14ac:dyDescent="0.25">
      <c r="A7971" s="22"/>
      <c r="B7971" s="23"/>
      <c r="C7971" s="23"/>
      <c r="D7971" s="23"/>
      <c r="E7971" s="23"/>
    </row>
    <row r="7972" spans="1:5" x14ac:dyDescent="0.25">
      <c r="A7972" s="22"/>
      <c r="B7972" s="23"/>
      <c r="C7972" s="23"/>
      <c r="D7972" s="23"/>
      <c r="E7972" s="23"/>
    </row>
    <row r="7973" spans="1:5" x14ac:dyDescent="0.25">
      <c r="A7973" s="22"/>
      <c r="B7973" s="23"/>
      <c r="C7973" s="23"/>
      <c r="D7973" s="23"/>
      <c r="E7973" s="23"/>
    </row>
    <row r="7974" spans="1:5" x14ac:dyDescent="0.25">
      <c r="A7974" s="22"/>
      <c r="B7974" s="23"/>
      <c r="C7974" s="23"/>
      <c r="D7974" s="23"/>
      <c r="E7974" s="23"/>
    </row>
    <row r="7975" spans="1:5" x14ac:dyDescent="0.25">
      <c r="A7975" s="22"/>
      <c r="B7975" s="23"/>
      <c r="C7975" s="23"/>
      <c r="D7975" s="23"/>
      <c r="E7975" s="23"/>
    </row>
    <row r="7976" spans="1:5" x14ac:dyDescent="0.25">
      <c r="A7976" s="22"/>
      <c r="B7976" s="23"/>
      <c r="C7976" s="23"/>
      <c r="D7976" s="23"/>
      <c r="E7976" s="23"/>
    </row>
    <row r="7977" spans="1:5" x14ac:dyDescent="0.25">
      <c r="A7977" s="22"/>
      <c r="B7977" s="23"/>
      <c r="C7977" s="23"/>
      <c r="D7977" s="23"/>
      <c r="E7977" s="23"/>
    </row>
    <row r="7978" spans="1:5" x14ac:dyDescent="0.25">
      <c r="A7978" s="22"/>
      <c r="B7978" s="23"/>
      <c r="C7978" s="23"/>
      <c r="D7978" s="23"/>
      <c r="E7978" s="23"/>
    </row>
    <row r="7979" spans="1:5" x14ac:dyDescent="0.25">
      <c r="A7979" s="22"/>
      <c r="B7979" s="23"/>
      <c r="C7979" s="23"/>
      <c r="D7979" s="23"/>
      <c r="E7979" s="23"/>
    </row>
    <row r="7980" spans="1:5" x14ac:dyDescent="0.25">
      <c r="A7980" s="22"/>
      <c r="B7980" s="23"/>
      <c r="C7980" s="23"/>
      <c r="D7980" s="23"/>
      <c r="E7980" s="23"/>
    </row>
    <row r="7981" spans="1:5" x14ac:dyDescent="0.25">
      <c r="A7981" s="22"/>
      <c r="B7981" s="23"/>
      <c r="C7981" s="23"/>
      <c r="D7981" s="23"/>
      <c r="E7981" s="23"/>
    </row>
    <row r="7982" spans="1:5" x14ac:dyDescent="0.25">
      <c r="A7982" s="22"/>
      <c r="B7982" s="23"/>
      <c r="C7982" s="23"/>
      <c r="D7982" s="23"/>
      <c r="E7982" s="23"/>
    </row>
    <row r="7983" spans="1:5" x14ac:dyDescent="0.25">
      <c r="A7983" s="22"/>
      <c r="B7983" s="23"/>
      <c r="C7983" s="23"/>
      <c r="D7983" s="23"/>
      <c r="E7983" s="23"/>
    </row>
    <row r="7984" spans="1:5" x14ac:dyDescent="0.25">
      <c r="A7984" s="22"/>
      <c r="B7984" s="23"/>
      <c r="C7984" s="23"/>
      <c r="D7984" s="23"/>
      <c r="E7984" s="23"/>
    </row>
    <row r="7985" spans="1:5" x14ac:dyDescent="0.25">
      <c r="A7985" s="22"/>
      <c r="B7985" s="23"/>
      <c r="C7985" s="23"/>
      <c r="D7985" s="23"/>
      <c r="E7985" s="23"/>
    </row>
    <row r="7986" spans="1:5" x14ac:dyDescent="0.25">
      <c r="A7986" s="22"/>
      <c r="B7986" s="23"/>
      <c r="C7986" s="23"/>
      <c r="D7986" s="23"/>
      <c r="E7986" s="23"/>
    </row>
    <row r="7987" spans="1:5" x14ac:dyDescent="0.25">
      <c r="A7987" s="22"/>
      <c r="B7987" s="23"/>
      <c r="C7987" s="23"/>
      <c r="D7987" s="23"/>
      <c r="E7987" s="23"/>
    </row>
    <row r="7988" spans="1:5" x14ac:dyDescent="0.25">
      <c r="A7988" s="22"/>
      <c r="B7988" s="23"/>
      <c r="C7988" s="23"/>
      <c r="D7988" s="23"/>
      <c r="E7988" s="23"/>
    </row>
    <row r="7989" spans="1:5" x14ac:dyDescent="0.25">
      <c r="A7989" s="22"/>
      <c r="B7989" s="23"/>
      <c r="C7989" s="23"/>
      <c r="D7989" s="23"/>
      <c r="E7989" s="23"/>
    </row>
    <row r="7990" spans="1:5" x14ac:dyDescent="0.25">
      <c r="A7990" s="22"/>
      <c r="B7990" s="23"/>
      <c r="C7990" s="23"/>
      <c r="D7990" s="23"/>
      <c r="E7990" s="23"/>
    </row>
    <row r="7991" spans="1:5" x14ac:dyDescent="0.25">
      <c r="A7991" s="22"/>
      <c r="B7991" s="23"/>
      <c r="C7991" s="23"/>
      <c r="D7991" s="23"/>
      <c r="E7991" s="23"/>
    </row>
    <row r="7992" spans="1:5" x14ac:dyDescent="0.25">
      <c r="A7992" s="22"/>
      <c r="B7992" s="23"/>
      <c r="C7992" s="23"/>
      <c r="D7992" s="23"/>
      <c r="E7992" s="23"/>
    </row>
    <row r="7993" spans="1:5" x14ac:dyDescent="0.25">
      <c r="A7993" s="22"/>
      <c r="B7993" s="23"/>
      <c r="C7993" s="23"/>
      <c r="D7993" s="23"/>
      <c r="E7993" s="23"/>
    </row>
    <row r="7994" spans="1:5" x14ac:dyDescent="0.25">
      <c r="A7994" s="22"/>
      <c r="B7994" s="23"/>
      <c r="C7994" s="23"/>
      <c r="D7994" s="23"/>
      <c r="E7994" s="23"/>
    </row>
    <row r="7995" spans="1:5" x14ac:dyDescent="0.25">
      <c r="A7995" s="22"/>
      <c r="B7995" s="23"/>
      <c r="C7995" s="23"/>
      <c r="D7995" s="23"/>
      <c r="E7995" s="23"/>
    </row>
    <row r="7996" spans="1:5" x14ac:dyDescent="0.25">
      <c r="A7996" s="22"/>
      <c r="B7996" s="23"/>
      <c r="C7996" s="23"/>
      <c r="D7996" s="23"/>
      <c r="E7996" s="23"/>
    </row>
    <row r="7997" spans="1:5" x14ac:dyDescent="0.25">
      <c r="A7997" s="22"/>
      <c r="B7997" s="23"/>
      <c r="C7997" s="23"/>
      <c r="D7997" s="23"/>
      <c r="E7997" s="23"/>
    </row>
    <row r="7998" spans="1:5" x14ac:dyDescent="0.25">
      <c r="A7998" s="22"/>
      <c r="B7998" s="23"/>
      <c r="C7998" s="23"/>
      <c r="D7998" s="23"/>
      <c r="E7998" s="23"/>
    </row>
    <row r="7999" spans="1:5" x14ac:dyDescent="0.25">
      <c r="A7999" s="22"/>
      <c r="B7999" s="23"/>
      <c r="C7999" s="23"/>
      <c r="D7999" s="23"/>
      <c r="E7999" s="23"/>
    </row>
    <row r="8000" spans="1:5" x14ac:dyDescent="0.25">
      <c r="A8000" s="22"/>
      <c r="B8000" s="23"/>
      <c r="C8000" s="23"/>
      <c r="D8000" s="23"/>
      <c r="E8000" s="23"/>
    </row>
    <row r="8001" spans="1:5" x14ac:dyDescent="0.25">
      <c r="A8001" s="22"/>
      <c r="B8001" s="23"/>
      <c r="C8001" s="23"/>
      <c r="D8001" s="23"/>
      <c r="E8001" s="23"/>
    </row>
    <row r="8002" spans="1:5" x14ac:dyDescent="0.25">
      <c r="A8002" s="22"/>
      <c r="B8002" s="23"/>
      <c r="C8002" s="23"/>
      <c r="D8002" s="23"/>
      <c r="E8002" s="23"/>
    </row>
    <row r="8003" spans="1:5" x14ac:dyDescent="0.25">
      <c r="A8003" s="22"/>
      <c r="B8003" s="23"/>
      <c r="C8003" s="23"/>
      <c r="D8003" s="23"/>
      <c r="E8003" s="23"/>
    </row>
    <row r="8004" spans="1:5" x14ac:dyDescent="0.25">
      <c r="A8004" s="22"/>
      <c r="B8004" s="23"/>
      <c r="C8004" s="23"/>
      <c r="D8004" s="23"/>
      <c r="E8004" s="23"/>
    </row>
    <row r="8005" spans="1:5" x14ac:dyDescent="0.25">
      <c r="A8005" s="22"/>
      <c r="B8005" s="23"/>
      <c r="C8005" s="23"/>
      <c r="D8005" s="23"/>
      <c r="E8005" s="23"/>
    </row>
    <row r="8006" spans="1:5" x14ac:dyDescent="0.25">
      <c r="A8006" s="22"/>
      <c r="B8006" s="23"/>
      <c r="C8006" s="23"/>
      <c r="D8006" s="23"/>
      <c r="E8006" s="23"/>
    </row>
    <row r="8007" spans="1:5" x14ac:dyDescent="0.25">
      <c r="A8007" s="22"/>
      <c r="B8007" s="23"/>
      <c r="C8007" s="23"/>
      <c r="D8007" s="23"/>
      <c r="E8007" s="23"/>
    </row>
    <row r="8008" spans="1:5" x14ac:dyDescent="0.25">
      <c r="A8008" s="22"/>
      <c r="B8008" s="23"/>
      <c r="C8008" s="23"/>
      <c r="D8008" s="23"/>
      <c r="E8008" s="23"/>
    </row>
    <row r="8009" spans="1:5" x14ac:dyDescent="0.25">
      <c r="A8009" s="22"/>
      <c r="B8009" s="23"/>
      <c r="C8009" s="23"/>
      <c r="D8009" s="23"/>
      <c r="E8009" s="23"/>
    </row>
    <row r="8010" spans="1:5" x14ac:dyDescent="0.25">
      <c r="A8010" s="22"/>
      <c r="B8010" s="23"/>
      <c r="C8010" s="23"/>
      <c r="D8010" s="23"/>
      <c r="E8010" s="23"/>
    </row>
    <row r="8011" spans="1:5" x14ac:dyDescent="0.25">
      <c r="A8011" s="22"/>
      <c r="B8011" s="23"/>
      <c r="C8011" s="23"/>
      <c r="D8011" s="23"/>
      <c r="E8011" s="23"/>
    </row>
    <row r="8012" spans="1:5" x14ac:dyDescent="0.25">
      <c r="A8012" s="22"/>
      <c r="B8012" s="23"/>
      <c r="C8012" s="23"/>
      <c r="D8012" s="23"/>
      <c r="E8012" s="23"/>
    </row>
    <row r="8013" spans="1:5" x14ac:dyDescent="0.25">
      <c r="A8013" s="22"/>
      <c r="B8013" s="23"/>
      <c r="C8013" s="23"/>
      <c r="D8013" s="23"/>
      <c r="E8013" s="23"/>
    </row>
    <row r="8014" spans="1:5" x14ac:dyDescent="0.25">
      <c r="A8014" s="22"/>
      <c r="B8014" s="23"/>
      <c r="C8014" s="23"/>
      <c r="D8014" s="23"/>
      <c r="E8014" s="23"/>
    </row>
    <row r="8015" spans="1:5" x14ac:dyDescent="0.25">
      <c r="A8015" s="22"/>
      <c r="B8015" s="23"/>
      <c r="C8015" s="23"/>
      <c r="D8015" s="23"/>
      <c r="E8015" s="23"/>
    </row>
    <row r="8016" spans="1:5" x14ac:dyDescent="0.25">
      <c r="A8016" s="22"/>
      <c r="B8016" s="23"/>
      <c r="C8016" s="23"/>
      <c r="D8016" s="23"/>
      <c r="E8016" s="23"/>
    </row>
    <row r="8017" spans="1:5" x14ac:dyDescent="0.25">
      <c r="A8017" s="22"/>
      <c r="B8017" s="23"/>
      <c r="C8017" s="23"/>
      <c r="D8017" s="23"/>
      <c r="E8017" s="23"/>
    </row>
    <row r="8018" spans="1:5" x14ac:dyDescent="0.25">
      <c r="A8018" s="22"/>
      <c r="B8018" s="23"/>
      <c r="C8018" s="23"/>
      <c r="D8018" s="23"/>
      <c r="E8018" s="23"/>
    </row>
    <row r="8019" spans="1:5" x14ac:dyDescent="0.25">
      <c r="A8019" s="22"/>
      <c r="B8019" s="23"/>
      <c r="C8019" s="23"/>
      <c r="D8019" s="23"/>
      <c r="E8019" s="23"/>
    </row>
    <row r="8020" spans="1:5" x14ac:dyDescent="0.25">
      <c r="A8020" s="22"/>
      <c r="B8020" s="23"/>
      <c r="C8020" s="23"/>
      <c r="D8020" s="23"/>
      <c r="E8020" s="23"/>
    </row>
    <row r="8021" spans="1:5" x14ac:dyDescent="0.25">
      <c r="A8021" s="22"/>
      <c r="B8021" s="23"/>
      <c r="C8021" s="23"/>
      <c r="D8021" s="23"/>
      <c r="E8021" s="23"/>
    </row>
    <row r="8022" spans="1:5" x14ac:dyDescent="0.25">
      <c r="A8022" s="22"/>
      <c r="B8022" s="23"/>
      <c r="C8022" s="23"/>
      <c r="D8022" s="23"/>
      <c r="E8022" s="23"/>
    </row>
    <row r="8023" spans="1:5" x14ac:dyDescent="0.25">
      <c r="A8023" s="22"/>
      <c r="B8023" s="23"/>
      <c r="C8023" s="23"/>
      <c r="D8023" s="23"/>
      <c r="E8023" s="23"/>
    </row>
    <row r="8024" spans="1:5" x14ac:dyDescent="0.25">
      <c r="A8024" s="22"/>
      <c r="B8024" s="23"/>
      <c r="C8024" s="23"/>
      <c r="D8024" s="23"/>
      <c r="E8024" s="23"/>
    </row>
    <row r="8025" spans="1:5" x14ac:dyDescent="0.25">
      <c r="A8025" s="22"/>
      <c r="B8025" s="23"/>
      <c r="C8025" s="23"/>
      <c r="D8025" s="23"/>
      <c r="E8025" s="23"/>
    </row>
    <row r="8026" spans="1:5" x14ac:dyDescent="0.25">
      <c r="A8026" s="22"/>
      <c r="B8026" s="23"/>
      <c r="C8026" s="23"/>
      <c r="D8026" s="23"/>
      <c r="E8026" s="23"/>
    </row>
    <row r="8027" spans="1:5" x14ac:dyDescent="0.25">
      <c r="A8027" s="22"/>
      <c r="B8027" s="23"/>
      <c r="C8027" s="23"/>
      <c r="D8027" s="23"/>
      <c r="E8027" s="23"/>
    </row>
    <row r="8028" spans="1:5" x14ac:dyDescent="0.25">
      <c r="A8028" s="22"/>
      <c r="B8028" s="23"/>
      <c r="C8028" s="23"/>
      <c r="D8028" s="23"/>
      <c r="E8028" s="23"/>
    </row>
    <row r="8029" spans="1:5" x14ac:dyDescent="0.25">
      <c r="A8029" s="22"/>
      <c r="B8029" s="23"/>
      <c r="C8029" s="23"/>
      <c r="D8029" s="23"/>
      <c r="E8029" s="23"/>
    </row>
    <row r="8030" spans="1:5" x14ac:dyDescent="0.25">
      <c r="A8030" s="22"/>
      <c r="B8030" s="23"/>
      <c r="C8030" s="23"/>
      <c r="D8030" s="23"/>
      <c r="E8030" s="23"/>
    </row>
    <row r="8031" spans="1:5" x14ac:dyDescent="0.25">
      <c r="A8031" s="22"/>
      <c r="B8031" s="23"/>
      <c r="C8031" s="23"/>
      <c r="D8031" s="23"/>
      <c r="E8031" s="23"/>
    </row>
    <row r="8032" spans="1:5" x14ac:dyDescent="0.25">
      <c r="A8032" s="22"/>
      <c r="B8032" s="23"/>
      <c r="C8032" s="23"/>
      <c r="D8032" s="23"/>
      <c r="E8032" s="23"/>
    </row>
    <row r="8033" spans="1:5" x14ac:dyDescent="0.25">
      <c r="A8033" s="22"/>
      <c r="B8033" s="23"/>
      <c r="C8033" s="23"/>
      <c r="D8033" s="23"/>
      <c r="E8033" s="23"/>
    </row>
    <row r="8034" spans="1:5" x14ac:dyDescent="0.25">
      <c r="A8034" s="22"/>
      <c r="B8034" s="23"/>
      <c r="C8034" s="23"/>
      <c r="D8034" s="23"/>
      <c r="E8034" s="23"/>
    </row>
    <row r="8035" spans="1:5" x14ac:dyDescent="0.25">
      <c r="A8035" s="22"/>
      <c r="B8035" s="23"/>
      <c r="C8035" s="23"/>
      <c r="D8035" s="23"/>
      <c r="E8035" s="23"/>
    </row>
    <row r="8036" spans="1:5" x14ac:dyDescent="0.25">
      <c r="A8036" s="22"/>
      <c r="B8036" s="23"/>
      <c r="C8036" s="23"/>
      <c r="D8036" s="23"/>
      <c r="E8036" s="23"/>
    </row>
    <row r="8037" spans="1:5" x14ac:dyDescent="0.25">
      <c r="A8037" s="22"/>
      <c r="B8037" s="23"/>
      <c r="C8037" s="23"/>
      <c r="D8037" s="23"/>
      <c r="E8037" s="23"/>
    </row>
    <row r="8038" spans="1:5" x14ac:dyDescent="0.25">
      <c r="A8038" s="22"/>
      <c r="B8038" s="23"/>
      <c r="C8038" s="23"/>
      <c r="D8038" s="23"/>
      <c r="E8038" s="23"/>
    </row>
    <row r="8039" spans="1:5" x14ac:dyDescent="0.25">
      <c r="A8039" s="22"/>
      <c r="B8039" s="23"/>
      <c r="C8039" s="23"/>
      <c r="D8039" s="23"/>
      <c r="E8039" s="23"/>
    </row>
    <row r="8040" spans="1:5" x14ac:dyDescent="0.25">
      <c r="A8040" s="22"/>
      <c r="B8040" s="23"/>
      <c r="C8040" s="23"/>
      <c r="D8040" s="23"/>
      <c r="E8040" s="23"/>
    </row>
    <row r="8041" spans="1:5" x14ac:dyDescent="0.25">
      <c r="A8041" s="22"/>
      <c r="B8041" s="23"/>
      <c r="C8041" s="23"/>
      <c r="D8041" s="23"/>
      <c r="E8041" s="23"/>
    </row>
    <row r="8042" spans="1:5" x14ac:dyDescent="0.25">
      <c r="A8042" s="22"/>
      <c r="B8042" s="23"/>
      <c r="C8042" s="23"/>
      <c r="D8042" s="23"/>
      <c r="E8042" s="23"/>
    </row>
    <row r="8043" spans="1:5" x14ac:dyDescent="0.25">
      <c r="A8043" s="22"/>
      <c r="B8043" s="23"/>
      <c r="C8043" s="23"/>
      <c r="D8043" s="23"/>
      <c r="E8043" s="23"/>
    </row>
    <row r="8044" spans="1:5" x14ac:dyDescent="0.25">
      <c r="A8044" s="22"/>
      <c r="B8044" s="23"/>
      <c r="C8044" s="23"/>
      <c r="D8044" s="23"/>
      <c r="E8044" s="23"/>
    </row>
    <row r="8045" spans="1:5" x14ac:dyDescent="0.25">
      <c r="A8045" s="22"/>
      <c r="B8045" s="23"/>
      <c r="C8045" s="23"/>
      <c r="D8045" s="23"/>
      <c r="E8045" s="23"/>
    </row>
    <row r="8046" spans="1:5" x14ac:dyDescent="0.25">
      <c r="A8046" s="22"/>
      <c r="B8046" s="23"/>
      <c r="C8046" s="23"/>
      <c r="D8046" s="23"/>
      <c r="E8046" s="23"/>
    </row>
    <row r="8047" spans="1:5" x14ac:dyDescent="0.25">
      <c r="A8047" s="22"/>
      <c r="B8047" s="23"/>
      <c r="C8047" s="23"/>
      <c r="D8047" s="23"/>
      <c r="E8047" s="23"/>
    </row>
    <row r="8048" spans="1:5" x14ac:dyDescent="0.25">
      <c r="A8048" s="22"/>
      <c r="B8048" s="23"/>
      <c r="C8048" s="23"/>
      <c r="D8048" s="23"/>
      <c r="E8048" s="23"/>
    </row>
    <row r="8049" spans="1:5" x14ac:dyDescent="0.25">
      <c r="A8049" s="22"/>
      <c r="B8049" s="23"/>
      <c r="C8049" s="23"/>
      <c r="D8049" s="23"/>
      <c r="E8049" s="23"/>
    </row>
    <row r="8050" spans="1:5" x14ac:dyDescent="0.25">
      <c r="A8050" s="22"/>
      <c r="B8050" s="23"/>
      <c r="C8050" s="23"/>
      <c r="D8050" s="23"/>
      <c r="E8050" s="23"/>
    </row>
    <row r="8051" spans="1:5" x14ac:dyDescent="0.25">
      <c r="A8051" s="22"/>
      <c r="B8051" s="23"/>
      <c r="C8051" s="23"/>
      <c r="D8051" s="23"/>
      <c r="E8051" s="23"/>
    </row>
    <row r="8052" spans="1:5" x14ac:dyDescent="0.25">
      <c r="A8052" s="22"/>
      <c r="B8052" s="23"/>
      <c r="C8052" s="23"/>
      <c r="D8052" s="23"/>
      <c r="E8052" s="23"/>
    </row>
    <row r="8053" spans="1:5" x14ac:dyDescent="0.25">
      <c r="A8053" s="22"/>
      <c r="B8053" s="23"/>
      <c r="C8053" s="23"/>
      <c r="D8053" s="23"/>
      <c r="E8053" s="23"/>
    </row>
    <row r="8054" spans="1:5" x14ac:dyDescent="0.25">
      <c r="A8054" s="22"/>
      <c r="B8054" s="23"/>
      <c r="C8054" s="23"/>
      <c r="D8054" s="23"/>
      <c r="E8054" s="23"/>
    </row>
    <row r="8055" spans="1:5" x14ac:dyDescent="0.25">
      <c r="A8055" s="22"/>
      <c r="B8055" s="23"/>
      <c r="C8055" s="23"/>
      <c r="D8055" s="23"/>
      <c r="E8055" s="23"/>
    </row>
    <row r="8056" spans="1:5" x14ac:dyDescent="0.25">
      <c r="A8056" s="22"/>
      <c r="B8056" s="23"/>
      <c r="C8056" s="23"/>
      <c r="D8056" s="23"/>
      <c r="E8056" s="23"/>
    </row>
    <row r="8057" spans="1:5" x14ac:dyDescent="0.25">
      <c r="A8057" s="22"/>
      <c r="B8057" s="23"/>
      <c r="C8057" s="23"/>
      <c r="D8057" s="23"/>
      <c r="E8057" s="23"/>
    </row>
    <row r="8058" spans="1:5" x14ac:dyDescent="0.25">
      <c r="A8058" s="22"/>
      <c r="B8058" s="23"/>
      <c r="C8058" s="23"/>
      <c r="D8058" s="23"/>
      <c r="E8058" s="23"/>
    </row>
    <row r="8059" spans="1:5" x14ac:dyDescent="0.25">
      <c r="A8059" s="22"/>
      <c r="B8059" s="23"/>
      <c r="C8059" s="23"/>
      <c r="D8059" s="23"/>
      <c r="E8059" s="23"/>
    </row>
    <row r="8060" spans="1:5" x14ac:dyDescent="0.25">
      <c r="A8060" s="22"/>
      <c r="B8060" s="23"/>
      <c r="C8060" s="23"/>
      <c r="D8060" s="23"/>
      <c r="E8060" s="23"/>
    </row>
    <row r="8061" spans="1:5" x14ac:dyDescent="0.25">
      <c r="A8061" s="22"/>
      <c r="B8061" s="23"/>
      <c r="C8061" s="23"/>
      <c r="D8061" s="23"/>
      <c r="E8061" s="23"/>
    </row>
    <row r="8062" spans="1:5" x14ac:dyDescent="0.25">
      <c r="A8062" s="22"/>
      <c r="B8062" s="23"/>
      <c r="C8062" s="23"/>
      <c r="D8062" s="23"/>
      <c r="E8062" s="23"/>
    </row>
    <row r="8063" spans="1:5" x14ac:dyDescent="0.25">
      <c r="A8063" s="22"/>
      <c r="B8063" s="23"/>
      <c r="C8063" s="23"/>
      <c r="D8063" s="23"/>
      <c r="E8063" s="23"/>
    </row>
    <row r="8064" spans="1:5" x14ac:dyDescent="0.25">
      <c r="A8064" s="22"/>
      <c r="B8064" s="23"/>
      <c r="C8064" s="23"/>
      <c r="D8064" s="23"/>
      <c r="E8064" s="23"/>
    </row>
    <row r="8065" spans="1:5" x14ac:dyDescent="0.25">
      <c r="A8065" s="22"/>
      <c r="B8065" s="23"/>
      <c r="C8065" s="23"/>
      <c r="D8065" s="23"/>
      <c r="E8065" s="23"/>
    </row>
    <row r="8066" spans="1:5" x14ac:dyDescent="0.25">
      <c r="A8066" s="22"/>
      <c r="B8066" s="23"/>
      <c r="C8066" s="23"/>
      <c r="D8066" s="23"/>
      <c r="E8066" s="23"/>
    </row>
    <row r="8067" spans="1:5" x14ac:dyDescent="0.25">
      <c r="A8067" s="22"/>
      <c r="B8067" s="23"/>
      <c r="C8067" s="23"/>
      <c r="D8067" s="23"/>
      <c r="E8067" s="23"/>
    </row>
    <row r="8068" spans="1:5" x14ac:dyDescent="0.25">
      <c r="A8068" s="22"/>
      <c r="B8068" s="23"/>
      <c r="C8068" s="23"/>
      <c r="D8068" s="23"/>
      <c r="E8068" s="23"/>
    </row>
    <row r="8069" spans="1:5" x14ac:dyDescent="0.25">
      <c r="A8069" s="22"/>
      <c r="B8069" s="23"/>
      <c r="C8069" s="23"/>
      <c r="D8069" s="23"/>
      <c r="E8069" s="23"/>
    </row>
    <row r="8070" spans="1:5" x14ac:dyDescent="0.25">
      <c r="A8070" s="22"/>
      <c r="B8070" s="23"/>
      <c r="C8070" s="23"/>
      <c r="D8070" s="23"/>
      <c r="E8070" s="23"/>
    </row>
    <row r="8071" spans="1:5" x14ac:dyDescent="0.25">
      <c r="A8071" s="22"/>
      <c r="B8071" s="23"/>
      <c r="C8071" s="23"/>
      <c r="D8071" s="23"/>
      <c r="E8071" s="23"/>
    </row>
    <row r="8072" spans="1:5" x14ac:dyDescent="0.25">
      <c r="A8072" s="22"/>
      <c r="B8072" s="23"/>
      <c r="C8072" s="23"/>
      <c r="D8072" s="23"/>
      <c r="E8072" s="23"/>
    </row>
    <row r="8073" spans="1:5" x14ac:dyDescent="0.25">
      <c r="A8073" s="22"/>
      <c r="B8073" s="23"/>
      <c r="C8073" s="23"/>
      <c r="D8073" s="23"/>
      <c r="E8073" s="23"/>
    </row>
    <row r="8074" spans="1:5" x14ac:dyDescent="0.25">
      <c r="A8074" s="22"/>
      <c r="B8074" s="23"/>
      <c r="C8074" s="23"/>
      <c r="D8074" s="23"/>
      <c r="E8074" s="23"/>
    </row>
    <row r="8075" spans="1:5" x14ac:dyDescent="0.25">
      <c r="A8075" s="22"/>
      <c r="B8075" s="23"/>
      <c r="C8075" s="23"/>
      <c r="D8075" s="23"/>
      <c r="E8075" s="23"/>
    </row>
    <row r="8076" spans="1:5" x14ac:dyDescent="0.25">
      <c r="A8076" s="22"/>
      <c r="B8076" s="23"/>
      <c r="C8076" s="23"/>
      <c r="D8076" s="23"/>
      <c r="E8076" s="23"/>
    </row>
    <row r="8077" spans="1:5" x14ac:dyDescent="0.25">
      <c r="A8077" s="22"/>
      <c r="B8077" s="23"/>
      <c r="C8077" s="23"/>
      <c r="D8077" s="23"/>
      <c r="E8077" s="23"/>
    </row>
    <row r="8078" spans="1:5" x14ac:dyDescent="0.25">
      <c r="A8078" s="22"/>
      <c r="B8078" s="23"/>
      <c r="C8078" s="23"/>
      <c r="D8078" s="23"/>
      <c r="E8078" s="23"/>
    </row>
    <row r="8079" spans="1:5" x14ac:dyDescent="0.25">
      <c r="A8079" s="22"/>
      <c r="B8079" s="23"/>
      <c r="C8079" s="23"/>
      <c r="D8079" s="23"/>
      <c r="E8079" s="23"/>
    </row>
    <row r="8080" spans="1:5" x14ac:dyDescent="0.25">
      <c r="A8080" s="22"/>
      <c r="B8080" s="23"/>
      <c r="C8080" s="23"/>
      <c r="D8080" s="23"/>
      <c r="E8080" s="23"/>
    </row>
    <row r="8081" spans="1:5" x14ac:dyDescent="0.25">
      <c r="A8081" s="22"/>
      <c r="B8081" s="23"/>
      <c r="C8081" s="23"/>
      <c r="D8081" s="23"/>
      <c r="E8081" s="23"/>
    </row>
    <row r="8082" spans="1:5" x14ac:dyDescent="0.25">
      <c r="A8082" s="22"/>
      <c r="B8082" s="23"/>
      <c r="C8082" s="23"/>
      <c r="D8082" s="23"/>
      <c r="E8082" s="23"/>
    </row>
    <row r="8083" spans="1:5" x14ac:dyDescent="0.25">
      <c r="A8083" s="22"/>
      <c r="B8083" s="23"/>
      <c r="C8083" s="23"/>
      <c r="D8083" s="23"/>
      <c r="E8083" s="23"/>
    </row>
    <row r="8084" spans="1:5" x14ac:dyDescent="0.25">
      <c r="A8084" s="22"/>
      <c r="B8084" s="23"/>
      <c r="C8084" s="23"/>
      <c r="D8084" s="23"/>
      <c r="E8084" s="23"/>
    </row>
    <row r="8085" spans="1:5" x14ac:dyDescent="0.25">
      <c r="A8085" s="22"/>
      <c r="B8085" s="23"/>
      <c r="C8085" s="23"/>
      <c r="D8085" s="23"/>
      <c r="E8085" s="23"/>
    </row>
    <row r="8086" spans="1:5" x14ac:dyDescent="0.25">
      <c r="A8086" s="22"/>
      <c r="B8086" s="23"/>
      <c r="C8086" s="23"/>
      <c r="D8086" s="23"/>
      <c r="E8086" s="23"/>
    </row>
    <row r="8087" spans="1:5" x14ac:dyDescent="0.25">
      <c r="A8087" s="22"/>
      <c r="B8087" s="23"/>
      <c r="C8087" s="23"/>
      <c r="D8087" s="23"/>
      <c r="E8087" s="23"/>
    </row>
    <row r="8088" spans="1:5" x14ac:dyDescent="0.25">
      <c r="A8088" s="22"/>
      <c r="B8088" s="23"/>
      <c r="C8088" s="23"/>
      <c r="D8088" s="23"/>
      <c r="E8088" s="23"/>
    </row>
    <row r="8089" spans="1:5" x14ac:dyDescent="0.25">
      <c r="A8089" s="22"/>
      <c r="B8089" s="23"/>
      <c r="C8089" s="23"/>
      <c r="D8089" s="23"/>
      <c r="E8089" s="23"/>
    </row>
    <row r="8090" spans="1:5" x14ac:dyDescent="0.25">
      <c r="A8090" s="22"/>
      <c r="B8090" s="23"/>
      <c r="C8090" s="23"/>
      <c r="D8090" s="23"/>
      <c r="E8090" s="23"/>
    </row>
    <row r="8091" spans="1:5" x14ac:dyDescent="0.25">
      <c r="A8091" s="22"/>
      <c r="B8091" s="23"/>
      <c r="C8091" s="23"/>
      <c r="D8091" s="23"/>
      <c r="E8091" s="23"/>
    </row>
    <row r="8092" spans="1:5" x14ac:dyDescent="0.25">
      <c r="A8092" s="22"/>
      <c r="B8092" s="23"/>
      <c r="C8092" s="23"/>
      <c r="D8092" s="23"/>
      <c r="E8092" s="23"/>
    </row>
    <row r="8093" spans="1:5" x14ac:dyDescent="0.25">
      <c r="A8093" s="22"/>
      <c r="B8093" s="23"/>
      <c r="C8093" s="23"/>
      <c r="D8093" s="23"/>
      <c r="E8093" s="23"/>
    </row>
    <row r="8094" spans="1:5" x14ac:dyDescent="0.25">
      <c r="A8094" s="22"/>
      <c r="B8094" s="23"/>
      <c r="C8094" s="23"/>
      <c r="D8094" s="23"/>
      <c r="E8094" s="23"/>
    </row>
    <row r="8095" spans="1:5" x14ac:dyDescent="0.25">
      <c r="A8095" s="22"/>
      <c r="B8095" s="23"/>
      <c r="C8095" s="23"/>
      <c r="D8095" s="23"/>
      <c r="E8095" s="23"/>
    </row>
    <row r="8096" spans="1:5" x14ac:dyDescent="0.25">
      <c r="A8096" s="22"/>
      <c r="B8096" s="23"/>
      <c r="C8096" s="23"/>
      <c r="D8096" s="23"/>
      <c r="E8096" s="23"/>
    </row>
    <row r="8097" spans="1:5" x14ac:dyDescent="0.25">
      <c r="A8097" s="22"/>
      <c r="B8097" s="23"/>
      <c r="C8097" s="23"/>
      <c r="D8097" s="23"/>
      <c r="E8097" s="23"/>
    </row>
    <row r="8098" spans="1:5" x14ac:dyDescent="0.25">
      <c r="A8098" s="22"/>
      <c r="B8098" s="23"/>
      <c r="C8098" s="23"/>
      <c r="D8098" s="23"/>
      <c r="E8098" s="23"/>
    </row>
    <row r="8099" spans="1:5" x14ac:dyDescent="0.25">
      <c r="A8099" s="22"/>
      <c r="B8099" s="23"/>
      <c r="C8099" s="23"/>
      <c r="D8099" s="23"/>
      <c r="E8099" s="23"/>
    </row>
    <row r="8100" spans="1:5" x14ac:dyDescent="0.25">
      <c r="A8100" s="22"/>
      <c r="B8100" s="23"/>
      <c r="C8100" s="23"/>
      <c r="D8100" s="23"/>
      <c r="E8100" s="23"/>
    </row>
    <row r="8101" spans="1:5" x14ac:dyDescent="0.25">
      <c r="A8101" s="22"/>
      <c r="B8101" s="23"/>
      <c r="C8101" s="23"/>
      <c r="D8101" s="23"/>
      <c r="E8101" s="23"/>
    </row>
    <row r="8102" spans="1:5" x14ac:dyDescent="0.25">
      <c r="A8102" s="22"/>
      <c r="B8102" s="23"/>
      <c r="C8102" s="23"/>
      <c r="D8102" s="23"/>
      <c r="E8102" s="23"/>
    </row>
    <row r="8103" spans="1:5" x14ac:dyDescent="0.25">
      <c r="A8103" s="22"/>
      <c r="B8103" s="23"/>
      <c r="C8103" s="23"/>
      <c r="D8103" s="23"/>
      <c r="E8103" s="23"/>
    </row>
    <row r="8104" spans="1:5" x14ac:dyDescent="0.25">
      <c r="A8104" s="22"/>
      <c r="B8104" s="23"/>
      <c r="C8104" s="23"/>
      <c r="D8104" s="23"/>
      <c r="E8104" s="23"/>
    </row>
    <row r="8105" spans="1:5" x14ac:dyDescent="0.25">
      <c r="A8105" s="22"/>
      <c r="B8105" s="23"/>
      <c r="C8105" s="23"/>
      <c r="D8105" s="23"/>
      <c r="E8105" s="23"/>
    </row>
    <row r="8106" spans="1:5" x14ac:dyDescent="0.25">
      <c r="A8106" s="22"/>
      <c r="B8106" s="23"/>
      <c r="C8106" s="23"/>
      <c r="D8106" s="23"/>
      <c r="E8106" s="23"/>
    </row>
    <row r="8107" spans="1:5" x14ac:dyDescent="0.25">
      <c r="A8107" s="22"/>
      <c r="B8107" s="23"/>
      <c r="C8107" s="23"/>
      <c r="D8107" s="23"/>
      <c r="E8107" s="23"/>
    </row>
    <row r="8108" spans="1:5" x14ac:dyDescent="0.25">
      <c r="A8108" s="22"/>
      <c r="B8108" s="23"/>
      <c r="C8108" s="23"/>
      <c r="D8108" s="23"/>
      <c r="E8108" s="23"/>
    </row>
    <row r="8109" spans="1:5" x14ac:dyDescent="0.25">
      <c r="A8109" s="22"/>
      <c r="B8109" s="23"/>
      <c r="C8109" s="23"/>
      <c r="D8109" s="23"/>
      <c r="E8109" s="23"/>
    </row>
    <row r="8110" spans="1:5" x14ac:dyDescent="0.25">
      <c r="A8110" s="22"/>
      <c r="B8110" s="23"/>
      <c r="C8110" s="23"/>
      <c r="D8110" s="23"/>
      <c r="E8110" s="23"/>
    </row>
    <row r="8111" spans="1:5" x14ac:dyDescent="0.25">
      <c r="A8111" s="22"/>
      <c r="B8111" s="23"/>
      <c r="C8111" s="23"/>
      <c r="D8111" s="23"/>
      <c r="E8111" s="23"/>
    </row>
    <row r="8112" spans="1:5" x14ac:dyDescent="0.25">
      <c r="A8112" s="22"/>
      <c r="B8112" s="23"/>
      <c r="C8112" s="23"/>
      <c r="D8112" s="23"/>
      <c r="E8112" s="23"/>
    </row>
    <row r="8113" spans="1:5" x14ac:dyDescent="0.25">
      <c r="A8113" s="22"/>
      <c r="B8113" s="23"/>
      <c r="C8113" s="23"/>
      <c r="D8113" s="23"/>
      <c r="E8113" s="23"/>
    </row>
    <row r="8114" spans="1:5" x14ac:dyDescent="0.25">
      <c r="A8114" s="22"/>
      <c r="B8114" s="23"/>
      <c r="C8114" s="23"/>
      <c r="D8114" s="23"/>
      <c r="E8114" s="23"/>
    </row>
    <row r="8115" spans="1:5" x14ac:dyDescent="0.25">
      <c r="A8115" s="22"/>
      <c r="B8115" s="23"/>
      <c r="C8115" s="23"/>
      <c r="D8115" s="23"/>
      <c r="E8115" s="23"/>
    </row>
    <row r="8116" spans="1:5" x14ac:dyDescent="0.25">
      <c r="A8116" s="22"/>
      <c r="B8116" s="23"/>
      <c r="C8116" s="23"/>
      <c r="D8116" s="23"/>
      <c r="E8116" s="23"/>
    </row>
    <row r="8117" spans="1:5" x14ac:dyDescent="0.25">
      <c r="A8117" s="22"/>
      <c r="B8117" s="23"/>
      <c r="C8117" s="23"/>
      <c r="D8117" s="23"/>
      <c r="E8117" s="23"/>
    </row>
    <row r="8118" spans="1:5" x14ac:dyDescent="0.25">
      <c r="A8118" s="22"/>
      <c r="B8118" s="23"/>
      <c r="C8118" s="23"/>
      <c r="D8118" s="23"/>
      <c r="E8118" s="23"/>
    </row>
    <row r="8119" spans="1:5" x14ac:dyDescent="0.25">
      <c r="A8119" s="22"/>
      <c r="B8119" s="23"/>
      <c r="C8119" s="23"/>
      <c r="D8119" s="23"/>
      <c r="E8119" s="23"/>
    </row>
    <row r="8120" spans="1:5" x14ac:dyDescent="0.25">
      <c r="A8120" s="22"/>
      <c r="B8120" s="23"/>
      <c r="C8120" s="23"/>
      <c r="D8120" s="23"/>
      <c r="E8120" s="23"/>
    </row>
    <row r="8121" spans="1:5" x14ac:dyDescent="0.25">
      <c r="A8121" s="22"/>
      <c r="B8121" s="23"/>
      <c r="C8121" s="23"/>
      <c r="D8121" s="23"/>
      <c r="E8121" s="23"/>
    </row>
    <row r="8122" spans="1:5" x14ac:dyDescent="0.25">
      <c r="A8122" s="22"/>
      <c r="B8122" s="23"/>
      <c r="C8122" s="23"/>
      <c r="D8122" s="23"/>
      <c r="E8122" s="23"/>
    </row>
    <row r="8123" spans="1:5" x14ac:dyDescent="0.25">
      <c r="A8123" s="22"/>
      <c r="B8123" s="23"/>
      <c r="C8123" s="23"/>
      <c r="D8123" s="23"/>
      <c r="E8123" s="23"/>
    </row>
    <row r="8124" spans="1:5" x14ac:dyDescent="0.25">
      <c r="A8124" s="22"/>
      <c r="B8124" s="23"/>
      <c r="C8124" s="23"/>
      <c r="D8124" s="23"/>
      <c r="E8124" s="23"/>
    </row>
    <row r="8125" spans="1:5" x14ac:dyDescent="0.25">
      <c r="A8125" s="22"/>
      <c r="B8125" s="23"/>
      <c r="C8125" s="23"/>
      <c r="D8125" s="23"/>
      <c r="E8125" s="23"/>
    </row>
    <row r="8126" spans="1:5" x14ac:dyDescent="0.25">
      <c r="A8126" s="22"/>
      <c r="B8126" s="23"/>
      <c r="C8126" s="23"/>
      <c r="D8126" s="23"/>
      <c r="E8126" s="23"/>
    </row>
    <row r="8127" spans="1:5" x14ac:dyDescent="0.25">
      <c r="A8127" s="22"/>
      <c r="B8127" s="23"/>
      <c r="C8127" s="23"/>
      <c r="D8127" s="23"/>
      <c r="E8127" s="23"/>
    </row>
    <row r="8128" spans="1:5" x14ac:dyDescent="0.25">
      <c r="A8128" s="22"/>
      <c r="B8128" s="23"/>
      <c r="C8128" s="23"/>
      <c r="D8128" s="23"/>
      <c r="E8128" s="23"/>
    </row>
    <row r="8129" spans="1:5" x14ac:dyDescent="0.25">
      <c r="A8129" s="22"/>
      <c r="B8129" s="23"/>
      <c r="C8129" s="23"/>
      <c r="D8129" s="23"/>
      <c r="E8129" s="23"/>
    </row>
    <row r="8130" spans="1:5" x14ac:dyDescent="0.25">
      <c r="A8130" s="22"/>
      <c r="B8130" s="23"/>
      <c r="C8130" s="23"/>
      <c r="D8130" s="23"/>
      <c r="E8130" s="23"/>
    </row>
    <row r="8131" spans="1:5" x14ac:dyDescent="0.25">
      <c r="A8131" s="22"/>
      <c r="B8131" s="23"/>
      <c r="C8131" s="23"/>
      <c r="D8131" s="23"/>
      <c r="E8131" s="23"/>
    </row>
    <row r="8132" spans="1:5" x14ac:dyDescent="0.25">
      <c r="A8132" s="22"/>
      <c r="B8132" s="23"/>
      <c r="C8132" s="23"/>
      <c r="D8132" s="23"/>
      <c r="E8132" s="23"/>
    </row>
    <row r="8133" spans="1:5" x14ac:dyDescent="0.25">
      <c r="A8133" s="22"/>
      <c r="B8133" s="23"/>
      <c r="C8133" s="23"/>
      <c r="D8133" s="23"/>
      <c r="E8133" s="23"/>
    </row>
    <row r="8134" spans="1:5" x14ac:dyDescent="0.25">
      <c r="A8134" s="22"/>
      <c r="B8134" s="23"/>
      <c r="C8134" s="23"/>
      <c r="D8134" s="23"/>
      <c r="E8134" s="23"/>
    </row>
    <row r="8135" spans="1:5" x14ac:dyDescent="0.25">
      <c r="A8135" s="22"/>
      <c r="B8135" s="23"/>
      <c r="C8135" s="23"/>
      <c r="D8135" s="23"/>
      <c r="E8135" s="23"/>
    </row>
    <row r="8136" spans="1:5" x14ac:dyDescent="0.25">
      <c r="A8136" s="22"/>
      <c r="B8136" s="23"/>
      <c r="C8136" s="23"/>
      <c r="D8136" s="23"/>
      <c r="E8136" s="23"/>
    </row>
    <row r="8137" spans="1:5" x14ac:dyDescent="0.25">
      <c r="A8137" s="22"/>
      <c r="B8137" s="23"/>
      <c r="C8137" s="23"/>
      <c r="D8137" s="23"/>
      <c r="E8137" s="23"/>
    </row>
    <row r="8138" spans="1:5" x14ac:dyDescent="0.25">
      <c r="A8138" s="22"/>
      <c r="B8138" s="23"/>
      <c r="C8138" s="23"/>
      <c r="D8138" s="23"/>
      <c r="E8138" s="23"/>
    </row>
    <row r="8139" spans="1:5" x14ac:dyDescent="0.25">
      <c r="A8139" s="22"/>
      <c r="B8139" s="23"/>
      <c r="C8139" s="23"/>
      <c r="D8139" s="23"/>
      <c r="E8139" s="23"/>
    </row>
    <row r="8140" spans="1:5" x14ac:dyDescent="0.25">
      <c r="A8140" s="22"/>
      <c r="B8140" s="23"/>
      <c r="C8140" s="23"/>
      <c r="D8140" s="23"/>
      <c r="E8140" s="23"/>
    </row>
    <row r="8141" spans="1:5" x14ac:dyDescent="0.25">
      <c r="A8141" s="22"/>
      <c r="B8141" s="23"/>
      <c r="C8141" s="23"/>
      <c r="D8141" s="23"/>
      <c r="E8141" s="23"/>
    </row>
    <row r="8142" spans="1:5" x14ac:dyDescent="0.25">
      <c r="A8142" s="22"/>
      <c r="B8142" s="23"/>
      <c r="C8142" s="23"/>
      <c r="D8142" s="23"/>
      <c r="E8142" s="23"/>
    </row>
    <row r="8143" spans="1:5" x14ac:dyDescent="0.25">
      <c r="A8143" s="22"/>
      <c r="B8143" s="23"/>
      <c r="C8143" s="23"/>
      <c r="D8143" s="23"/>
      <c r="E8143" s="23"/>
    </row>
    <row r="8144" spans="1:5" x14ac:dyDescent="0.25">
      <c r="A8144" s="22"/>
      <c r="B8144" s="23"/>
      <c r="C8144" s="23"/>
      <c r="D8144" s="23"/>
      <c r="E8144" s="23"/>
    </row>
    <row r="8145" spans="1:5" x14ac:dyDescent="0.25">
      <c r="A8145" s="22"/>
      <c r="B8145" s="23"/>
      <c r="C8145" s="23"/>
      <c r="D8145" s="23"/>
      <c r="E8145" s="23"/>
    </row>
    <row r="8146" spans="1:5" x14ac:dyDescent="0.25">
      <c r="A8146" s="22"/>
      <c r="B8146" s="23"/>
      <c r="C8146" s="23"/>
      <c r="D8146" s="23"/>
      <c r="E8146" s="23"/>
    </row>
    <row r="8147" spans="1:5" x14ac:dyDescent="0.25">
      <c r="A8147" s="22"/>
      <c r="B8147" s="23"/>
      <c r="C8147" s="23"/>
      <c r="D8147" s="23"/>
      <c r="E8147" s="23"/>
    </row>
    <row r="8148" spans="1:5" x14ac:dyDescent="0.25">
      <c r="A8148" s="22"/>
      <c r="B8148" s="23"/>
      <c r="C8148" s="23"/>
      <c r="D8148" s="23"/>
      <c r="E8148" s="23"/>
    </row>
    <row r="8149" spans="1:5" x14ac:dyDescent="0.25">
      <c r="A8149" s="22"/>
      <c r="B8149" s="23"/>
      <c r="C8149" s="23"/>
      <c r="D8149" s="23"/>
      <c r="E8149" s="23"/>
    </row>
    <row r="8150" spans="1:5" x14ac:dyDescent="0.25">
      <c r="A8150" s="22"/>
      <c r="B8150" s="23"/>
      <c r="C8150" s="23"/>
      <c r="D8150" s="23"/>
      <c r="E8150" s="23"/>
    </row>
    <row r="8151" spans="1:5" x14ac:dyDescent="0.25">
      <c r="A8151" s="22"/>
      <c r="B8151" s="23"/>
      <c r="C8151" s="23"/>
      <c r="D8151" s="23"/>
      <c r="E8151" s="23"/>
    </row>
    <row r="8152" spans="1:5" x14ac:dyDescent="0.25">
      <c r="A8152" s="22"/>
      <c r="B8152" s="23"/>
      <c r="C8152" s="23"/>
      <c r="D8152" s="23"/>
      <c r="E8152" s="23"/>
    </row>
    <row r="8153" spans="1:5" x14ac:dyDescent="0.25">
      <c r="A8153" s="22"/>
      <c r="B8153" s="23"/>
      <c r="C8153" s="23"/>
      <c r="D8153" s="23"/>
      <c r="E8153" s="23"/>
    </row>
    <row r="8154" spans="1:5" x14ac:dyDescent="0.25">
      <c r="A8154" s="22"/>
      <c r="B8154" s="23"/>
      <c r="C8154" s="23"/>
      <c r="D8154" s="23"/>
      <c r="E8154" s="23"/>
    </row>
    <row r="8155" spans="1:5" x14ac:dyDescent="0.25">
      <c r="A8155" s="22"/>
      <c r="B8155" s="23"/>
      <c r="C8155" s="23"/>
      <c r="D8155" s="23"/>
      <c r="E8155" s="23"/>
    </row>
    <row r="8156" spans="1:5" x14ac:dyDescent="0.25">
      <c r="A8156" s="22"/>
      <c r="B8156" s="23"/>
      <c r="C8156" s="23"/>
      <c r="D8156" s="23"/>
      <c r="E8156" s="23"/>
    </row>
    <row r="8157" spans="1:5" x14ac:dyDescent="0.25">
      <c r="A8157" s="22"/>
      <c r="B8157" s="23"/>
      <c r="C8157" s="23"/>
      <c r="D8157" s="23"/>
      <c r="E8157" s="23"/>
    </row>
    <row r="8158" spans="1:5" x14ac:dyDescent="0.25">
      <c r="A8158" s="22"/>
      <c r="B8158" s="23"/>
      <c r="C8158" s="23"/>
      <c r="D8158" s="23"/>
      <c r="E8158" s="23"/>
    </row>
    <row r="8159" spans="1:5" x14ac:dyDescent="0.25">
      <c r="A8159" s="22"/>
      <c r="B8159" s="23"/>
      <c r="C8159" s="23"/>
      <c r="D8159" s="23"/>
      <c r="E8159" s="23"/>
    </row>
    <row r="8160" spans="1:5" x14ac:dyDescent="0.25">
      <c r="A8160" s="22"/>
      <c r="B8160" s="23"/>
      <c r="C8160" s="23"/>
      <c r="D8160" s="23"/>
      <c r="E8160" s="23"/>
    </row>
    <row r="8161" spans="1:5" x14ac:dyDescent="0.25">
      <c r="A8161" s="22"/>
      <c r="B8161" s="23"/>
      <c r="C8161" s="23"/>
      <c r="D8161" s="23"/>
      <c r="E8161" s="23"/>
    </row>
    <row r="8162" spans="1:5" x14ac:dyDescent="0.25">
      <c r="A8162" s="22"/>
      <c r="B8162" s="23"/>
      <c r="C8162" s="23"/>
      <c r="D8162" s="23"/>
      <c r="E8162" s="23"/>
    </row>
    <row r="8163" spans="1:5" x14ac:dyDescent="0.25">
      <c r="A8163" s="22"/>
      <c r="B8163" s="23"/>
      <c r="C8163" s="23"/>
      <c r="D8163" s="23"/>
      <c r="E8163" s="23"/>
    </row>
    <row r="8164" spans="1:5" x14ac:dyDescent="0.25">
      <c r="A8164" s="22"/>
      <c r="B8164" s="23"/>
      <c r="C8164" s="23"/>
      <c r="D8164" s="23"/>
      <c r="E8164" s="23"/>
    </row>
    <row r="8165" spans="1:5" x14ac:dyDescent="0.25">
      <c r="A8165" s="22"/>
      <c r="B8165" s="23"/>
      <c r="C8165" s="23"/>
      <c r="D8165" s="23"/>
      <c r="E8165" s="23"/>
    </row>
    <row r="8166" spans="1:5" x14ac:dyDescent="0.25">
      <c r="A8166" s="22"/>
      <c r="B8166" s="23"/>
      <c r="C8166" s="23"/>
      <c r="D8166" s="23"/>
      <c r="E8166" s="23"/>
    </row>
    <row r="8167" spans="1:5" x14ac:dyDescent="0.25">
      <c r="A8167" s="22"/>
      <c r="B8167" s="23"/>
      <c r="C8167" s="23"/>
      <c r="D8167" s="23"/>
      <c r="E8167" s="23"/>
    </row>
    <row r="8168" spans="1:5" x14ac:dyDescent="0.25">
      <c r="A8168" s="22"/>
      <c r="B8168" s="23"/>
      <c r="C8168" s="23"/>
      <c r="D8168" s="23"/>
      <c r="E8168" s="23"/>
    </row>
    <row r="8169" spans="1:5" x14ac:dyDescent="0.25">
      <c r="A8169" s="22"/>
      <c r="B8169" s="23"/>
      <c r="C8169" s="23"/>
      <c r="D8169" s="23"/>
      <c r="E8169" s="23"/>
    </row>
    <row r="8170" spans="1:5" x14ac:dyDescent="0.25">
      <c r="A8170" s="22"/>
      <c r="B8170" s="23"/>
      <c r="C8170" s="23"/>
      <c r="D8170" s="23"/>
      <c r="E8170" s="23"/>
    </row>
    <row r="8171" spans="1:5" x14ac:dyDescent="0.25">
      <c r="A8171" s="22"/>
      <c r="B8171" s="23"/>
      <c r="C8171" s="23"/>
      <c r="D8171" s="23"/>
      <c r="E8171" s="23"/>
    </row>
    <row r="8172" spans="1:5" x14ac:dyDescent="0.25">
      <c r="A8172" s="22"/>
      <c r="B8172" s="23"/>
      <c r="C8172" s="23"/>
      <c r="D8172" s="23"/>
      <c r="E8172" s="23"/>
    </row>
    <row r="8173" spans="1:5" x14ac:dyDescent="0.25">
      <c r="A8173" s="22"/>
      <c r="B8173" s="23"/>
      <c r="C8173" s="23"/>
      <c r="D8173" s="23"/>
      <c r="E8173" s="23"/>
    </row>
    <row r="8174" spans="1:5" x14ac:dyDescent="0.25">
      <c r="A8174" s="22"/>
      <c r="B8174" s="23"/>
      <c r="C8174" s="23"/>
      <c r="D8174" s="23"/>
      <c r="E8174" s="23"/>
    </row>
    <row r="8175" spans="1:5" x14ac:dyDescent="0.25">
      <c r="A8175" s="22"/>
      <c r="B8175" s="23"/>
      <c r="C8175" s="23"/>
      <c r="D8175" s="23"/>
      <c r="E8175" s="23"/>
    </row>
    <row r="8176" spans="1:5" x14ac:dyDescent="0.25">
      <c r="A8176" s="22"/>
      <c r="B8176" s="23"/>
      <c r="C8176" s="23"/>
      <c r="D8176" s="23"/>
      <c r="E8176" s="23"/>
    </row>
    <row r="8177" spans="1:5" x14ac:dyDescent="0.25">
      <c r="A8177" s="22"/>
      <c r="B8177" s="23"/>
      <c r="C8177" s="23"/>
      <c r="D8177" s="23"/>
      <c r="E8177" s="23"/>
    </row>
    <row r="8178" spans="1:5" x14ac:dyDescent="0.25">
      <c r="A8178" s="22"/>
      <c r="B8178" s="23"/>
      <c r="C8178" s="23"/>
      <c r="D8178" s="23"/>
      <c r="E8178" s="23"/>
    </row>
    <row r="8179" spans="1:5" x14ac:dyDescent="0.25">
      <c r="A8179" s="22"/>
      <c r="B8179" s="23"/>
      <c r="C8179" s="23"/>
      <c r="D8179" s="23"/>
      <c r="E8179" s="23"/>
    </row>
    <row r="8180" spans="1:5" x14ac:dyDescent="0.25">
      <c r="A8180" s="22"/>
      <c r="B8180" s="23"/>
      <c r="C8180" s="23"/>
      <c r="D8180" s="23"/>
      <c r="E8180" s="23"/>
    </row>
    <row r="8181" spans="1:5" x14ac:dyDescent="0.25">
      <c r="A8181" s="22"/>
      <c r="B8181" s="23"/>
      <c r="C8181" s="23"/>
      <c r="D8181" s="23"/>
      <c r="E8181" s="23"/>
    </row>
    <row r="8182" spans="1:5" x14ac:dyDescent="0.25">
      <c r="A8182" s="22"/>
      <c r="B8182" s="23"/>
      <c r="C8182" s="23"/>
      <c r="D8182" s="23"/>
      <c r="E8182" s="23"/>
    </row>
    <row r="8183" spans="1:5" x14ac:dyDescent="0.25">
      <c r="A8183" s="22"/>
      <c r="B8183" s="23"/>
      <c r="C8183" s="23"/>
      <c r="D8183" s="23"/>
      <c r="E8183" s="23"/>
    </row>
    <row r="8184" spans="1:5" x14ac:dyDescent="0.25">
      <c r="A8184" s="22"/>
      <c r="B8184" s="23"/>
      <c r="C8184" s="23"/>
      <c r="D8184" s="23"/>
      <c r="E8184" s="23"/>
    </row>
    <row r="8185" spans="1:5" x14ac:dyDescent="0.25">
      <c r="A8185" s="22"/>
      <c r="B8185" s="23"/>
      <c r="C8185" s="23"/>
      <c r="D8185" s="23"/>
      <c r="E8185" s="23"/>
    </row>
    <row r="8186" spans="1:5" x14ac:dyDescent="0.25">
      <c r="A8186" s="22"/>
      <c r="B8186" s="23"/>
      <c r="C8186" s="23"/>
      <c r="D8186" s="23"/>
      <c r="E8186" s="23"/>
    </row>
    <row r="8187" spans="1:5" x14ac:dyDescent="0.25">
      <c r="A8187" s="22"/>
      <c r="B8187" s="23"/>
      <c r="C8187" s="23"/>
      <c r="D8187" s="23"/>
      <c r="E8187" s="23"/>
    </row>
    <row r="8188" spans="1:5" x14ac:dyDescent="0.25">
      <c r="A8188" s="22"/>
      <c r="B8188" s="23"/>
      <c r="C8188" s="23"/>
      <c r="D8188" s="23"/>
      <c r="E8188" s="23"/>
    </row>
    <row r="8189" spans="1:5" x14ac:dyDescent="0.25">
      <c r="A8189" s="22"/>
      <c r="B8189" s="23"/>
      <c r="C8189" s="23"/>
      <c r="D8189" s="23"/>
      <c r="E8189" s="23"/>
    </row>
    <row r="8190" spans="1:5" x14ac:dyDescent="0.25">
      <c r="A8190" s="22"/>
      <c r="B8190" s="23"/>
      <c r="C8190" s="23"/>
      <c r="D8190" s="23"/>
      <c r="E8190" s="23"/>
    </row>
    <row r="8191" spans="1:5" x14ac:dyDescent="0.25">
      <c r="A8191" s="22"/>
      <c r="B8191" s="23"/>
      <c r="C8191" s="23"/>
      <c r="D8191" s="23"/>
      <c r="E8191" s="23"/>
    </row>
    <row r="8192" spans="1:5" x14ac:dyDescent="0.25">
      <c r="A8192" s="22"/>
      <c r="B8192" s="23"/>
      <c r="C8192" s="23"/>
      <c r="D8192" s="23"/>
      <c r="E8192" s="23"/>
    </row>
    <row r="8193" spans="1:5" x14ac:dyDescent="0.25">
      <c r="A8193" s="22"/>
      <c r="B8193" s="23"/>
      <c r="C8193" s="23"/>
      <c r="D8193" s="23"/>
      <c r="E8193" s="23"/>
    </row>
    <row r="8194" spans="1:5" x14ac:dyDescent="0.25">
      <c r="A8194" s="22"/>
      <c r="B8194" s="23"/>
      <c r="C8194" s="23"/>
      <c r="D8194" s="23"/>
      <c r="E8194" s="23"/>
    </row>
    <row r="8195" spans="1:5" x14ac:dyDescent="0.25">
      <c r="A8195" s="22"/>
      <c r="B8195" s="23"/>
      <c r="C8195" s="23"/>
      <c r="D8195" s="23"/>
      <c r="E8195" s="23"/>
    </row>
    <row r="8196" spans="1:5" x14ac:dyDescent="0.25">
      <c r="A8196" s="22"/>
      <c r="B8196" s="23"/>
      <c r="C8196" s="23"/>
      <c r="D8196" s="23"/>
      <c r="E8196" s="23"/>
    </row>
    <row r="8197" spans="1:5" x14ac:dyDescent="0.25">
      <c r="A8197" s="22"/>
      <c r="B8197" s="23"/>
      <c r="C8197" s="23"/>
      <c r="D8197" s="23"/>
      <c r="E8197" s="23"/>
    </row>
    <row r="8198" spans="1:5" x14ac:dyDescent="0.25">
      <c r="A8198" s="22"/>
      <c r="B8198" s="23"/>
      <c r="C8198" s="23"/>
      <c r="D8198" s="23"/>
      <c r="E8198" s="23"/>
    </row>
    <row r="8199" spans="1:5" x14ac:dyDescent="0.25">
      <c r="A8199" s="22"/>
      <c r="B8199" s="23"/>
      <c r="C8199" s="23"/>
      <c r="D8199" s="23"/>
      <c r="E8199" s="23"/>
    </row>
    <row r="8200" spans="1:5" x14ac:dyDescent="0.25">
      <c r="A8200" s="22"/>
      <c r="B8200" s="23"/>
      <c r="C8200" s="23"/>
      <c r="D8200" s="23"/>
      <c r="E8200" s="23"/>
    </row>
    <row r="8201" spans="1:5" x14ac:dyDescent="0.25">
      <c r="A8201" s="22"/>
      <c r="B8201" s="23"/>
      <c r="C8201" s="23"/>
      <c r="D8201" s="23"/>
      <c r="E8201" s="23"/>
    </row>
    <row r="8202" spans="1:5" x14ac:dyDescent="0.25">
      <c r="A8202" s="22"/>
      <c r="B8202" s="23"/>
      <c r="C8202" s="23"/>
      <c r="D8202" s="23"/>
      <c r="E8202" s="23"/>
    </row>
    <row r="8203" spans="1:5" x14ac:dyDescent="0.25">
      <c r="A8203" s="22"/>
      <c r="B8203" s="23"/>
      <c r="C8203" s="23"/>
      <c r="D8203" s="23"/>
      <c r="E8203" s="23"/>
    </row>
    <row r="8204" spans="1:5" x14ac:dyDescent="0.25">
      <c r="A8204" s="22"/>
      <c r="B8204" s="23"/>
      <c r="C8204" s="23"/>
      <c r="D8204" s="23"/>
      <c r="E8204" s="23"/>
    </row>
    <row r="8205" spans="1:5" x14ac:dyDescent="0.25">
      <c r="A8205" s="22"/>
      <c r="B8205" s="23"/>
      <c r="C8205" s="23"/>
      <c r="D8205" s="23"/>
      <c r="E8205" s="23"/>
    </row>
    <row r="8206" spans="1:5" x14ac:dyDescent="0.25">
      <c r="A8206" s="22"/>
      <c r="B8206" s="23"/>
      <c r="C8206" s="23"/>
      <c r="D8206" s="23"/>
      <c r="E8206" s="23"/>
    </row>
    <row r="8207" spans="1:5" x14ac:dyDescent="0.25">
      <c r="A8207" s="22"/>
      <c r="B8207" s="23"/>
      <c r="C8207" s="23"/>
      <c r="D8207" s="23"/>
      <c r="E8207" s="23"/>
    </row>
    <row r="8208" spans="1:5" x14ac:dyDescent="0.25">
      <c r="A8208" s="22"/>
      <c r="B8208" s="23"/>
      <c r="C8208" s="23"/>
      <c r="D8208" s="23"/>
      <c r="E8208" s="23"/>
    </row>
    <row r="8209" spans="1:5" x14ac:dyDescent="0.25">
      <c r="A8209" s="22"/>
      <c r="B8209" s="23"/>
      <c r="C8209" s="23"/>
      <c r="D8209" s="23"/>
      <c r="E8209" s="23"/>
    </row>
    <row r="8210" spans="1:5" x14ac:dyDescent="0.25">
      <c r="A8210" s="22"/>
      <c r="B8210" s="23"/>
      <c r="C8210" s="23"/>
      <c r="D8210" s="23"/>
      <c r="E8210" s="23"/>
    </row>
    <row r="8211" spans="1:5" x14ac:dyDescent="0.25">
      <c r="A8211" s="22"/>
      <c r="B8211" s="23"/>
      <c r="C8211" s="23"/>
      <c r="D8211" s="23"/>
      <c r="E8211" s="23"/>
    </row>
    <row r="8212" spans="1:5" x14ac:dyDescent="0.25">
      <c r="A8212" s="22"/>
      <c r="B8212" s="23"/>
      <c r="C8212" s="23"/>
      <c r="D8212" s="23"/>
      <c r="E8212" s="23"/>
    </row>
    <row r="8213" spans="1:5" x14ac:dyDescent="0.25">
      <c r="A8213" s="22"/>
      <c r="B8213" s="23"/>
      <c r="C8213" s="23"/>
      <c r="D8213" s="23"/>
      <c r="E8213" s="23"/>
    </row>
    <row r="8214" spans="1:5" x14ac:dyDescent="0.25">
      <c r="A8214" s="22"/>
      <c r="B8214" s="23"/>
      <c r="C8214" s="23"/>
      <c r="D8214" s="23"/>
      <c r="E8214" s="23"/>
    </row>
    <row r="8215" spans="1:5" x14ac:dyDescent="0.25">
      <c r="A8215" s="22"/>
      <c r="B8215" s="23"/>
      <c r="C8215" s="23"/>
      <c r="D8215" s="23"/>
      <c r="E8215" s="23"/>
    </row>
    <row r="8216" spans="1:5" x14ac:dyDescent="0.25">
      <c r="A8216" s="22"/>
      <c r="B8216" s="23"/>
      <c r="C8216" s="23"/>
      <c r="D8216" s="23"/>
      <c r="E8216" s="23"/>
    </row>
    <row r="8217" spans="1:5" x14ac:dyDescent="0.25">
      <c r="A8217" s="22"/>
      <c r="B8217" s="23"/>
      <c r="C8217" s="23"/>
      <c r="D8217" s="23"/>
      <c r="E8217" s="23"/>
    </row>
    <row r="8218" spans="1:5" x14ac:dyDescent="0.25">
      <c r="A8218" s="22"/>
      <c r="B8218" s="23"/>
      <c r="C8218" s="23"/>
      <c r="D8218" s="23"/>
      <c r="E8218" s="23"/>
    </row>
    <row r="8219" spans="1:5" x14ac:dyDescent="0.25">
      <c r="A8219" s="22"/>
      <c r="B8219" s="23"/>
      <c r="C8219" s="23"/>
      <c r="D8219" s="23"/>
      <c r="E8219" s="23"/>
    </row>
    <row r="8220" spans="1:5" x14ac:dyDescent="0.25">
      <c r="A8220" s="22"/>
      <c r="B8220" s="23"/>
      <c r="C8220" s="23"/>
      <c r="D8220" s="23"/>
      <c r="E8220" s="23"/>
    </row>
    <row r="8221" spans="1:5" x14ac:dyDescent="0.25">
      <c r="A8221" s="22"/>
      <c r="B8221" s="23"/>
      <c r="C8221" s="23"/>
      <c r="D8221" s="23"/>
      <c r="E8221" s="23"/>
    </row>
    <row r="8222" spans="1:5" x14ac:dyDescent="0.25">
      <c r="A8222" s="22"/>
      <c r="B8222" s="23"/>
      <c r="C8222" s="23"/>
      <c r="D8222" s="23"/>
      <c r="E8222" s="23"/>
    </row>
    <row r="8223" spans="1:5" x14ac:dyDescent="0.25">
      <c r="A8223" s="22"/>
      <c r="B8223" s="23"/>
      <c r="C8223" s="23"/>
      <c r="D8223" s="23"/>
      <c r="E8223" s="23"/>
    </row>
    <row r="8224" spans="1:5" x14ac:dyDescent="0.25">
      <c r="A8224" s="22"/>
      <c r="B8224" s="23"/>
      <c r="C8224" s="23"/>
      <c r="D8224" s="23"/>
      <c r="E8224" s="23"/>
    </row>
    <row r="8225" spans="1:5" x14ac:dyDescent="0.25">
      <c r="A8225" s="22"/>
      <c r="B8225" s="23"/>
      <c r="C8225" s="23"/>
      <c r="D8225" s="23"/>
      <c r="E8225" s="23"/>
    </row>
    <row r="8226" spans="1:5" x14ac:dyDescent="0.25">
      <c r="A8226" s="22"/>
      <c r="B8226" s="23"/>
      <c r="C8226" s="23"/>
      <c r="D8226" s="23"/>
      <c r="E8226" s="23"/>
    </row>
    <row r="8227" spans="1:5" x14ac:dyDescent="0.25">
      <c r="A8227" s="22"/>
      <c r="B8227" s="23"/>
      <c r="C8227" s="23"/>
      <c r="D8227" s="23"/>
      <c r="E8227" s="23"/>
    </row>
    <row r="8228" spans="1:5" x14ac:dyDescent="0.25">
      <c r="A8228" s="22"/>
      <c r="B8228" s="23"/>
      <c r="C8228" s="23"/>
      <c r="D8228" s="23"/>
      <c r="E8228" s="23"/>
    </row>
    <row r="8229" spans="1:5" x14ac:dyDescent="0.25">
      <c r="A8229" s="22"/>
      <c r="B8229" s="23"/>
      <c r="C8229" s="23"/>
      <c r="D8229" s="23"/>
      <c r="E8229" s="23"/>
    </row>
    <row r="8230" spans="1:5" x14ac:dyDescent="0.25">
      <c r="A8230" s="22"/>
      <c r="B8230" s="23"/>
      <c r="C8230" s="23"/>
      <c r="D8230" s="23"/>
      <c r="E8230" s="23"/>
    </row>
    <row r="8231" spans="1:5" x14ac:dyDescent="0.25">
      <c r="A8231" s="22"/>
      <c r="B8231" s="23"/>
      <c r="C8231" s="23"/>
      <c r="D8231" s="23"/>
      <c r="E8231" s="23"/>
    </row>
    <row r="8232" spans="1:5" x14ac:dyDescent="0.25">
      <c r="A8232" s="22"/>
      <c r="B8232" s="23"/>
      <c r="C8232" s="23"/>
      <c r="D8232" s="23"/>
      <c r="E8232" s="23"/>
    </row>
    <row r="8233" spans="1:5" x14ac:dyDescent="0.25">
      <c r="A8233" s="22"/>
      <c r="B8233" s="23"/>
      <c r="C8233" s="23"/>
      <c r="D8233" s="23"/>
      <c r="E8233" s="23"/>
    </row>
    <row r="8234" spans="1:5" x14ac:dyDescent="0.25">
      <c r="A8234" s="22"/>
      <c r="B8234" s="23"/>
      <c r="C8234" s="23"/>
      <c r="D8234" s="23"/>
      <c r="E8234" s="23"/>
    </row>
    <row r="8235" spans="1:5" x14ac:dyDescent="0.25">
      <c r="A8235" s="22"/>
      <c r="B8235" s="23"/>
      <c r="C8235" s="23"/>
      <c r="D8235" s="23"/>
      <c r="E8235" s="23"/>
    </row>
    <row r="8236" spans="1:5" x14ac:dyDescent="0.25">
      <c r="A8236" s="22"/>
      <c r="B8236" s="23"/>
      <c r="C8236" s="23"/>
      <c r="D8236" s="23"/>
      <c r="E8236" s="23"/>
    </row>
    <row r="8237" spans="1:5" x14ac:dyDescent="0.25">
      <c r="A8237" s="22"/>
      <c r="B8237" s="23"/>
      <c r="C8237" s="23"/>
      <c r="D8237" s="23"/>
      <c r="E8237" s="23"/>
    </row>
    <row r="8238" spans="1:5" x14ac:dyDescent="0.25">
      <c r="A8238" s="22"/>
      <c r="B8238" s="23"/>
      <c r="C8238" s="23"/>
      <c r="D8238" s="23"/>
      <c r="E8238" s="23"/>
    </row>
    <row r="8239" spans="1:5" x14ac:dyDescent="0.25">
      <c r="A8239" s="22"/>
      <c r="B8239" s="23"/>
      <c r="C8239" s="23"/>
      <c r="D8239" s="23"/>
      <c r="E8239" s="23"/>
    </row>
    <row r="8240" spans="1:5" x14ac:dyDescent="0.25">
      <c r="A8240" s="22"/>
      <c r="B8240" s="23"/>
      <c r="C8240" s="23"/>
      <c r="D8240" s="23"/>
      <c r="E8240" s="23"/>
    </row>
    <row r="8241" spans="1:5" x14ac:dyDescent="0.25">
      <c r="A8241" s="22"/>
      <c r="B8241" s="23"/>
      <c r="C8241" s="23"/>
      <c r="D8241" s="23"/>
      <c r="E8241" s="23"/>
    </row>
    <row r="8242" spans="1:5" x14ac:dyDescent="0.25">
      <c r="A8242" s="22"/>
      <c r="B8242" s="23"/>
      <c r="C8242" s="23"/>
      <c r="D8242" s="23"/>
      <c r="E8242" s="23"/>
    </row>
    <row r="8243" spans="1:5" x14ac:dyDescent="0.25">
      <c r="A8243" s="22"/>
      <c r="B8243" s="23"/>
      <c r="C8243" s="23"/>
      <c r="D8243" s="23"/>
      <c r="E8243" s="23"/>
    </row>
    <row r="8244" spans="1:5" x14ac:dyDescent="0.25">
      <c r="A8244" s="22"/>
      <c r="B8244" s="23"/>
      <c r="C8244" s="23"/>
      <c r="D8244" s="23"/>
      <c r="E8244" s="23"/>
    </row>
    <row r="8245" spans="1:5" x14ac:dyDescent="0.25">
      <c r="A8245" s="22"/>
      <c r="B8245" s="23"/>
      <c r="C8245" s="23"/>
      <c r="D8245" s="23"/>
      <c r="E8245" s="23"/>
    </row>
    <row r="8246" spans="1:5" x14ac:dyDescent="0.25">
      <c r="A8246" s="22"/>
      <c r="B8246" s="23"/>
      <c r="C8246" s="23"/>
      <c r="D8246" s="23"/>
      <c r="E8246" s="23"/>
    </row>
    <row r="8247" spans="1:5" x14ac:dyDescent="0.25">
      <c r="A8247" s="22"/>
      <c r="B8247" s="23"/>
      <c r="C8247" s="23"/>
      <c r="D8247" s="23"/>
      <c r="E8247" s="23"/>
    </row>
    <row r="8248" spans="1:5" x14ac:dyDescent="0.25">
      <c r="A8248" s="22"/>
      <c r="B8248" s="23"/>
      <c r="C8248" s="23"/>
      <c r="D8248" s="23"/>
      <c r="E8248" s="23"/>
    </row>
    <row r="8249" spans="1:5" x14ac:dyDescent="0.25">
      <c r="A8249" s="22"/>
      <c r="B8249" s="23"/>
      <c r="C8249" s="23"/>
      <c r="D8249" s="23"/>
      <c r="E8249" s="23"/>
    </row>
    <row r="8250" spans="1:5" x14ac:dyDescent="0.25">
      <c r="A8250" s="22"/>
      <c r="B8250" s="23"/>
      <c r="C8250" s="23"/>
      <c r="D8250" s="23"/>
      <c r="E8250" s="23"/>
    </row>
    <row r="8251" spans="1:5" x14ac:dyDescent="0.25">
      <c r="A8251" s="22"/>
      <c r="B8251" s="23"/>
      <c r="C8251" s="23"/>
      <c r="D8251" s="23"/>
      <c r="E8251" s="23"/>
    </row>
    <row r="8252" spans="1:5" x14ac:dyDescent="0.25">
      <c r="A8252" s="22"/>
      <c r="B8252" s="23"/>
      <c r="C8252" s="23"/>
      <c r="D8252" s="23"/>
      <c r="E8252" s="23"/>
    </row>
    <row r="8253" spans="1:5" x14ac:dyDescent="0.25">
      <c r="A8253" s="22"/>
      <c r="B8253" s="23"/>
      <c r="C8253" s="23"/>
      <c r="D8253" s="23"/>
      <c r="E8253" s="23"/>
    </row>
    <row r="8254" spans="1:5" x14ac:dyDescent="0.25">
      <c r="A8254" s="22"/>
      <c r="B8254" s="23"/>
      <c r="C8254" s="23"/>
      <c r="D8254" s="23"/>
      <c r="E8254" s="23"/>
    </row>
    <row r="8255" spans="1:5" x14ac:dyDescent="0.25">
      <c r="A8255" s="22"/>
      <c r="B8255" s="23"/>
      <c r="C8255" s="23"/>
      <c r="D8255" s="23"/>
      <c r="E8255" s="23"/>
    </row>
    <row r="8256" spans="1:5" x14ac:dyDescent="0.25">
      <c r="A8256" s="22"/>
      <c r="B8256" s="23"/>
      <c r="C8256" s="23"/>
      <c r="D8256" s="23"/>
      <c r="E8256" s="23"/>
    </row>
    <row r="8257" spans="1:5" x14ac:dyDescent="0.25">
      <c r="A8257" s="22"/>
      <c r="B8257" s="23"/>
      <c r="C8257" s="23"/>
      <c r="D8257" s="23"/>
      <c r="E8257" s="23"/>
    </row>
    <row r="8258" spans="1:5" x14ac:dyDescent="0.25">
      <c r="A8258" s="22"/>
      <c r="B8258" s="23"/>
      <c r="C8258" s="23"/>
      <c r="D8258" s="23"/>
      <c r="E8258" s="23"/>
    </row>
    <row r="8259" spans="1:5" x14ac:dyDescent="0.25">
      <c r="A8259" s="22"/>
      <c r="B8259" s="23"/>
      <c r="C8259" s="23"/>
      <c r="D8259" s="23"/>
      <c r="E8259" s="23"/>
    </row>
    <row r="8260" spans="1:5" x14ac:dyDescent="0.25">
      <c r="A8260" s="22"/>
      <c r="B8260" s="23"/>
      <c r="C8260" s="23"/>
      <c r="D8260" s="23"/>
      <c r="E8260" s="23"/>
    </row>
    <row r="8261" spans="1:5" x14ac:dyDescent="0.25">
      <c r="A8261" s="22"/>
      <c r="B8261" s="23"/>
      <c r="C8261" s="23"/>
      <c r="D8261" s="23"/>
      <c r="E8261" s="23"/>
    </row>
    <row r="8262" spans="1:5" x14ac:dyDescent="0.25">
      <c r="A8262" s="22"/>
      <c r="B8262" s="23"/>
      <c r="C8262" s="23"/>
      <c r="D8262" s="23"/>
      <c r="E8262" s="23"/>
    </row>
    <row r="8263" spans="1:5" x14ac:dyDescent="0.25">
      <c r="A8263" s="22"/>
      <c r="B8263" s="23"/>
      <c r="C8263" s="23"/>
      <c r="D8263" s="23"/>
      <c r="E8263" s="23"/>
    </row>
    <row r="8264" spans="1:5" x14ac:dyDescent="0.25">
      <c r="A8264" s="22"/>
      <c r="B8264" s="23"/>
      <c r="C8264" s="23"/>
      <c r="D8264" s="23"/>
      <c r="E8264" s="23"/>
    </row>
    <row r="8265" spans="1:5" x14ac:dyDescent="0.25">
      <c r="A8265" s="22"/>
      <c r="B8265" s="23"/>
      <c r="C8265" s="23"/>
      <c r="D8265" s="23"/>
      <c r="E8265" s="23"/>
    </row>
    <row r="8266" spans="1:5" x14ac:dyDescent="0.25">
      <c r="A8266" s="22"/>
      <c r="B8266" s="23"/>
      <c r="C8266" s="23"/>
      <c r="D8266" s="23"/>
      <c r="E8266" s="23"/>
    </row>
    <row r="8267" spans="1:5" x14ac:dyDescent="0.25">
      <c r="A8267" s="22"/>
      <c r="B8267" s="23"/>
      <c r="C8267" s="23"/>
      <c r="D8267" s="23"/>
      <c r="E8267" s="23"/>
    </row>
    <row r="8268" spans="1:5" x14ac:dyDescent="0.25">
      <c r="A8268" s="22"/>
      <c r="B8268" s="23"/>
      <c r="C8268" s="23"/>
      <c r="D8268" s="23"/>
      <c r="E8268" s="23"/>
    </row>
    <row r="8269" spans="1:5" x14ac:dyDescent="0.25">
      <c r="A8269" s="22"/>
      <c r="B8269" s="23"/>
      <c r="C8269" s="23"/>
      <c r="D8269" s="23"/>
      <c r="E8269" s="23"/>
    </row>
    <row r="8270" spans="1:5" x14ac:dyDescent="0.25">
      <c r="A8270" s="22"/>
      <c r="B8270" s="23"/>
      <c r="C8270" s="23"/>
      <c r="D8270" s="23"/>
      <c r="E8270" s="23"/>
    </row>
    <row r="8271" spans="1:5" x14ac:dyDescent="0.25">
      <c r="A8271" s="22"/>
      <c r="B8271" s="23"/>
      <c r="C8271" s="23"/>
      <c r="D8271" s="23"/>
      <c r="E8271" s="23"/>
    </row>
    <row r="8272" spans="1:5" x14ac:dyDescent="0.25">
      <c r="A8272" s="22"/>
      <c r="B8272" s="23"/>
      <c r="C8272" s="23"/>
      <c r="D8272" s="23"/>
      <c r="E8272" s="23"/>
    </row>
    <row r="8273" spans="1:5" x14ac:dyDescent="0.25">
      <c r="A8273" s="22"/>
      <c r="B8273" s="23"/>
      <c r="C8273" s="23"/>
      <c r="D8273" s="23"/>
      <c r="E8273" s="23"/>
    </row>
    <row r="8274" spans="1:5" x14ac:dyDescent="0.25">
      <c r="A8274" s="22"/>
      <c r="B8274" s="23"/>
      <c r="C8274" s="23"/>
      <c r="D8274" s="23"/>
      <c r="E8274" s="23"/>
    </row>
    <row r="8275" spans="1:5" x14ac:dyDescent="0.25">
      <c r="A8275" s="22"/>
      <c r="B8275" s="23"/>
      <c r="C8275" s="23"/>
      <c r="D8275" s="23"/>
      <c r="E8275" s="23"/>
    </row>
    <row r="8276" spans="1:5" x14ac:dyDescent="0.25">
      <c r="A8276" s="22"/>
      <c r="B8276" s="23"/>
      <c r="C8276" s="23"/>
      <c r="D8276" s="23"/>
      <c r="E8276" s="23"/>
    </row>
    <row r="8277" spans="1:5" x14ac:dyDescent="0.25">
      <c r="A8277" s="22"/>
      <c r="B8277" s="23"/>
      <c r="C8277" s="23"/>
      <c r="D8277" s="23"/>
      <c r="E8277" s="23"/>
    </row>
    <row r="8278" spans="1:5" x14ac:dyDescent="0.25">
      <c r="A8278" s="22"/>
      <c r="B8278" s="23"/>
      <c r="C8278" s="23"/>
      <c r="D8278" s="23"/>
      <c r="E8278" s="23"/>
    </row>
    <row r="8279" spans="1:5" x14ac:dyDescent="0.25">
      <c r="A8279" s="22"/>
      <c r="B8279" s="23"/>
      <c r="C8279" s="23"/>
      <c r="D8279" s="23"/>
      <c r="E8279" s="23"/>
    </row>
    <row r="8280" spans="1:5" x14ac:dyDescent="0.25">
      <c r="A8280" s="22"/>
      <c r="B8280" s="23"/>
      <c r="C8280" s="23"/>
      <c r="D8280" s="23"/>
      <c r="E8280" s="23"/>
    </row>
    <row r="8281" spans="1:5" x14ac:dyDescent="0.25">
      <c r="A8281" s="22"/>
      <c r="B8281" s="23"/>
      <c r="C8281" s="23"/>
      <c r="D8281" s="23"/>
      <c r="E8281" s="23"/>
    </row>
    <row r="8282" spans="1:5" x14ac:dyDescent="0.25">
      <c r="A8282" s="22"/>
      <c r="B8282" s="23"/>
      <c r="C8282" s="23"/>
      <c r="D8282" s="23"/>
      <c r="E8282" s="23"/>
    </row>
    <row r="8283" spans="1:5" x14ac:dyDescent="0.25">
      <c r="A8283" s="22"/>
      <c r="B8283" s="23"/>
      <c r="C8283" s="23"/>
      <c r="D8283" s="23"/>
      <c r="E8283" s="23"/>
    </row>
    <row r="8284" spans="1:5" x14ac:dyDescent="0.25">
      <c r="A8284" s="22"/>
      <c r="B8284" s="23"/>
      <c r="C8284" s="23"/>
      <c r="D8284" s="23"/>
      <c r="E8284" s="23"/>
    </row>
    <row r="8285" spans="1:5" x14ac:dyDescent="0.25">
      <c r="A8285" s="22"/>
      <c r="B8285" s="23"/>
      <c r="C8285" s="23"/>
      <c r="D8285" s="23"/>
      <c r="E8285" s="23"/>
    </row>
    <row r="8286" spans="1:5" x14ac:dyDescent="0.25">
      <c r="A8286" s="22"/>
      <c r="B8286" s="23"/>
      <c r="C8286" s="23"/>
      <c r="D8286" s="23"/>
      <c r="E8286" s="23"/>
    </row>
    <row r="8287" spans="1:5" x14ac:dyDescent="0.25">
      <c r="A8287" s="22"/>
      <c r="B8287" s="23"/>
      <c r="C8287" s="23"/>
      <c r="D8287" s="23"/>
      <c r="E8287" s="23"/>
    </row>
    <row r="8288" spans="1:5" x14ac:dyDescent="0.25">
      <c r="A8288" s="22"/>
      <c r="B8288" s="23"/>
      <c r="C8288" s="23"/>
      <c r="D8288" s="23"/>
      <c r="E8288" s="23"/>
    </row>
    <row r="8289" spans="1:5" x14ac:dyDescent="0.25">
      <c r="A8289" s="22"/>
      <c r="B8289" s="23"/>
      <c r="C8289" s="23"/>
      <c r="D8289" s="23"/>
      <c r="E8289" s="23"/>
    </row>
    <row r="8290" spans="1:5" x14ac:dyDescent="0.25">
      <c r="A8290" s="22"/>
      <c r="B8290" s="23"/>
      <c r="C8290" s="23"/>
      <c r="D8290" s="23"/>
      <c r="E8290" s="23"/>
    </row>
    <row r="8291" spans="1:5" x14ac:dyDescent="0.25">
      <c r="A8291" s="22"/>
      <c r="B8291" s="23"/>
      <c r="C8291" s="23"/>
      <c r="D8291" s="23"/>
      <c r="E8291" s="23"/>
    </row>
    <row r="8292" spans="1:5" x14ac:dyDescent="0.25">
      <c r="A8292" s="22"/>
      <c r="B8292" s="23"/>
      <c r="C8292" s="23"/>
      <c r="D8292" s="23"/>
      <c r="E8292" s="23"/>
    </row>
    <row r="8293" spans="1:5" x14ac:dyDescent="0.25">
      <c r="A8293" s="22"/>
      <c r="B8293" s="23"/>
      <c r="C8293" s="23"/>
      <c r="D8293" s="23"/>
      <c r="E8293" s="23"/>
    </row>
    <row r="8294" spans="1:5" x14ac:dyDescent="0.25">
      <c r="A8294" s="22"/>
      <c r="B8294" s="23"/>
      <c r="C8294" s="23"/>
      <c r="D8294" s="23"/>
      <c r="E8294" s="23"/>
    </row>
    <row r="8295" spans="1:5" x14ac:dyDescent="0.25">
      <c r="A8295" s="22"/>
      <c r="B8295" s="23"/>
      <c r="C8295" s="23"/>
      <c r="D8295" s="23"/>
      <c r="E8295" s="23"/>
    </row>
    <row r="8296" spans="1:5" x14ac:dyDescent="0.25">
      <c r="A8296" s="22"/>
      <c r="B8296" s="23"/>
      <c r="C8296" s="23"/>
      <c r="D8296" s="23"/>
      <c r="E8296" s="23"/>
    </row>
    <row r="8297" spans="1:5" x14ac:dyDescent="0.25">
      <c r="A8297" s="22"/>
      <c r="B8297" s="23"/>
      <c r="C8297" s="23"/>
      <c r="D8297" s="23"/>
      <c r="E8297" s="23"/>
    </row>
    <row r="8298" spans="1:5" x14ac:dyDescent="0.25">
      <c r="A8298" s="22"/>
      <c r="B8298" s="23"/>
      <c r="C8298" s="23"/>
      <c r="D8298" s="23"/>
      <c r="E8298" s="23"/>
    </row>
    <row r="8299" spans="1:5" x14ac:dyDescent="0.25">
      <c r="A8299" s="22"/>
      <c r="B8299" s="23"/>
      <c r="C8299" s="23"/>
      <c r="D8299" s="23"/>
      <c r="E8299" s="23"/>
    </row>
    <row r="8300" spans="1:5" x14ac:dyDescent="0.25">
      <c r="A8300" s="22"/>
      <c r="B8300" s="23"/>
      <c r="C8300" s="23"/>
      <c r="D8300" s="23"/>
      <c r="E8300" s="23"/>
    </row>
    <row r="8301" spans="1:5" x14ac:dyDescent="0.25">
      <c r="A8301" s="22"/>
      <c r="B8301" s="23"/>
      <c r="C8301" s="23"/>
      <c r="D8301" s="23"/>
      <c r="E8301" s="23"/>
    </row>
    <row r="8302" spans="1:5" x14ac:dyDescent="0.25">
      <c r="A8302" s="22"/>
      <c r="B8302" s="23"/>
      <c r="C8302" s="23"/>
      <c r="D8302" s="23"/>
      <c r="E8302" s="23"/>
    </row>
    <row r="8303" spans="1:5" x14ac:dyDescent="0.25">
      <c r="A8303" s="22"/>
      <c r="B8303" s="23"/>
      <c r="C8303" s="23"/>
      <c r="D8303" s="23"/>
      <c r="E8303" s="23"/>
    </row>
    <row r="8304" spans="1:5" x14ac:dyDescent="0.25">
      <c r="A8304" s="22"/>
      <c r="B8304" s="23"/>
      <c r="C8304" s="23"/>
      <c r="D8304" s="23"/>
      <c r="E8304" s="23"/>
    </row>
    <row r="8305" spans="1:5" x14ac:dyDescent="0.25">
      <c r="A8305" s="22"/>
      <c r="B8305" s="23"/>
      <c r="C8305" s="23"/>
      <c r="D8305" s="23"/>
      <c r="E8305" s="23"/>
    </row>
    <row r="8306" spans="1:5" x14ac:dyDescent="0.25">
      <c r="A8306" s="22"/>
      <c r="B8306" s="23"/>
      <c r="C8306" s="23"/>
      <c r="D8306" s="23"/>
      <c r="E8306" s="23"/>
    </row>
    <row r="8307" spans="1:5" x14ac:dyDescent="0.25">
      <c r="A8307" s="22"/>
      <c r="B8307" s="23"/>
      <c r="C8307" s="23"/>
      <c r="D8307" s="23"/>
      <c r="E8307" s="23"/>
    </row>
    <row r="8308" spans="1:5" x14ac:dyDescent="0.25">
      <c r="A8308" s="22"/>
      <c r="B8308" s="23"/>
      <c r="C8308" s="23"/>
      <c r="D8308" s="23"/>
      <c r="E8308" s="23"/>
    </row>
    <row r="8309" spans="1:5" x14ac:dyDescent="0.25">
      <c r="A8309" s="22"/>
      <c r="B8309" s="23"/>
      <c r="C8309" s="23"/>
      <c r="D8309" s="23"/>
      <c r="E8309" s="23"/>
    </row>
    <row r="8310" spans="1:5" x14ac:dyDescent="0.25">
      <c r="A8310" s="22"/>
      <c r="B8310" s="23"/>
      <c r="C8310" s="23"/>
      <c r="D8310" s="23"/>
      <c r="E8310" s="23"/>
    </row>
    <row r="8311" spans="1:5" x14ac:dyDescent="0.25">
      <c r="A8311" s="22"/>
      <c r="B8311" s="23"/>
      <c r="C8311" s="23"/>
      <c r="D8311" s="23"/>
      <c r="E8311" s="23"/>
    </row>
    <row r="8312" spans="1:5" x14ac:dyDescent="0.25">
      <c r="A8312" s="22"/>
      <c r="B8312" s="23"/>
      <c r="C8312" s="23"/>
      <c r="D8312" s="23"/>
      <c r="E8312" s="23"/>
    </row>
    <row r="8313" spans="1:5" x14ac:dyDescent="0.25">
      <c r="A8313" s="22"/>
      <c r="B8313" s="23"/>
      <c r="C8313" s="23"/>
      <c r="D8313" s="23"/>
      <c r="E8313" s="23"/>
    </row>
    <row r="8314" spans="1:5" x14ac:dyDescent="0.25">
      <c r="A8314" s="22"/>
      <c r="B8314" s="23"/>
      <c r="C8314" s="23"/>
      <c r="D8314" s="23"/>
      <c r="E8314" s="23"/>
    </row>
    <row r="8315" spans="1:5" x14ac:dyDescent="0.25">
      <c r="A8315" s="22"/>
      <c r="B8315" s="23"/>
      <c r="C8315" s="23"/>
      <c r="D8315" s="23"/>
      <c r="E8315" s="23"/>
    </row>
    <row r="8316" spans="1:5" x14ac:dyDescent="0.25">
      <c r="A8316" s="22"/>
      <c r="B8316" s="23"/>
      <c r="C8316" s="23"/>
      <c r="D8316" s="23"/>
      <c r="E8316" s="23"/>
    </row>
    <row r="8317" spans="1:5" x14ac:dyDescent="0.25">
      <c r="A8317" s="22"/>
      <c r="B8317" s="23"/>
      <c r="C8317" s="23"/>
      <c r="D8317" s="23"/>
      <c r="E8317" s="23"/>
    </row>
    <row r="8318" spans="1:5" x14ac:dyDescent="0.25">
      <c r="A8318" s="22"/>
      <c r="B8318" s="23"/>
      <c r="C8318" s="23"/>
      <c r="D8318" s="23"/>
      <c r="E8318" s="23"/>
    </row>
    <row r="8319" spans="1:5" x14ac:dyDescent="0.25">
      <c r="A8319" s="22"/>
      <c r="B8319" s="23"/>
      <c r="C8319" s="23"/>
      <c r="D8319" s="23"/>
      <c r="E8319" s="23"/>
    </row>
    <row r="8320" spans="1:5" x14ac:dyDescent="0.25">
      <c r="A8320" s="22"/>
      <c r="B8320" s="23"/>
      <c r="C8320" s="23"/>
      <c r="D8320" s="23"/>
      <c r="E8320" s="23"/>
    </row>
    <row r="8321" spans="1:5" x14ac:dyDescent="0.25">
      <c r="A8321" s="22"/>
      <c r="B8321" s="23"/>
      <c r="C8321" s="23"/>
      <c r="D8321" s="23"/>
      <c r="E8321" s="23"/>
    </row>
    <row r="8322" spans="1:5" x14ac:dyDescent="0.25">
      <c r="A8322" s="22"/>
      <c r="B8322" s="23"/>
      <c r="C8322" s="23"/>
      <c r="D8322" s="23"/>
      <c r="E8322" s="23"/>
    </row>
    <row r="8323" spans="1:5" x14ac:dyDescent="0.25">
      <c r="A8323" s="22"/>
      <c r="B8323" s="23"/>
      <c r="C8323" s="23"/>
      <c r="D8323" s="23"/>
      <c r="E8323" s="23"/>
    </row>
    <row r="8324" spans="1:5" x14ac:dyDescent="0.25">
      <c r="A8324" s="22"/>
      <c r="B8324" s="23"/>
      <c r="C8324" s="23"/>
      <c r="D8324" s="23"/>
      <c r="E8324" s="23"/>
    </row>
    <row r="8325" spans="1:5" x14ac:dyDescent="0.25">
      <c r="A8325" s="22"/>
      <c r="B8325" s="23"/>
      <c r="C8325" s="23"/>
      <c r="D8325" s="23"/>
      <c r="E8325" s="23"/>
    </row>
    <row r="8326" spans="1:5" x14ac:dyDescent="0.25">
      <c r="A8326" s="22"/>
      <c r="B8326" s="23"/>
      <c r="C8326" s="23"/>
      <c r="D8326" s="23"/>
      <c r="E8326" s="23"/>
    </row>
    <row r="8327" spans="1:5" x14ac:dyDescent="0.25">
      <c r="A8327" s="22"/>
      <c r="B8327" s="23"/>
      <c r="C8327" s="23"/>
      <c r="D8327" s="23"/>
      <c r="E8327" s="23"/>
    </row>
    <row r="8328" spans="1:5" x14ac:dyDescent="0.25">
      <c r="A8328" s="22"/>
      <c r="B8328" s="23"/>
      <c r="C8328" s="23"/>
      <c r="D8328" s="23"/>
      <c r="E8328" s="23"/>
    </row>
    <row r="8329" spans="1:5" x14ac:dyDescent="0.25">
      <c r="A8329" s="22"/>
      <c r="B8329" s="23"/>
      <c r="C8329" s="23"/>
      <c r="D8329" s="23"/>
      <c r="E8329" s="23"/>
    </row>
    <row r="8330" spans="1:5" x14ac:dyDescent="0.25">
      <c r="A8330" s="22"/>
      <c r="B8330" s="23"/>
      <c r="C8330" s="23"/>
      <c r="D8330" s="23"/>
      <c r="E8330" s="23"/>
    </row>
    <row r="8331" spans="1:5" x14ac:dyDescent="0.25">
      <c r="A8331" s="22"/>
      <c r="B8331" s="23"/>
      <c r="C8331" s="23"/>
      <c r="D8331" s="23"/>
      <c r="E8331" s="23"/>
    </row>
    <row r="8332" spans="1:5" x14ac:dyDescent="0.25">
      <c r="A8332" s="22"/>
      <c r="B8332" s="23"/>
      <c r="C8332" s="23"/>
      <c r="D8332" s="23"/>
      <c r="E8332" s="23"/>
    </row>
    <row r="8333" spans="1:5" x14ac:dyDescent="0.25">
      <c r="A8333" s="22"/>
      <c r="B8333" s="23"/>
      <c r="C8333" s="23"/>
      <c r="D8333" s="23"/>
      <c r="E8333" s="23"/>
    </row>
    <row r="8334" spans="1:5" x14ac:dyDescent="0.25">
      <c r="A8334" s="22"/>
      <c r="B8334" s="23"/>
      <c r="C8334" s="23"/>
      <c r="D8334" s="23"/>
      <c r="E8334" s="23"/>
    </row>
    <row r="8335" spans="1:5" x14ac:dyDescent="0.25">
      <c r="A8335" s="22"/>
      <c r="B8335" s="23"/>
      <c r="C8335" s="23"/>
      <c r="D8335" s="23"/>
      <c r="E8335" s="23"/>
    </row>
    <row r="8336" spans="1:5" x14ac:dyDescent="0.25">
      <c r="A8336" s="22"/>
      <c r="B8336" s="23"/>
      <c r="C8336" s="23"/>
      <c r="D8336" s="23"/>
      <c r="E8336" s="23"/>
    </row>
    <row r="8337" spans="1:5" x14ac:dyDescent="0.25">
      <c r="A8337" s="22"/>
      <c r="B8337" s="23"/>
      <c r="C8337" s="23"/>
      <c r="D8337" s="23"/>
      <c r="E8337" s="23"/>
    </row>
    <row r="8338" spans="1:5" x14ac:dyDescent="0.25">
      <c r="A8338" s="22"/>
      <c r="B8338" s="23"/>
      <c r="C8338" s="23"/>
      <c r="D8338" s="23"/>
      <c r="E8338" s="23"/>
    </row>
    <row r="8339" spans="1:5" x14ac:dyDescent="0.25">
      <c r="A8339" s="22"/>
      <c r="B8339" s="23"/>
      <c r="C8339" s="23"/>
      <c r="D8339" s="23"/>
      <c r="E8339" s="23"/>
    </row>
    <row r="8340" spans="1:5" x14ac:dyDescent="0.25">
      <c r="A8340" s="22"/>
      <c r="B8340" s="23"/>
      <c r="C8340" s="23"/>
      <c r="D8340" s="23"/>
      <c r="E8340" s="23"/>
    </row>
    <row r="8341" spans="1:5" x14ac:dyDescent="0.25">
      <c r="A8341" s="22"/>
      <c r="B8341" s="23"/>
      <c r="C8341" s="23"/>
      <c r="D8341" s="23"/>
      <c r="E8341" s="23"/>
    </row>
    <row r="8342" spans="1:5" x14ac:dyDescent="0.25">
      <c r="A8342" s="22"/>
      <c r="B8342" s="23"/>
      <c r="C8342" s="23"/>
      <c r="D8342" s="23"/>
      <c r="E8342" s="23"/>
    </row>
    <row r="8343" spans="1:5" x14ac:dyDescent="0.25">
      <c r="A8343" s="22"/>
      <c r="B8343" s="23"/>
      <c r="C8343" s="23"/>
      <c r="D8343" s="23"/>
      <c r="E8343" s="23"/>
    </row>
    <row r="8344" spans="1:5" x14ac:dyDescent="0.25">
      <c r="A8344" s="22"/>
      <c r="B8344" s="23"/>
      <c r="C8344" s="23"/>
      <c r="D8344" s="23"/>
      <c r="E8344" s="23"/>
    </row>
    <row r="8345" spans="1:5" x14ac:dyDescent="0.25">
      <c r="A8345" s="22"/>
      <c r="B8345" s="23"/>
      <c r="C8345" s="23"/>
      <c r="D8345" s="23"/>
      <c r="E8345" s="23"/>
    </row>
    <row r="8346" spans="1:5" x14ac:dyDescent="0.25">
      <c r="A8346" s="22"/>
      <c r="B8346" s="23"/>
      <c r="C8346" s="23"/>
      <c r="D8346" s="23"/>
      <c r="E8346" s="23"/>
    </row>
    <row r="8347" spans="1:5" x14ac:dyDescent="0.25">
      <c r="A8347" s="22"/>
      <c r="B8347" s="23"/>
      <c r="C8347" s="23"/>
      <c r="D8347" s="23"/>
      <c r="E8347" s="23"/>
    </row>
    <row r="8348" spans="1:5" x14ac:dyDescent="0.25">
      <c r="A8348" s="22"/>
      <c r="B8348" s="23"/>
      <c r="C8348" s="23"/>
      <c r="D8348" s="23"/>
      <c r="E8348" s="23"/>
    </row>
    <row r="8349" spans="1:5" x14ac:dyDescent="0.25">
      <c r="A8349" s="22"/>
      <c r="B8349" s="23"/>
      <c r="C8349" s="23"/>
      <c r="D8349" s="23"/>
      <c r="E8349" s="23"/>
    </row>
    <row r="8350" spans="1:5" x14ac:dyDescent="0.25">
      <c r="A8350" s="22"/>
      <c r="B8350" s="23"/>
      <c r="C8350" s="23"/>
      <c r="D8350" s="23"/>
      <c r="E8350" s="23"/>
    </row>
    <row r="8351" spans="1:5" x14ac:dyDescent="0.25">
      <c r="A8351" s="22"/>
      <c r="B8351" s="23"/>
      <c r="C8351" s="23"/>
      <c r="D8351" s="23"/>
      <c r="E8351" s="23"/>
    </row>
    <row r="8352" spans="1:5" x14ac:dyDescent="0.25">
      <c r="A8352" s="22"/>
      <c r="B8352" s="23"/>
      <c r="C8352" s="23"/>
      <c r="D8352" s="23"/>
      <c r="E8352" s="23"/>
    </row>
    <row r="8353" spans="1:5" x14ac:dyDescent="0.25">
      <c r="A8353" s="22"/>
      <c r="B8353" s="23"/>
      <c r="C8353" s="23"/>
      <c r="D8353" s="23"/>
      <c r="E8353" s="23"/>
    </row>
    <row r="8354" spans="1:5" x14ac:dyDescent="0.25">
      <c r="A8354" s="22"/>
      <c r="B8354" s="23"/>
      <c r="C8354" s="23"/>
      <c r="D8354" s="23"/>
      <c r="E8354" s="23"/>
    </row>
    <row r="8355" spans="1:5" x14ac:dyDescent="0.25">
      <c r="A8355" s="22"/>
      <c r="B8355" s="23"/>
      <c r="C8355" s="23"/>
      <c r="D8355" s="23"/>
      <c r="E8355" s="23"/>
    </row>
    <row r="8356" spans="1:5" x14ac:dyDescent="0.25">
      <c r="A8356" s="22"/>
      <c r="B8356" s="23"/>
      <c r="C8356" s="23"/>
      <c r="D8356" s="23"/>
      <c r="E8356" s="23"/>
    </row>
    <row r="8357" spans="1:5" x14ac:dyDescent="0.25">
      <c r="A8357" s="22"/>
      <c r="B8357" s="23"/>
      <c r="C8357" s="23"/>
      <c r="D8357" s="23"/>
      <c r="E8357" s="23"/>
    </row>
    <row r="8358" spans="1:5" x14ac:dyDescent="0.25">
      <c r="A8358" s="22"/>
      <c r="B8358" s="23"/>
      <c r="C8358" s="23"/>
      <c r="D8358" s="23"/>
      <c r="E8358" s="23"/>
    </row>
    <row r="8359" spans="1:5" x14ac:dyDescent="0.25">
      <c r="A8359" s="22"/>
      <c r="B8359" s="23"/>
      <c r="C8359" s="23"/>
      <c r="D8359" s="23"/>
      <c r="E8359" s="23"/>
    </row>
    <row r="8360" spans="1:5" x14ac:dyDescent="0.25">
      <c r="A8360" s="22"/>
      <c r="B8360" s="23"/>
      <c r="C8360" s="23"/>
      <c r="D8360" s="23"/>
      <c r="E8360" s="23"/>
    </row>
    <row r="8361" spans="1:5" x14ac:dyDescent="0.25">
      <c r="A8361" s="22"/>
      <c r="B8361" s="23"/>
      <c r="C8361" s="23"/>
      <c r="D8361" s="23"/>
      <c r="E8361" s="23"/>
    </row>
    <row r="8362" spans="1:5" x14ac:dyDescent="0.25">
      <c r="A8362" s="22"/>
      <c r="B8362" s="23"/>
      <c r="C8362" s="23"/>
      <c r="D8362" s="23"/>
      <c r="E8362" s="23"/>
    </row>
    <row r="8363" spans="1:5" x14ac:dyDescent="0.25">
      <c r="A8363" s="22"/>
      <c r="B8363" s="23"/>
      <c r="C8363" s="23"/>
      <c r="D8363" s="23"/>
      <c r="E8363" s="23"/>
    </row>
    <row r="8364" spans="1:5" x14ac:dyDescent="0.25">
      <c r="A8364" s="22"/>
      <c r="B8364" s="23"/>
      <c r="C8364" s="23"/>
      <c r="D8364" s="23"/>
      <c r="E8364" s="23"/>
    </row>
    <row r="8365" spans="1:5" x14ac:dyDescent="0.25">
      <c r="A8365" s="22"/>
      <c r="B8365" s="23"/>
      <c r="C8365" s="23"/>
      <c r="D8365" s="23"/>
      <c r="E8365" s="23"/>
    </row>
    <row r="8366" spans="1:5" x14ac:dyDescent="0.25">
      <c r="A8366" s="22"/>
      <c r="B8366" s="23"/>
      <c r="C8366" s="23"/>
      <c r="D8366" s="23"/>
      <c r="E8366" s="23"/>
    </row>
    <row r="8367" spans="1:5" x14ac:dyDescent="0.25">
      <c r="A8367" s="22"/>
      <c r="B8367" s="23"/>
      <c r="C8367" s="23"/>
      <c r="D8367" s="23"/>
      <c r="E8367" s="23"/>
    </row>
    <row r="8368" spans="1:5" x14ac:dyDescent="0.25">
      <c r="A8368" s="22"/>
      <c r="B8368" s="23"/>
      <c r="C8368" s="23"/>
      <c r="D8368" s="23"/>
      <c r="E8368" s="23"/>
    </row>
    <row r="8369" spans="1:5" x14ac:dyDescent="0.25">
      <c r="A8369" s="22"/>
      <c r="B8369" s="23"/>
      <c r="C8369" s="23"/>
      <c r="D8369" s="23"/>
      <c r="E8369" s="23"/>
    </row>
    <row r="8370" spans="1:5" x14ac:dyDescent="0.25">
      <c r="A8370" s="22"/>
      <c r="B8370" s="23"/>
      <c r="C8370" s="23"/>
      <c r="D8370" s="23"/>
      <c r="E8370" s="23"/>
    </row>
    <row r="8371" spans="1:5" x14ac:dyDescent="0.25">
      <c r="A8371" s="22"/>
      <c r="B8371" s="23"/>
      <c r="C8371" s="23"/>
      <c r="D8371" s="23"/>
      <c r="E8371" s="23"/>
    </row>
    <row r="8372" spans="1:5" x14ac:dyDescent="0.25">
      <c r="A8372" s="22"/>
      <c r="B8372" s="23"/>
      <c r="C8372" s="23"/>
      <c r="D8372" s="23"/>
      <c r="E8372" s="23"/>
    </row>
    <row r="8373" spans="1:5" x14ac:dyDescent="0.25">
      <c r="A8373" s="22"/>
      <c r="B8373" s="23"/>
      <c r="C8373" s="23"/>
      <c r="D8373" s="23"/>
      <c r="E8373" s="23"/>
    </row>
    <row r="8374" spans="1:5" x14ac:dyDescent="0.25">
      <c r="A8374" s="22"/>
      <c r="B8374" s="23"/>
      <c r="C8374" s="23"/>
      <c r="D8374" s="23"/>
      <c r="E8374" s="23"/>
    </row>
    <row r="8375" spans="1:5" x14ac:dyDescent="0.25">
      <c r="A8375" s="22"/>
      <c r="B8375" s="23"/>
      <c r="C8375" s="23"/>
      <c r="D8375" s="23"/>
      <c r="E8375" s="23"/>
    </row>
    <row r="8376" spans="1:5" x14ac:dyDescent="0.25">
      <c r="A8376" s="22"/>
      <c r="B8376" s="23"/>
      <c r="C8376" s="23"/>
      <c r="D8376" s="23"/>
      <c r="E8376" s="23"/>
    </row>
    <row r="8377" spans="1:5" x14ac:dyDescent="0.25">
      <c r="A8377" s="22"/>
      <c r="B8377" s="23"/>
      <c r="C8377" s="23"/>
      <c r="D8377" s="23"/>
      <c r="E8377" s="23"/>
    </row>
    <row r="8378" spans="1:5" x14ac:dyDescent="0.25">
      <c r="A8378" s="22"/>
      <c r="B8378" s="23"/>
      <c r="C8378" s="23"/>
      <c r="D8378" s="23"/>
      <c r="E8378" s="23"/>
    </row>
    <row r="8379" spans="1:5" x14ac:dyDescent="0.25">
      <c r="A8379" s="22"/>
      <c r="B8379" s="23"/>
      <c r="C8379" s="23"/>
      <c r="D8379" s="23"/>
      <c r="E8379" s="23"/>
    </row>
    <row r="8380" spans="1:5" x14ac:dyDescent="0.25">
      <c r="A8380" s="22"/>
      <c r="B8380" s="23"/>
      <c r="C8380" s="23"/>
      <c r="D8380" s="23"/>
      <c r="E8380" s="23"/>
    </row>
    <row r="8381" spans="1:5" x14ac:dyDescent="0.25">
      <c r="A8381" s="22"/>
      <c r="B8381" s="23"/>
      <c r="C8381" s="23"/>
      <c r="D8381" s="23"/>
      <c r="E8381" s="23"/>
    </row>
    <row r="8382" spans="1:5" x14ac:dyDescent="0.25">
      <c r="A8382" s="22"/>
      <c r="B8382" s="23"/>
      <c r="C8382" s="23"/>
      <c r="D8382" s="23"/>
      <c r="E8382" s="23"/>
    </row>
    <row r="8383" spans="1:5" x14ac:dyDescent="0.25">
      <c r="A8383" s="22"/>
      <c r="B8383" s="23"/>
      <c r="C8383" s="23"/>
      <c r="D8383" s="23"/>
      <c r="E8383" s="23"/>
    </row>
    <row r="8384" spans="1:5" x14ac:dyDescent="0.25">
      <c r="A8384" s="22"/>
      <c r="B8384" s="23"/>
      <c r="C8384" s="23"/>
      <c r="D8384" s="23"/>
      <c r="E8384" s="23"/>
    </row>
    <row r="8385" spans="1:5" x14ac:dyDescent="0.25">
      <c r="A8385" s="22"/>
      <c r="B8385" s="23"/>
      <c r="C8385" s="23"/>
      <c r="D8385" s="23"/>
      <c r="E8385" s="23"/>
    </row>
    <row r="8386" spans="1:5" x14ac:dyDescent="0.25">
      <c r="A8386" s="22"/>
      <c r="B8386" s="23"/>
      <c r="C8386" s="23"/>
      <c r="D8386" s="23"/>
      <c r="E8386" s="23"/>
    </row>
    <row r="8387" spans="1:5" x14ac:dyDescent="0.25">
      <c r="A8387" s="22"/>
      <c r="B8387" s="23"/>
      <c r="C8387" s="23"/>
      <c r="D8387" s="23"/>
      <c r="E8387" s="23"/>
    </row>
    <row r="8388" spans="1:5" x14ac:dyDescent="0.25">
      <c r="A8388" s="22"/>
      <c r="B8388" s="23"/>
      <c r="C8388" s="23"/>
      <c r="D8388" s="23"/>
      <c r="E8388" s="23"/>
    </row>
    <row r="8389" spans="1:5" x14ac:dyDescent="0.25">
      <c r="A8389" s="22"/>
      <c r="B8389" s="23"/>
      <c r="C8389" s="23"/>
      <c r="D8389" s="23"/>
      <c r="E8389" s="23"/>
    </row>
    <row r="8390" spans="1:5" x14ac:dyDescent="0.25">
      <c r="A8390" s="22"/>
      <c r="B8390" s="23"/>
      <c r="C8390" s="23"/>
      <c r="D8390" s="23"/>
      <c r="E8390" s="23"/>
    </row>
    <row r="8391" spans="1:5" x14ac:dyDescent="0.25">
      <c r="A8391" s="22"/>
      <c r="B8391" s="23"/>
      <c r="C8391" s="23"/>
      <c r="D8391" s="23"/>
      <c r="E8391" s="23"/>
    </row>
    <row r="8392" spans="1:5" x14ac:dyDescent="0.25">
      <c r="A8392" s="22"/>
      <c r="B8392" s="23"/>
      <c r="C8392" s="23"/>
      <c r="D8392" s="23"/>
      <c r="E8392" s="23"/>
    </row>
    <row r="8393" spans="1:5" x14ac:dyDescent="0.25">
      <c r="A8393" s="22"/>
      <c r="B8393" s="23"/>
      <c r="C8393" s="23"/>
      <c r="D8393" s="23"/>
      <c r="E8393" s="23"/>
    </row>
    <row r="8394" spans="1:5" x14ac:dyDescent="0.25">
      <c r="A8394" s="22"/>
      <c r="B8394" s="23"/>
      <c r="C8394" s="23"/>
      <c r="D8394" s="23"/>
      <c r="E8394" s="23"/>
    </row>
    <row r="8395" spans="1:5" x14ac:dyDescent="0.25">
      <c r="A8395" s="22"/>
      <c r="B8395" s="23"/>
      <c r="C8395" s="23"/>
      <c r="D8395" s="23"/>
      <c r="E8395" s="23"/>
    </row>
    <row r="8396" spans="1:5" x14ac:dyDescent="0.25">
      <c r="A8396" s="22"/>
      <c r="B8396" s="23"/>
      <c r="C8396" s="23"/>
      <c r="D8396" s="23"/>
      <c r="E8396" s="23"/>
    </row>
    <row r="8397" spans="1:5" x14ac:dyDescent="0.25">
      <c r="A8397" s="22"/>
      <c r="B8397" s="23"/>
      <c r="C8397" s="23"/>
      <c r="D8397" s="23"/>
      <c r="E8397" s="23"/>
    </row>
    <row r="8398" spans="1:5" x14ac:dyDescent="0.25">
      <c r="A8398" s="22"/>
      <c r="B8398" s="23"/>
      <c r="C8398" s="23"/>
      <c r="D8398" s="23"/>
      <c r="E8398" s="23"/>
    </row>
    <row r="8399" spans="1:5" x14ac:dyDescent="0.25">
      <c r="A8399" s="22"/>
      <c r="B8399" s="23"/>
      <c r="C8399" s="23"/>
      <c r="D8399" s="23"/>
      <c r="E8399" s="23"/>
    </row>
    <row r="8400" spans="1:5" x14ac:dyDescent="0.25">
      <c r="A8400" s="22"/>
      <c r="B8400" s="23"/>
      <c r="C8400" s="23"/>
      <c r="D8400" s="23"/>
      <c r="E8400" s="23"/>
    </row>
    <row r="8401" spans="1:5" x14ac:dyDescent="0.25">
      <c r="A8401" s="22"/>
      <c r="B8401" s="23"/>
      <c r="C8401" s="23"/>
      <c r="D8401" s="23"/>
      <c r="E8401" s="23"/>
    </row>
    <row r="8402" spans="1:5" x14ac:dyDescent="0.25">
      <c r="A8402" s="22"/>
      <c r="B8402" s="23"/>
      <c r="C8402" s="23"/>
      <c r="D8402" s="23"/>
      <c r="E8402" s="23"/>
    </row>
    <row r="8403" spans="1:5" x14ac:dyDescent="0.25">
      <c r="A8403" s="22"/>
      <c r="B8403" s="23"/>
      <c r="C8403" s="23"/>
      <c r="D8403" s="23"/>
      <c r="E8403" s="23"/>
    </row>
    <row r="8404" spans="1:5" x14ac:dyDescent="0.25">
      <c r="A8404" s="22"/>
      <c r="B8404" s="23"/>
      <c r="C8404" s="23"/>
      <c r="D8404" s="23"/>
      <c r="E8404" s="23"/>
    </row>
    <row r="8405" spans="1:5" x14ac:dyDescent="0.25">
      <c r="A8405" s="22"/>
      <c r="B8405" s="23"/>
      <c r="C8405" s="23"/>
      <c r="D8405" s="23"/>
      <c r="E8405" s="23"/>
    </row>
    <row r="8406" spans="1:5" x14ac:dyDescent="0.25">
      <c r="A8406" s="22"/>
      <c r="B8406" s="23"/>
      <c r="C8406" s="23"/>
      <c r="D8406" s="23"/>
      <c r="E8406" s="23"/>
    </row>
    <row r="8407" spans="1:5" x14ac:dyDescent="0.25">
      <c r="A8407" s="22"/>
      <c r="B8407" s="23"/>
      <c r="C8407" s="23"/>
      <c r="D8407" s="23"/>
      <c r="E8407" s="23"/>
    </row>
    <row r="8408" spans="1:5" x14ac:dyDescent="0.25">
      <c r="A8408" s="22"/>
      <c r="B8408" s="23"/>
      <c r="C8408" s="23"/>
      <c r="D8408" s="23"/>
      <c r="E8408" s="23"/>
    </row>
    <row r="8409" spans="1:5" x14ac:dyDescent="0.25">
      <c r="A8409" s="22"/>
      <c r="B8409" s="23"/>
      <c r="C8409" s="23"/>
      <c r="D8409" s="23"/>
      <c r="E8409" s="23"/>
    </row>
    <row r="8410" spans="1:5" x14ac:dyDescent="0.25">
      <c r="A8410" s="22"/>
      <c r="B8410" s="23"/>
      <c r="C8410" s="23"/>
      <c r="D8410" s="23"/>
      <c r="E8410" s="23"/>
    </row>
    <row r="8411" spans="1:5" x14ac:dyDescent="0.25">
      <c r="A8411" s="22"/>
      <c r="B8411" s="23"/>
      <c r="C8411" s="23"/>
      <c r="D8411" s="23"/>
      <c r="E8411" s="23"/>
    </row>
    <row r="8412" spans="1:5" x14ac:dyDescent="0.25">
      <c r="A8412" s="22"/>
      <c r="B8412" s="23"/>
      <c r="C8412" s="23"/>
      <c r="D8412" s="23"/>
      <c r="E8412" s="23"/>
    </row>
    <row r="8413" spans="1:5" x14ac:dyDescent="0.25">
      <c r="A8413" s="22"/>
      <c r="B8413" s="23"/>
      <c r="C8413" s="23"/>
      <c r="D8413" s="23"/>
      <c r="E8413" s="23"/>
    </row>
    <row r="8414" spans="1:5" x14ac:dyDescent="0.25">
      <c r="A8414" s="22"/>
      <c r="B8414" s="23"/>
      <c r="C8414" s="23"/>
      <c r="D8414" s="23"/>
      <c r="E8414" s="23"/>
    </row>
    <row r="8415" spans="1:5" x14ac:dyDescent="0.25">
      <c r="A8415" s="22"/>
      <c r="B8415" s="23"/>
      <c r="C8415" s="23"/>
      <c r="D8415" s="23"/>
      <c r="E8415" s="23"/>
    </row>
    <row r="8416" spans="1:5" x14ac:dyDescent="0.25">
      <c r="A8416" s="22"/>
      <c r="B8416" s="23"/>
      <c r="C8416" s="23"/>
      <c r="D8416" s="23"/>
      <c r="E8416" s="23"/>
    </row>
    <row r="8417" spans="1:5" x14ac:dyDescent="0.25">
      <c r="A8417" s="22"/>
      <c r="B8417" s="23"/>
      <c r="C8417" s="23"/>
      <c r="D8417" s="23"/>
      <c r="E8417" s="23"/>
    </row>
    <row r="8418" spans="1:5" x14ac:dyDescent="0.25">
      <c r="A8418" s="22"/>
      <c r="B8418" s="23"/>
      <c r="C8418" s="23"/>
      <c r="D8418" s="23"/>
      <c r="E8418" s="23"/>
    </row>
    <row r="8419" spans="1:5" x14ac:dyDescent="0.25">
      <c r="A8419" s="22"/>
      <c r="B8419" s="23"/>
      <c r="C8419" s="23"/>
      <c r="D8419" s="23"/>
      <c r="E8419" s="23"/>
    </row>
    <row r="8420" spans="1:5" x14ac:dyDescent="0.25">
      <c r="A8420" s="22"/>
      <c r="B8420" s="23"/>
      <c r="C8420" s="23"/>
      <c r="D8420" s="23"/>
      <c r="E8420" s="23"/>
    </row>
    <row r="8421" spans="1:5" x14ac:dyDescent="0.25">
      <c r="A8421" s="22"/>
      <c r="B8421" s="23"/>
      <c r="C8421" s="23"/>
      <c r="D8421" s="23"/>
      <c r="E8421" s="23"/>
    </row>
    <row r="8422" spans="1:5" x14ac:dyDescent="0.25">
      <c r="A8422" s="22"/>
      <c r="B8422" s="23"/>
      <c r="C8422" s="23"/>
      <c r="D8422" s="23"/>
      <c r="E8422" s="23"/>
    </row>
    <row r="8423" spans="1:5" x14ac:dyDescent="0.25">
      <c r="A8423" s="22"/>
      <c r="B8423" s="23"/>
      <c r="C8423" s="23"/>
      <c r="D8423" s="23"/>
      <c r="E8423" s="23"/>
    </row>
    <row r="8424" spans="1:5" x14ac:dyDescent="0.25">
      <c r="A8424" s="22"/>
      <c r="B8424" s="23"/>
      <c r="C8424" s="23"/>
      <c r="D8424" s="23"/>
      <c r="E8424" s="23"/>
    </row>
    <row r="8425" spans="1:5" x14ac:dyDescent="0.25">
      <c r="A8425" s="22"/>
      <c r="B8425" s="23"/>
      <c r="C8425" s="23"/>
      <c r="D8425" s="23"/>
      <c r="E8425" s="23"/>
    </row>
    <row r="8426" spans="1:5" x14ac:dyDescent="0.25">
      <c r="A8426" s="22"/>
      <c r="B8426" s="23"/>
      <c r="C8426" s="23"/>
      <c r="D8426" s="23"/>
      <c r="E8426" s="23"/>
    </row>
    <row r="8427" spans="1:5" x14ac:dyDescent="0.25">
      <c r="A8427" s="22"/>
      <c r="B8427" s="23"/>
      <c r="C8427" s="23"/>
      <c r="D8427" s="23"/>
      <c r="E8427" s="23"/>
    </row>
    <row r="8428" spans="1:5" x14ac:dyDescent="0.25">
      <c r="A8428" s="22"/>
      <c r="B8428" s="23"/>
      <c r="C8428" s="23"/>
      <c r="D8428" s="23"/>
      <c r="E8428" s="23"/>
    </row>
    <row r="8429" spans="1:5" x14ac:dyDescent="0.25">
      <c r="A8429" s="22"/>
      <c r="B8429" s="23"/>
      <c r="C8429" s="23"/>
      <c r="D8429" s="23"/>
      <c r="E8429" s="23"/>
    </row>
    <row r="8430" spans="1:5" x14ac:dyDescent="0.25">
      <c r="A8430" s="22"/>
      <c r="B8430" s="23"/>
      <c r="C8430" s="23"/>
      <c r="D8430" s="23"/>
      <c r="E8430" s="23"/>
    </row>
    <row r="8431" spans="1:5" x14ac:dyDescent="0.25">
      <c r="A8431" s="22"/>
      <c r="B8431" s="23"/>
      <c r="C8431" s="23"/>
      <c r="D8431" s="23"/>
      <c r="E8431" s="23"/>
    </row>
    <row r="8432" spans="1:5" x14ac:dyDescent="0.25">
      <c r="A8432" s="22"/>
      <c r="B8432" s="23"/>
      <c r="C8432" s="23"/>
      <c r="D8432" s="23"/>
      <c r="E8432" s="23"/>
    </row>
    <row r="8433" spans="1:5" x14ac:dyDescent="0.25">
      <c r="A8433" s="22"/>
      <c r="B8433" s="23"/>
      <c r="C8433" s="23"/>
      <c r="D8433" s="23"/>
      <c r="E8433" s="23"/>
    </row>
    <row r="8434" spans="1:5" x14ac:dyDescent="0.25">
      <c r="A8434" s="22"/>
      <c r="B8434" s="23"/>
      <c r="C8434" s="23"/>
      <c r="D8434" s="23"/>
      <c r="E8434" s="23"/>
    </row>
    <row r="8435" spans="1:5" x14ac:dyDescent="0.25">
      <c r="A8435" s="22"/>
      <c r="B8435" s="23"/>
      <c r="C8435" s="23"/>
      <c r="D8435" s="23"/>
      <c r="E8435" s="23"/>
    </row>
    <row r="8436" spans="1:5" x14ac:dyDescent="0.25">
      <c r="A8436" s="22"/>
      <c r="B8436" s="23"/>
      <c r="C8436" s="23"/>
      <c r="D8436" s="23"/>
      <c r="E8436" s="23"/>
    </row>
    <row r="8437" spans="1:5" x14ac:dyDescent="0.25">
      <c r="A8437" s="22"/>
      <c r="B8437" s="23"/>
      <c r="C8437" s="23"/>
      <c r="D8437" s="23"/>
      <c r="E8437" s="23"/>
    </row>
    <row r="8438" spans="1:5" x14ac:dyDescent="0.25">
      <c r="A8438" s="22"/>
      <c r="B8438" s="23"/>
      <c r="C8438" s="23"/>
      <c r="D8438" s="23"/>
      <c r="E8438" s="23"/>
    </row>
    <row r="8439" spans="1:5" x14ac:dyDescent="0.25">
      <c r="A8439" s="22"/>
      <c r="B8439" s="23"/>
      <c r="C8439" s="23"/>
      <c r="D8439" s="23"/>
      <c r="E8439" s="23"/>
    </row>
    <row r="8440" spans="1:5" x14ac:dyDescent="0.25">
      <c r="A8440" s="22"/>
      <c r="B8440" s="23"/>
      <c r="C8440" s="23"/>
      <c r="D8440" s="23"/>
      <c r="E8440" s="23"/>
    </row>
    <row r="8441" spans="1:5" x14ac:dyDescent="0.25">
      <c r="A8441" s="22"/>
      <c r="B8441" s="23"/>
      <c r="C8441" s="23"/>
      <c r="D8441" s="23"/>
      <c r="E8441" s="23"/>
    </row>
    <row r="8442" spans="1:5" x14ac:dyDescent="0.25">
      <c r="A8442" s="22"/>
      <c r="B8442" s="23"/>
      <c r="C8442" s="23"/>
      <c r="D8442" s="23"/>
      <c r="E8442" s="23"/>
    </row>
    <row r="8443" spans="1:5" x14ac:dyDescent="0.25">
      <c r="A8443" s="22"/>
      <c r="B8443" s="23"/>
      <c r="C8443" s="23"/>
      <c r="D8443" s="23"/>
      <c r="E8443" s="23"/>
    </row>
    <row r="8444" spans="1:5" x14ac:dyDescent="0.25">
      <c r="A8444" s="22"/>
      <c r="B8444" s="23"/>
      <c r="C8444" s="23"/>
      <c r="D8444" s="23"/>
      <c r="E8444" s="23"/>
    </row>
    <row r="8445" spans="1:5" x14ac:dyDescent="0.25">
      <c r="A8445" s="22"/>
      <c r="B8445" s="23"/>
      <c r="C8445" s="23"/>
      <c r="D8445" s="23"/>
      <c r="E8445" s="23"/>
    </row>
    <row r="8446" spans="1:5" x14ac:dyDescent="0.25">
      <c r="A8446" s="22"/>
      <c r="B8446" s="23"/>
      <c r="C8446" s="23"/>
      <c r="D8446" s="23"/>
      <c r="E8446" s="23"/>
    </row>
    <row r="8447" spans="1:5" x14ac:dyDescent="0.25">
      <c r="A8447" s="22"/>
      <c r="B8447" s="23"/>
      <c r="C8447" s="23"/>
      <c r="D8447" s="23"/>
      <c r="E8447" s="23"/>
    </row>
    <row r="8448" spans="1:5" x14ac:dyDescent="0.25">
      <c r="A8448" s="22"/>
      <c r="B8448" s="23"/>
      <c r="C8448" s="23"/>
      <c r="D8448" s="23"/>
      <c r="E8448" s="23"/>
    </row>
    <row r="8449" spans="1:5" x14ac:dyDescent="0.25">
      <c r="A8449" s="22"/>
      <c r="B8449" s="23"/>
      <c r="C8449" s="23"/>
      <c r="D8449" s="23"/>
      <c r="E8449" s="23"/>
    </row>
    <row r="8450" spans="1:5" x14ac:dyDescent="0.25">
      <c r="A8450" s="22"/>
      <c r="B8450" s="23"/>
      <c r="C8450" s="23"/>
      <c r="D8450" s="23"/>
      <c r="E8450" s="23"/>
    </row>
    <row r="8451" spans="1:5" x14ac:dyDescent="0.25">
      <c r="A8451" s="22"/>
      <c r="B8451" s="23"/>
      <c r="C8451" s="23"/>
      <c r="D8451" s="23"/>
      <c r="E8451" s="23"/>
    </row>
    <row r="8452" spans="1:5" x14ac:dyDescent="0.25">
      <c r="A8452" s="22"/>
      <c r="B8452" s="23"/>
      <c r="C8452" s="23"/>
      <c r="D8452" s="23"/>
      <c r="E8452" s="23"/>
    </row>
    <row r="8453" spans="1:5" x14ac:dyDescent="0.25">
      <c r="A8453" s="22"/>
      <c r="B8453" s="23"/>
      <c r="C8453" s="23"/>
      <c r="D8453" s="23"/>
      <c r="E8453" s="23"/>
    </row>
    <row r="8454" spans="1:5" x14ac:dyDescent="0.25">
      <c r="A8454" s="22"/>
      <c r="B8454" s="23"/>
      <c r="C8454" s="23"/>
      <c r="D8454" s="23"/>
      <c r="E8454" s="23"/>
    </row>
    <row r="8455" spans="1:5" x14ac:dyDescent="0.25">
      <c r="A8455" s="22"/>
      <c r="B8455" s="23"/>
      <c r="C8455" s="23"/>
      <c r="D8455" s="23"/>
      <c r="E8455" s="23"/>
    </row>
    <row r="8456" spans="1:5" x14ac:dyDescent="0.25">
      <c r="A8456" s="22"/>
      <c r="B8456" s="23"/>
      <c r="C8456" s="23"/>
      <c r="D8456" s="23"/>
      <c r="E8456" s="23"/>
    </row>
    <row r="8457" spans="1:5" x14ac:dyDescent="0.25">
      <c r="A8457" s="22"/>
      <c r="B8457" s="23"/>
      <c r="C8457" s="23"/>
      <c r="D8457" s="23"/>
      <c r="E8457" s="23"/>
    </row>
    <row r="8458" spans="1:5" x14ac:dyDescent="0.25">
      <c r="A8458" s="22"/>
      <c r="B8458" s="23"/>
      <c r="C8458" s="23"/>
      <c r="D8458" s="23"/>
      <c r="E8458" s="23"/>
    </row>
    <row r="8459" spans="1:5" x14ac:dyDescent="0.25">
      <c r="A8459" s="22"/>
      <c r="B8459" s="23"/>
      <c r="C8459" s="23"/>
      <c r="D8459" s="23"/>
      <c r="E8459" s="23"/>
    </row>
    <row r="8460" spans="1:5" x14ac:dyDescent="0.25">
      <c r="A8460" s="22"/>
      <c r="B8460" s="23"/>
      <c r="C8460" s="23"/>
      <c r="D8460" s="23"/>
      <c r="E8460" s="23"/>
    </row>
    <row r="8461" spans="1:5" x14ac:dyDescent="0.25">
      <c r="A8461" s="22"/>
      <c r="B8461" s="23"/>
      <c r="C8461" s="23"/>
      <c r="D8461" s="23"/>
      <c r="E8461" s="23"/>
    </row>
    <row r="8462" spans="1:5" x14ac:dyDescent="0.25">
      <c r="A8462" s="22"/>
      <c r="B8462" s="23"/>
      <c r="C8462" s="23"/>
      <c r="D8462" s="23"/>
      <c r="E8462" s="23"/>
    </row>
    <row r="8463" spans="1:5" x14ac:dyDescent="0.25">
      <c r="A8463" s="22"/>
      <c r="B8463" s="23"/>
      <c r="C8463" s="23"/>
      <c r="D8463" s="23"/>
      <c r="E8463" s="23"/>
    </row>
    <row r="8464" spans="1:5" x14ac:dyDescent="0.25">
      <c r="A8464" s="22"/>
      <c r="B8464" s="23"/>
      <c r="C8464" s="23"/>
      <c r="D8464" s="23"/>
      <c r="E8464" s="23"/>
    </row>
    <row r="8465" spans="1:5" x14ac:dyDescent="0.25">
      <c r="A8465" s="22"/>
      <c r="B8465" s="23"/>
      <c r="C8465" s="23"/>
      <c r="D8465" s="23"/>
      <c r="E8465" s="23"/>
    </row>
    <row r="8466" spans="1:5" x14ac:dyDescent="0.25">
      <c r="A8466" s="22"/>
      <c r="B8466" s="23"/>
      <c r="C8466" s="23"/>
      <c r="D8466" s="23"/>
      <c r="E8466" s="23"/>
    </row>
    <row r="8467" spans="1:5" x14ac:dyDescent="0.25">
      <c r="A8467" s="22"/>
      <c r="B8467" s="23"/>
      <c r="C8467" s="23"/>
      <c r="D8467" s="23"/>
      <c r="E8467" s="23"/>
    </row>
    <row r="8468" spans="1:5" x14ac:dyDescent="0.25">
      <c r="A8468" s="22"/>
      <c r="B8468" s="23"/>
      <c r="C8468" s="23"/>
      <c r="D8468" s="23"/>
      <c r="E8468" s="23"/>
    </row>
    <row r="8469" spans="1:5" x14ac:dyDescent="0.25">
      <c r="A8469" s="22"/>
      <c r="B8469" s="23"/>
      <c r="C8469" s="23"/>
      <c r="D8469" s="23"/>
      <c r="E8469" s="23"/>
    </row>
    <row r="8470" spans="1:5" x14ac:dyDescent="0.25">
      <c r="A8470" s="22"/>
      <c r="B8470" s="23"/>
      <c r="C8470" s="23"/>
      <c r="D8470" s="23"/>
      <c r="E8470" s="23"/>
    </row>
    <row r="8471" spans="1:5" x14ac:dyDescent="0.25">
      <c r="A8471" s="22"/>
      <c r="B8471" s="23"/>
      <c r="C8471" s="23"/>
      <c r="D8471" s="23"/>
      <c r="E8471" s="23"/>
    </row>
    <row r="8472" spans="1:5" x14ac:dyDescent="0.25">
      <c r="A8472" s="22"/>
      <c r="B8472" s="23"/>
      <c r="C8472" s="23"/>
      <c r="D8472" s="23"/>
      <c r="E8472" s="23"/>
    </row>
    <row r="8473" spans="1:5" x14ac:dyDescent="0.25">
      <c r="A8473" s="22"/>
      <c r="B8473" s="23"/>
      <c r="C8473" s="23"/>
      <c r="D8473" s="23"/>
      <c r="E8473" s="23"/>
    </row>
    <row r="8474" spans="1:5" x14ac:dyDescent="0.25">
      <c r="A8474" s="22"/>
      <c r="B8474" s="23"/>
      <c r="C8474" s="23"/>
      <c r="D8474" s="23"/>
      <c r="E8474" s="23"/>
    </row>
    <row r="8475" spans="1:5" x14ac:dyDescent="0.25">
      <c r="A8475" s="22"/>
      <c r="B8475" s="23"/>
      <c r="C8475" s="23"/>
      <c r="D8475" s="23"/>
      <c r="E8475" s="23"/>
    </row>
    <row r="8476" spans="1:5" x14ac:dyDescent="0.25">
      <c r="A8476" s="22"/>
      <c r="B8476" s="23"/>
      <c r="C8476" s="23"/>
      <c r="D8476" s="23"/>
      <c r="E8476" s="23"/>
    </row>
    <row r="8477" spans="1:5" x14ac:dyDescent="0.25">
      <c r="A8477" s="22"/>
      <c r="B8477" s="23"/>
      <c r="C8477" s="23"/>
      <c r="D8477" s="23"/>
      <c r="E8477" s="23"/>
    </row>
    <row r="8478" spans="1:5" x14ac:dyDescent="0.25">
      <c r="A8478" s="22"/>
      <c r="B8478" s="23"/>
      <c r="C8478" s="23"/>
      <c r="D8478" s="23"/>
      <c r="E8478" s="23"/>
    </row>
    <row r="8479" spans="1:5" x14ac:dyDescent="0.25">
      <c r="A8479" s="22"/>
      <c r="B8479" s="23"/>
      <c r="C8479" s="23"/>
      <c r="D8479" s="23"/>
      <c r="E8479" s="23"/>
    </row>
    <row r="8480" spans="1:5" x14ac:dyDescent="0.25">
      <c r="A8480" s="22"/>
      <c r="B8480" s="23"/>
      <c r="C8480" s="23"/>
      <c r="D8480" s="23"/>
      <c r="E8480" s="23"/>
    </row>
    <row r="8481" spans="1:5" x14ac:dyDescent="0.25">
      <c r="A8481" s="22"/>
      <c r="B8481" s="23"/>
      <c r="C8481" s="23"/>
      <c r="D8481" s="23"/>
      <c r="E8481" s="23"/>
    </row>
    <row r="8482" spans="1:5" x14ac:dyDescent="0.25">
      <c r="A8482" s="22"/>
      <c r="B8482" s="23"/>
      <c r="C8482" s="23"/>
      <c r="D8482" s="23"/>
      <c r="E8482" s="23"/>
    </row>
    <row r="8483" spans="1:5" x14ac:dyDescent="0.25">
      <c r="A8483" s="22"/>
      <c r="B8483" s="23"/>
      <c r="C8483" s="23"/>
      <c r="D8483" s="23"/>
      <c r="E8483" s="23"/>
    </row>
    <row r="8484" spans="1:5" x14ac:dyDescent="0.25">
      <c r="A8484" s="22"/>
      <c r="B8484" s="23"/>
      <c r="C8484" s="23"/>
      <c r="D8484" s="23"/>
      <c r="E8484" s="23"/>
    </row>
    <row r="8485" spans="1:5" x14ac:dyDescent="0.25">
      <c r="A8485" s="22"/>
      <c r="B8485" s="23"/>
      <c r="C8485" s="23"/>
      <c r="D8485" s="23"/>
      <c r="E8485" s="23"/>
    </row>
    <row r="8486" spans="1:5" x14ac:dyDescent="0.25">
      <c r="A8486" s="22"/>
      <c r="B8486" s="23"/>
      <c r="C8486" s="23"/>
      <c r="D8486" s="23"/>
      <c r="E8486" s="23"/>
    </row>
    <row r="8487" spans="1:5" x14ac:dyDescent="0.25">
      <c r="A8487" s="22"/>
      <c r="B8487" s="23"/>
      <c r="C8487" s="23"/>
      <c r="D8487" s="23"/>
      <c r="E8487" s="23"/>
    </row>
    <row r="8488" spans="1:5" x14ac:dyDescent="0.25">
      <c r="A8488" s="22"/>
      <c r="B8488" s="23"/>
      <c r="C8488" s="23"/>
      <c r="D8488" s="23"/>
      <c r="E8488" s="23"/>
    </row>
    <row r="8489" spans="1:5" x14ac:dyDescent="0.25">
      <c r="A8489" s="22"/>
      <c r="B8489" s="23"/>
      <c r="C8489" s="23"/>
      <c r="D8489" s="23"/>
      <c r="E8489" s="23"/>
    </row>
    <row r="8490" spans="1:5" x14ac:dyDescent="0.25">
      <c r="A8490" s="22"/>
      <c r="B8490" s="23"/>
      <c r="C8490" s="23"/>
      <c r="D8490" s="23"/>
      <c r="E8490" s="23"/>
    </row>
    <row r="8491" spans="1:5" x14ac:dyDescent="0.25">
      <c r="A8491" s="22"/>
      <c r="B8491" s="23"/>
      <c r="C8491" s="23"/>
      <c r="D8491" s="23"/>
      <c r="E8491" s="23"/>
    </row>
    <row r="8492" spans="1:5" x14ac:dyDescent="0.25">
      <c r="A8492" s="22"/>
      <c r="B8492" s="23"/>
      <c r="C8492" s="23"/>
      <c r="D8492" s="23"/>
      <c r="E8492" s="23"/>
    </row>
    <row r="8493" spans="1:5" x14ac:dyDescent="0.25">
      <c r="A8493" s="22"/>
      <c r="B8493" s="23"/>
      <c r="C8493" s="23"/>
      <c r="D8493" s="23"/>
      <c r="E8493" s="23"/>
    </row>
    <row r="8494" spans="1:5" x14ac:dyDescent="0.25">
      <c r="A8494" s="22"/>
      <c r="B8494" s="23"/>
      <c r="C8494" s="23"/>
      <c r="D8494" s="23"/>
      <c r="E8494" s="23"/>
    </row>
    <row r="8495" spans="1:5" x14ac:dyDescent="0.25">
      <c r="A8495" s="22"/>
      <c r="B8495" s="23"/>
      <c r="C8495" s="23"/>
      <c r="D8495" s="23"/>
      <c r="E8495" s="23"/>
    </row>
    <row r="8496" spans="1:5" x14ac:dyDescent="0.25">
      <c r="A8496" s="22"/>
      <c r="B8496" s="23"/>
      <c r="C8496" s="23"/>
      <c r="D8496" s="23"/>
      <c r="E8496" s="23"/>
    </row>
    <row r="8497" spans="1:5" x14ac:dyDescent="0.25">
      <c r="A8497" s="22"/>
      <c r="B8497" s="23"/>
      <c r="C8497" s="23"/>
      <c r="D8497" s="23"/>
      <c r="E8497" s="23"/>
    </row>
    <row r="8498" spans="1:5" x14ac:dyDescent="0.25">
      <c r="A8498" s="22"/>
      <c r="B8498" s="23"/>
      <c r="C8498" s="23"/>
      <c r="D8498" s="23"/>
      <c r="E8498" s="23"/>
    </row>
    <row r="8499" spans="1:5" x14ac:dyDescent="0.25">
      <c r="A8499" s="22"/>
      <c r="B8499" s="23"/>
      <c r="C8499" s="23"/>
      <c r="D8499" s="23"/>
      <c r="E8499" s="23"/>
    </row>
    <row r="8500" spans="1:5" x14ac:dyDescent="0.25">
      <c r="A8500" s="22"/>
      <c r="B8500" s="23"/>
      <c r="C8500" s="23"/>
      <c r="D8500" s="23"/>
      <c r="E8500" s="23"/>
    </row>
    <row r="8501" spans="1:5" x14ac:dyDescent="0.25">
      <c r="A8501" s="22"/>
      <c r="B8501" s="23"/>
      <c r="C8501" s="23"/>
      <c r="D8501" s="23"/>
      <c r="E8501" s="23"/>
    </row>
    <row r="8502" spans="1:5" x14ac:dyDescent="0.25">
      <c r="A8502" s="22"/>
      <c r="B8502" s="23"/>
      <c r="C8502" s="23"/>
      <c r="D8502" s="23"/>
      <c r="E8502" s="23"/>
    </row>
    <row r="8503" spans="1:5" x14ac:dyDescent="0.25">
      <c r="A8503" s="22"/>
      <c r="B8503" s="23"/>
      <c r="C8503" s="23"/>
      <c r="D8503" s="23"/>
      <c r="E8503" s="23"/>
    </row>
    <row r="8504" spans="1:5" x14ac:dyDescent="0.25">
      <c r="A8504" s="22"/>
      <c r="B8504" s="23"/>
      <c r="C8504" s="23"/>
      <c r="D8504" s="23"/>
      <c r="E8504" s="23"/>
    </row>
    <row r="8505" spans="1:5" x14ac:dyDescent="0.25">
      <c r="A8505" s="22"/>
      <c r="B8505" s="23"/>
      <c r="C8505" s="23"/>
      <c r="D8505" s="23"/>
      <c r="E8505" s="23"/>
    </row>
    <row r="8506" spans="1:5" x14ac:dyDescent="0.25">
      <c r="A8506" s="22"/>
      <c r="B8506" s="23"/>
      <c r="C8506" s="23"/>
      <c r="D8506" s="23"/>
      <c r="E8506" s="23"/>
    </row>
    <row r="8507" spans="1:5" x14ac:dyDescent="0.25">
      <c r="A8507" s="22"/>
      <c r="B8507" s="23"/>
      <c r="C8507" s="23"/>
      <c r="D8507" s="23"/>
      <c r="E8507" s="23"/>
    </row>
    <row r="8508" spans="1:5" x14ac:dyDescent="0.25">
      <c r="A8508" s="22"/>
      <c r="B8508" s="23"/>
      <c r="C8508" s="23"/>
      <c r="D8508" s="23"/>
      <c r="E8508" s="23"/>
    </row>
    <row r="8509" spans="1:5" x14ac:dyDescent="0.25">
      <c r="A8509" s="22"/>
      <c r="B8509" s="23"/>
      <c r="C8509" s="23"/>
      <c r="D8509" s="23"/>
      <c r="E8509" s="23"/>
    </row>
    <row r="8510" spans="1:5" x14ac:dyDescent="0.25">
      <c r="A8510" s="22"/>
      <c r="B8510" s="23"/>
      <c r="C8510" s="23"/>
      <c r="D8510" s="23"/>
      <c r="E8510" s="23"/>
    </row>
    <row r="8511" spans="1:5" x14ac:dyDescent="0.25">
      <c r="A8511" s="22"/>
      <c r="B8511" s="23"/>
      <c r="C8511" s="23"/>
      <c r="D8511" s="23"/>
      <c r="E8511" s="23"/>
    </row>
    <row r="8512" spans="1:5" x14ac:dyDescent="0.25">
      <c r="A8512" s="22"/>
      <c r="B8512" s="23"/>
      <c r="C8512" s="23"/>
      <c r="D8512" s="23"/>
      <c r="E8512" s="23"/>
    </row>
    <row r="8513" spans="1:5" x14ac:dyDescent="0.25">
      <c r="A8513" s="22"/>
      <c r="B8513" s="23"/>
      <c r="C8513" s="23"/>
      <c r="D8513" s="23"/>
      <c r="E8513" s="23"/>
    </row>
    <row r="8514" spans="1:5" x14ac:dyDescent="0.25">
      <c r="A8514" s="22"/>
      <c r="B8514" s="23"/>
      <c r="C8514" s="23"/>
      <c r="D8514" s="23"/>
      <c r="E8514" s="23"/>
    </row>
    <row r="8515" spans="1:5" x14ac:dyDescent="0.25">
      <c r="A8515" s="22"/>
      <c r="B8515" s="23"/>
      <c r="C8515" s="23"/>
      <c r="D8515" s="23"/>
      <c r="E8515" s="23"/>
    </row>
    <row r="8516" spans="1:5" x14ac:dyDescent="0.25">
      <c r="A8516" s="22"/>
      <c r="B8516" s="23"/>
      <c r="C8516" s="23"/>
      <c r="D8516" s="23"/>
      <c r="E8516" s="23"/>
    </row>
    <row r="8517" spans="1:5" x14ac:dyDescent="0.25">
      <c r="A8517" s="22"/>
      <c r="B8517" s="23"/>
      <c r="C8517" s="23"/>
      <c r="D8517" s="23"/>
      <c r="E8517" s="23"/>
    </row>
    <row r="8518" spans="1:5" x14ac:dyDescent="0.25">
      <c r="A8518" s="22"/>
      <c r="B8518" s="23"/>
      <c r="C8518" s="23"/>
      <c r="D8518" s="23"/>
      <c r="E8518" s="23"/>
    </row>
    <row r="8519" spans="1:5" x14ac:dyDescent="0.25">
      <c r="A8519" s="22"/>
      <c r="B8519" s="23"/>
      <c r="C8519" s="23"/>
      <c r="D8519" s="23"/>
      <c r="E8519" s="23"/>
    </row>
    <row r="8520" spans="1:5" x14ac:dyDescent="0.25">
      <c r="A8520" s="22"/>
      <c r="B8520" s="23"/>
      <c r="C8520" s="23"/>
      <c r="D8520" s="23"/>
      <c r="E8520" s="23"/>
    </row>
    <row r="8521" spans="1:5" x14ac:dyDescent="0.25">
      <c r="A8521" s="22"/>
      <c r="B8521" s="23"/>
      <c r="C8521" s="23"/>
      <c r="D8521" s="23"/>
      <c r="E8521" s="23"/>
    </row>
    <row r="8522" spans="1:5" x14ac:dyDescent="0.25">
      <c r="A8522" s="22"/>
      <c r="B8522" s="23"/>
      <c r="C8522" s="23"/>
      <c r="D8522" s="23"/>
      <c r="E8522" s="23"/>
    </row>
    <row r="8523" spans="1:5" x14ac:dyDescent="0.25">
      <c r="A8523" s="22"/>
      <c r="B8523" s="23"/>
      <c r="C8523" s="23"/>
      <c r="D8523" s="23"/>
      <c r="E8523" s="23"/>
    </row>
    <row r="8524" spans="1:5" x14ac:dyDescent="0.25">
      <c r="A8524" s="22"/>
      <c r="B8524" s="23"/>
      <c r="C8524" s="23"/>
      <c r="D8524" s="23"/>
      <c r="E8524" s="23"/>
    </row>
    <row r="8525" spans="1:5" x14ac:dyDescent="0.25">
      <c r="A8525" s="22"/>
      <c r="B8525" s="23"/>
      <c r="C8525" s="23"/>
      <c r="D8525" s="23"/>
      <c r="E8525" s="23"/>
    </row>
    <row r="8526" spans="1:5" x14ac:dyDescent="0.25">
      <c r="A8526" s="22"/>
      <c r="B8526" s="23"/>
      <c r="C8526" s="23"/>
      <c r="D8526" s="23"/>
      <c r="E8526" s="23"/>
    </row>
    <row r="8527" spans="1:5" x14ac:dyDescent="0.25">
      <c r="A8527" s="22"/>
      <c r="B8527" s="23"/>
      <c r="C8527" s="23"/>
      <c r="D8527" s="23"/>
      <c r="E8527" s="23"/>
    </row>
    <row r="8528" spans="1:5" x14ac:dyDescent="0.25">
      <c r="A8528" s="22"/>
      <c r="B8528" s="23"/>
      <c r="C8528" s="23"/>
      <c r="D8528" s="23"/>
      <c r="E8528" s="23"/>
    </row>
    <row r="8529" spans="1:5" x14ac:dyDescent="0.25">
      <c r="A8529" s="22"/>
      <c r="B8529" s="23"/>
      <c r="C8529" s="23"/>
      <c r="D8529" s="23"/>
      <c r="E8529" s="23"/>
    </row>
    <row r="8530" spans="1:5" x14ac:dyDescent="0.25">
      <c r="A8530" s="22"/>
      <c r="B8530" s="23"/>
      <c r="C8530" s="23"/>
      <c r="D8530" s="23"/>
      <c r="E8530" s="23"/>
    </row>
    <row r="8531" spans="1:5" x14ac:dyDescent="0.25">
      <c r="A8531" s="22"/>
      <c r="B8531" s="23"/>
      <c r="C8531" s="23"/>
      <c r="D8531" s="23"/>
      <c r="E8531" s="23"/>
    </row>
    <row r="8532" spans="1:5" x14ac:dyDescent="0.25">
      <c r="A8532" s="22"/>
      <c r="B8532" s="23"/>
      <c r="C8532" s="23"/>
      <c r="D8532" s="23"/>
      <c r="E8532" s="23"/>
    </row>
    <row r="8533" spans="1:5" x14ac:dyDescent="0.25">
      <c r="A8533" s="22"/>
      <c r="B8533" s="23"/>
      <c r="C8533" s="23"/>
      <c r="D8533" s="23"/>
      <c r="E8533" s="23"/>
    </row>
    <row r="8534" spans="1:5" x14ac:dyDescent="0.25">
      <c r="A8534" s="22"/>
      <c r="B8534" s="23"/>
      <c r="C8534" s="23"/>
      <c r="D8534" s="23"/>
      <c r="E8534" s="23"/>
    </row>
    <row r="8535" spans="1:5" x14ac:dyDescent="0.25">
      <c r="A8535" s="22"/>
      <c r="B8535" s="23"/>
      <c r="C8535" s="23"/>
      <c r="D8535" s="23"/>
      <c r="E8535" s="23"/>
    </row>
    <row r="8536" spans="1:5" x14ac:dyDescent="0.25">
      <c r="A8536" s="22"/>
      <c r="B8536" s="23"/>
      <c r="C8536" s="23"/>
      <c r="D8536" s="23"/>
      <c r="E8536" s="23"/>
    </row>
    <row r="8537" spans="1:5" x14ac:dyDescent="0.25">
      <c r="A8537" s="22"/>
      <c r="B8537" s="23"/>
      <c r="C8537" s="23"/>
      <c r="D8537" s="23"/>
      <c r="E8537" s="23"/>
    </row>
    <row r="8538" spans="1:5" x14ac:dyDescent="0.25">
      <c r="A8538" s="22"/>
      <c r="B8538" s="23"/>
      <c r="C8538" s="23"/>
      <c r="D8538" s="23"/>
      <c r="E8538" s="23"/>
    </row>
    <row r="8539" spans="1:5" x14ac:dyDescent="0.25">
      <c r="A8539" s="22"/>
      <c r="B8539" s="23"/>
      <c r="C8539" s="23"/>
      <c r="D8539" s="23"/>
      <c r="E8539" s="23"/>
    </row>
    <row r="8540" spans="1:5" x14ac:dyDescent="0.25">
      <c r="A8540" s="22"/>
      <c r="B8540" s="23"/>
      <c r="C8540" s="23"/>
      <c r="D8540" s="23"/>
      <c r="E8540" s="23"/>
    </row>
    <row r="8541" spans="1:5" x14ac:dyDescent="0.25">
      <c r="A8541" s="22"/>
      <c r="B8541" s="23"/>
      <c r="C8541" s="23"/>
      <c r="D8541" s="23"/>
      <c r="E8541" s="23"/>
    </row>
    <row r="8542" spans="1:5" x14ac:dyDescent="0.25">
      <c r="A8542" s="22"/>
      <c r="B8542" s="23"/>
      <c r="C8542" s="23"/>
      <c r="D8542" s="23"/>
      <c r="E8542" s="23"/>
    </row>
    <row r="8543" spans="1:5" x14ac:dyDescent="0.25">
      <c r="A8543" s="22"/>
      <c r="B8543" s="23"/>
      <c r="C8543" s="23"/>
      <c r="D8543" s="23"/>
      <c r="E8543" s="23"/>
    </row>
    <row r="8544" spans="1:5" x14ac:dyDescent="0.25">
      <c r="A8544" s="22"/>
      <c r="B8544" s="23"/>
      <c r="C8544" s="23"/>
      <c r="D8544" s="23"/>
      <c r="E8544" s="23"/>
    </row>
    <row r="8545" spans="1:5" x14ac:dyDescent="0.25">
      <c r="A8545" s="22"/>
      <c r="B8545" s="23"/>
      <c r="C8545" s="23"/>
      <c r="D8545" s="23"/>
      <c r="E8545" s="23"/>
    </row>
    <row r="8546" spans="1:5" x14ac:dyDescent="0.25">
      <c r="A8546" s="22"/>
      <c r="B8546" s="23"/>
      <c r="C8546" s="23"/>
      <c r="D8546" s="23"/>
      <c r="E8546" s="23"/>
    </row>
    <row r="8547" spans="1:5" x14ac:dyDescent="0.25">
      <c r="A8547" s="22"/>
      <c r="B8547" s="23"/>
      <c r="C8547" s="23"/>
      <c r="D8547" s="23"/>
      <c r="E8547" s="23"/>
    </row>
    <row r="8548" spans="1:5" x14ac:dyDescent="0.25">
      <c r="A8548" s="22"/>
      <c r="B8548" s="23"/>
      <c r="C8548" s="23"/>
      <c r="D8548" s="23"/>
      <c r="E8548" s="23"/>
    </row>
    <row r="8549" spans="1:5" x14ac:dyDescent="0.25">
      <c r="A8549" s="22"/>
      <c r="B8549" s="23"/>
      <c r="C8549" s="23"/>
      <c r="D8549" s="23"/>
      <c r="E8549" s="23"/>
    </row>
    <row r="8550" spans="1:5" x14ac:dyDescent="0.25">
      <c r="A8550" s="22"/>
      <c r="B8550" s="23"/>
      <c r="C8550" s="23"/>
      <c r="D8550" s="23"/>
      <c r="E8550" s="23"/>
    </row>
    <row r="8551" spans="1:5" x14ac:dyDescent="0.25">
      <c r="A8551" s="22"/>
      <c r="B8551" s="23"/>
      <c r="C8551" s="23"/>
      <c r="D8551" s="23"/>
      <c r="E8551" s="23"/>
    </row>
    <row r="8552" spans="1:5" x14ac:dyDescent="0.25">
      <c r="A8552" s="22"/>
      <c r="B8552" s="23"/>
      <c r="C8552" s="23"/>
      <c r="D8552" s="23"/>
      <c r="E8552" s="23"/>
    </row>
    <row r="8553" spans="1:5" x14ac:dyDescent="0.25">
      <c r="A8553" s="22"/>
      <c r="B8553" s="23"/>
      <c r="C8553" s="23"/>
      <c r="D8553" s="23"/>
      <c r="E8553" s="23"/>
    </row>
    <row r="8554" spans="1:5" x14ac:dyDescent="0.25">
      <c r="A8554" s="22"/>
      <c r="B8554" s="23"/>
      <c r="C8554" s="23"/>
      <c r="D8554" s="23"/>
      <c r="E8554" s="23"/>
    </row>
    <row r="8555" spans="1:5" x14ac:dyDescent="0.25">
      <c r="A8555" s="22"/>
      <c r="B8555" s="23"/>
      <c r="C8555" s="23"/>
      <c r="D8555" s="23"/>
      <c r="E8555" s="23"/>
    </row>
    <row r="8556" spans="1:5" x14ac:dyDescent="0.25">
      <c r="A8556" s="22"/>
      <c r="B8556" s="23"/>
      <c r="C8556" s="23"/>
      <c r="D8556" s="23"/>
      <c r="E8556" s="23"/>
    </row>
    <row r="8557" spans="1:5" x14ac:dyDescent="0.25">
      <c r="A8557" s="22"/>
      <c r="B8557" s="23"/>
      <c r="C8557" s="23"/>
      <c r="D8557" s="23"/>
      <c r="E8557" s="23"/>
    </row>
    <row r="8558" spans="1:5" x14ac:dyDescent="0.25">
      <c r="A8558" s="22"/>
      <c r="B8558" s="23"/>
      <c r="C8558" s="23"/>
      <c r="D8558" s="23"/>
      <c r="E8558" s="23"/>
    </row>
    <row r="8559" spans="1:5" x14ac:dyDescent="0.25">
      <c r="A8559" s="22"/>
      <c r="B8559" s="23"/>
      <c r="C8559" s="23"/>
      <c r="D8559" s="23"/>
      <c r="E8559" s="23"/>
    </row>
    <row r="8560" spans="1:5" x14ac:dyDescent="0.25">
      <c r="A8560" s="22"/>
      <c r="B8560" s="23"/>
      <c r="C8560" s="23"/>
      <c r="D8560" s="23"/>
      <c r="E8560" s="23"/>
    </row>
    <row r="8561" spans="1:5" x14ac:dyDescent="0.25">
      <c r="A8561" s="22"/>
      <c r="B8561" s="23"/>
      <c r="C8561" s="23"/>
      <c r="D8561" s="23"/>
      <c r="E8561" s="23"/>
    </row>
    <row r="8562" spans="1:5" x14ac:dyDescent="0.25">
      <c r="A8562" s="22"/>
      <c r="B8562" s="23"/>
      <c r="C8562" s="23"/>
      <c r="D8562" s="23"/>
      <c r="E8562" s="23"/>
    </row>
    <row r="8563" spans="1:5" x14ac:dyDescent="0.25">
      <c r="A8563" s="22"/>
      <c r="B8563" s="23"/>
      <c r="C8563" s="23"/>
      <c r="D8563" s="23"/>
      <c r="E8563" s="23"/>
    </row>
    <row r="8564" spans="1:5" x14ac:dyDescent="0.25">
      <c r="A8564" s="22"/>
      <c r="B8564" s="23"/>
      <c r="C8564" s="23"/>
      <c r="D8564" s="23"/>
      <c r="E8564" s="23"/>
    </row>
    <row r="8565" spans="1:5" x14ac:dyDescent="0.25">
      <c r="A8565" s="22"/>
      <c r="B8565" s="23"/>
      <c r="C8565" s="23"/>
      <c r="D8565" s="23"/>
      <c r="E8565" s="23"/>
    </row>
    <row r="8566" spans="1:5" x14ac:dyDescent="0.25">
      <c r="A8566" s="22"/>
      <c r="B8566" s="23"/>
      <c r="C8566" s="23"/>
      <c r="D8566" s="23"/>
      <c r="E8566" s="23"/>
    </row>
    <row r="8567" spans="1:5" x14ac:dyDescent="0.25">
      <c r="A8567" s="22"/>
      <c r="B8567" s="23"/>
      <c r="C8567" s="23"/>
      <c r="D8567" s="23"/>
      <c r="E8567" s="23"/>
    </row>
    <row r="8568" spans="1:5" x14ac:dyDescent="0.25">
      <c r="A8568" s="22"/>
      <c r="B8568" s="23"/>
      <c r="C8568" s="23"/>
      <c r="D8568" s="23"/>
      <c r="E8568" s="23"/>
    </row>
    <row r="8569" spans="1:5" x14ac:dyDescent="0.25">
      <c r="A8569" s="22"/>
      <c r="B8569" s="23"/>
      <c r="C8569" s="23"/>
      <c r="D8569" s="23"/>
      <c r="E8569" s="23"/>
    </row>
    <row r="8570" spans="1:5" x14ac:dyDescent="0.25">
      <c r="A8570" s="22"/>
      <c r="B8570" s="23"/>
      <c r="C8570" s="23"/>
      <c r="D8570" s="23"/>
      <c r="E8570" s="23"/>
    </row>
    <row r="8571" spans="1:5" x14ac:dyDescent="0.25">
      <c r="A8571" s="22"/>
      <c r="B8571" s="23"/>
      <c r="C8571" s="23"/>
      <c r="D8571" s="23"/>
      <c r="E8571" s="23"/>
    </row>
    <row r="8572" spans="1:5" x14ac:dyDescent="0.25">
      <c r="A8572" s="22"/>
      <c r="B8572" s="23"/>
      <c r="C8572" s="23"/>
      <c r="D8572" s="23"/>
      <c r="E8572" s="23"/>
    </row>
    <row r="8573" spans="1:5" x14ac:dyDescent="0.25">
      <c r="A8573" s="22"/>
      <c r="B8573" s="23"/>
      <c r="C8573" s="23"/>
      <c r="D8573" s="23"/>
      <c r="E8573" s="23"/>
    </row>
    <row r="8574" spans="1:5" x14ac:dyDescent="0.25">
      <c r="A8574" s="22"/>
      <c r="B8574" s="23"/>
      <c r="C8574" s="23"/>
      <c r="D8574" s="23"/>
      <c r="E8574" s="23"/>
    </row>
    <row r="8575" spans="1:5" x14ac:dyDescent="0.25">
      <c r="A8575" s="22"/>
      <c r="B8575" s="23"/>
      <c r="C8575" s="23"/>
      <c r="D8575" s="23"/>
      <c r="E8575" s="23"/>
    </row>
    <row r="8576" spans="1:5" x14ac:dyDescent="0.25">
      <c r="A8576" s="22"/>
      <c r="B8576" s="23"/>
      <c r="C8576" s="23"/>
      <c r="D8576" s="23"/>
      <c r="E8576" s="23"/>
    </row>
    <row r="8577" spans="1:5" x14ac:dyDescent="0.25">
      <c r="A8577" s="22"/>
      <c r="B8577" s="23"/>
      <c r="C8577" s="23"/>
      <c r="D8577" s="23"/>
      <c r="E8577" s="23"/>
    </row>
    <row r="8578" spans="1:5" x14ac:dyDescent="0.25">
      <c r="A8578" s="22"/>
      <c r="B8578" s="23"/>
      <c r="C8578" s="23"/>
      <c r="D8578" s="23"/>
      <c r="E8578" s="23"/>
    </row>
    <row r="8579" spans="1:5" x14ac:dyDescent="0.25">
      <c r="A8579" s="22"/>
      <c r="B8579" s="23"/>
      <c r="C8579" s="23"/>
      <c r="D8579" s="23"/>
      <c r="E8579" s="23"/>
    </row>
    <row r="8580" spans="1:5" x14ac:dyDescent="0.25">
      <c r="A8580" s="22"/>
      <c r="B8580" s="23"/>
      <c r="C8580" s="23"/>
      <c r="D8580" s="23"/>
      <c r="E8580" s="23"/>
    </row>
    <row r="8581" spans="1:5" x14ac:dyDescent="0.25">
      <c r="A8581" s="22"/>
      <c r="B8581" s="23"/>
      <c r="C8581" s="23"/>
      <c r="D8581" s="23"/>
      <c r="E8581" s="23"/>
    </row>
    <row r="8582" spans="1:5" x14ac:dyDescent="0.25">
      <c r="A8582" s="22"/>
      <c r="B8582" s="23"/>
      <c r="C8582" s="23"/>
      <c r="D8582" s="23"/>
      <c r="E8582" s="23"/>
    </row>
    <row r="8583" spans="1:5" x14ac:dyDescent="0.25">
      <c r="A8583" s="22"/>
      <c r="B8583" s="23"/>
      <c r="C8583" s="23"/>
      <c r="D8583" s="23"/>
      <c r="E8583" s="23"/>
    </row>
    <row r="8584" spans="1:5" x14ac:dyDescent="0.25">
      <c r="A8584" s="22"/>
      <c r="B8584" s="23"/>
      <c r="C8584" s="23"/>
      <c r="D8584" s="23"/>
      <c r="E8584" s="23"/>
    </row>
    <row r="8585" spans="1:5" x14ac:dyDescent="0.25">
      <c r="A8585" s="22"/>
      <c r="B8585" s="23"/>
      <c r="C8585" s="23"/>
      <c r="D8585" s="23"/>
      <c r="E8585" s="23"/>
    </row>
    <row r="8586" spans="1:5" x14ac:dyDescent="0.25">
      <c r="A8586" s="22"/>
      <c r="B8586" s="23"/>
      <c r="C8586" s="23"/>
      <c r="D8586" s="23"/>
      <c r="E8586" s="23"/>
    </row>
    <row r="8587" spans="1:5" x14ac:dyDescent="0.25">
      <c r="A8587" s="22"/>
      <c r="B8587" s="23"/>
      <c r="C8587" s="23"/>
      <c r="D8587" s="23"/>
      <c r="E8587" s="23"/>
    </row>
    <row r="8588" spans="1:5" x14ac:dyDescent="0.25">
      <c r="A8588" s="22"/>
      <c r="B8588" s="23"/>
      <c r="C8588" s="23"/>
      <c r="D8588" s="23"/>
      <c r="E8588" s="23"/>
    </row>
    <row r="8589" spans="1:5" x14ac:dyDescent="0.25">
      <c r="A8589" s="22"/>
      <c r="B8589" s="23"/>
      <c r="C8589" s="23"/>
      <c r="D8589" s="23"/>
      <c r="E8589" s="23"/>
    </row>
    <row r="8590" spans="1:5" x14ac:dyDescent="0.25">
      <c r="A8590" s="22"/>
      <c r="B8590" s="23"/>
      <c r="C8590" s="23"/>
      <c r="D8590" s="23"/>
      <c r="E8590" s="23"/>
    </row>
    <row r="8591" spans="1:5" x14ac:dyDescent="0.25">
      <c r="A8591" s="22"/>
      <c r="B8591" s="23"/>
      <c r="C8591" s="23"/>
      <c r="D8591" s="23"/>
      <c r="E8591" s="23"/>
    </row>
    <row r="8592" spans="1:5" x14ac:dyDescent="0.25">
      <c r="A8592" s="22"/>
      <c r="B8592" s="23"/>
      <c r="C8592" s="23"/>
      <c r="D8592" s="23"/>
      <c r="E8592" s="23"/>
    </row>
    <row r="8593" spans="1:5" x14ac:dyDescent="0.25">
      <c r="A8593" s="22"/>
      <c r="B8593" s="23"/>
      <c r="C8593" s="23"/>
      <c r="D8593" s="23"/>
      <c r="E8593" s="23"/>
    </row>
    <row r="8594" spans="1:5" x14ac:dyDescent="0.25">
      <c r="A8594" s="22"/>
      <c r="B8594" s="23"/>
      <c r="C8594" s="23"/>
      <c r="D8594" s="23"/>
      <c r="E8594" s="23"/>
    </row>
    <row r="8595" spans="1:5" x14ac:dyDescent="0.25">
      <c r="A8595" s="22"/>
      <c r="B8595" s="23"/>
      <c r="C8595" s="23"/>
      <c r="D8595" s="23"/>
      <c r="E8595" s="23"/>
    </row>
    <row r="8596" spans="1:5" x14ac:dyDescent="0.25">
      <c r="A8596" s="22"/>
      <c r="B8596" s="23"/>
      <c r="C8596" s="23"/>
      <c r="D8596" s="23"/>
      <c r="E8596" s="23"/>
    </row>
    <row r="8597" spans="1:5" x14ac:dyDescent="0.25">
      <c r="A8597" s="22"/>
      <c r="B8597" s="23"/>
      <c r="C8597" s="23"/>
      <c r="D8597" s="23"/>
      <c r="E8597" s="23"/>
    </row>
    <row r="8598" spans="1:5" x14ac:dyDescent="0.25">
      <c r="A8598" s="22"/>
      <c r="B8598" s="23"/>
      <c r="C8598" s="23"/>
      <c r="D8598" s="23"/>
      <c r="E8598" s="23"/>
    </row>
    <row r="8599" spans="1:5" x14ac:dyDescent="0.25">
      <c r="A8599" s="22"/>
      <c r="B8599" s="23"/>
      <c r="C8599" s="23"/>
      <c r="D8599" s="23"/>
      <c r="E8599" s="23"/>
    </row>
    <row r="8600" spans="1:5" x14ac:dyDescent="0.25">
      <c r="A8600" s="22"/>
      <c r="B8600" s="23"/>
      <c r="C8600" s="23"/>
      <c r="D8600" s="23"/>
      <c r="E8600" s="23"/>
    </row>
    <row r="8601" spans="1:5" x14ac:dyDescent="0.25">
      <c r="A8601" s="22"/>
      <c r="B8601" s="23"/>
      <c r="C8601" s="23"/>
      <c r="D8601" s="23"/>
      <c r="E8601" s="23"/>
    </row>
    <row r="8602" spans="1:5" x14ac:dyDescent="0.25">
      <c r="A8602" s="22"/>
      <c r="B8602" s="23"/>
      <c r="C8602" s="23"/>
      <c r="D8602" s="23"/>
      <c r="E8602" s="23"/>
    </row>
    <row r="8603" spans="1:5" x14ac:dyDescent="0.25">
      <c r="A8603" s="22"/>
      <c r="B8603" s="23"/>
      <c r="C8603" s="23"/>
      <c r="D8603" s="23"/>
      <c r="E8603" s="23"/>
    </row>
    <row r="8604" spans="1:5" x14ac:dyDescent="0.25">
      <c r="A8604" s="22"/>
      <c r="B8604" s="23"/>
      <c r="C8604" s="23"/>
      <c r="D8604" s="23"/>
      <c r="E8604" s="23"/>
    </row>
    <row r="8605" spans="1:5" x14ac:dyDescent="0.25">
      <c r="A8605" s="22"/>
      <c r="B8605" s="23"/>
      <c r="C8605" s="23"/>
      <c r="D8605" s="23"/>
      <c r="E8605" s="23"/>
    </row>
    <row r="8606" spans="1:5" x14ac:dyDescent="0.25">
      <c r="A8606" s="22"/>
      <c r="B8606" s="23"/>
      <c r="C8606" s="23"/>
      <c r="D8606" s="23"/>
      <c r="E8606" s="23"/>
    </row>
    <row r="8607" spans="1:5" x14ac:dyDescent="0.25">
      <c r="A8607" s="22"/>
      <c r="B8607" s="23"/>
      <c r="C8607" s="23"/>
      <c r="D8607" s="23"/>
      <c r="E8607" s="23"/>
    </row>
    <row r="8608" spans="1:5" x14ac:dyDescent="0.25">
      <c r="A8608" s="22"/>
      <c r="B8608" s="23"/>
      <c r="C8608" s="23"/>
      <c r="D8608" s="23"/>
      <c r="E8608" s="23"/>
    </row>
    <row r="8609" spans="1:5" x14ac:dyDescent="0.25">
      <c r="A8609" s="22"/>
      <c r="B8609" s="23"/>
      <c r="C8609" s="23"/>
      <c r="D8609" s="23"/>
      <c r="E8609" s="23"/>
    </row>
    <row r="8610" spans="1:5" x14ac:dyDescent="0.25">
      <c r="A8610" s="22"/>
      <c r="B8610" s="23"/>
      <c r="C8610" s="23"/>
      <c r="D8610" s="23"/>
      <c r="E8610" s="23"/>
    </row>
    <row r="8611" spans="1:5" x14ac:dyDescent="0.25">
      <c r="A8611" s="22"/>
      <c r="B8611" s="23"/>
      <c r="C8611" s="23"/>
      <c r="D8611" s="23"/>
      <c r="E8611" s="23"/>
    </row>
    <row r="8612" spans="1:5" x14ac:dyDescent="0.25">
      <c r="A8612" s="22"/>
      <c r="B8612" s="23"/>
      <c r="C8612" s="23"/>
      <c r="D8612" s="23"/>
      <c r="E8612" s="23"/>
    </row>
    <row r="8613" spans="1:5" x14ac:dyDescent="0.25">
      <c r="A8613" s="22"/>
      <c r="B8613" s="23"/>
      <c r="C8613" s="23"/>
      <c r="D8613" s="23"/>
      <c r="E8613" s="23"/>
    </row>
    <row r="8614" spans="1:5" x14ac:dyDescent="0.25">
      <c r="A8614" s="22"/>
      <c r="B8614" s="23"/>
      <c r="C8614" s="23"/>
      <c r="D8614" s="23"/>
      <c r="E8614" s="23"/>
    </row>
    <row r="8615" spans="1:5" x14ac:dyDescent="0.25">
      <c r="A8615" s="22"/>
      <c r="B8615" s="23"/>
      <c r="C8615" s="23"/>
      <c r="D8615" s="23"/>
      <c r="E8615" s="23"/>
    </row>
    <row r="8616" spans="1:5" x14ac:dyDescent="0.25">
      <c r="A8616" s="22"/>
      <c r="B8616" s="23"/>
      <c r="C8616" s="23"/>
      <c r="D8616" s="23"/>
      <c r="E8616" s="23"/>
    </row>
    <row r="8617" spans="1:5" x14ac:dyDescent="0.25">
      <c r="A8617" s="22"/>
      <c r="B8617" s="23"/>
      <c r="C8617" s="23"/>
      <c r="D8617" s="23"/>
      <c r="E8617" s="23"/>
    </row>
    <row r="8618" spans="1:5" x14ac:dyDescent="0.25">
      <c r="A8618" s="22"/>
      <c r="B8618" s="23"/>
      <c r="C8618" s="23"/>
      <c r="D8618" s="23"/>
      <c r="E8618" s="23"/>
    </row>
    <row r="8619" spans="1:5" x14ac:dyDescent="0.25">
      <c r="A8619" s="22"/>
      <c r="B8619" s="23"/>
      <c r="C8619" s="23"/>
      <c r="D8619" s="23"/>
      <c r="E8619" s="23"/>
    </row>
    <row r="8620" spans="1:5" x14ac:dyDescent="0.25">
      <c r="A8620" s="22"/>
      <c r="B8620" s="23"/>
      <c r="C8620" s="23"/>
      <c r="D8620" s="23"/>
      <c r="E8620" s="23"/>
    </row>
    <row r="8621" spans="1:5" x14ac:dyDescent="0.25">
      <c r="A8621" s="22"/>
      <c r="B8621" s="23"/>
      <c r="C8621" s="23"/>
      <c r="D8621" s="23"/>
      <c r="E8621" s="23"/>
    </row>
    <row r="8622" spans="1:5" x14ac:dyDescent="0.25">
      <c r="A8622" s="22"/>
      <c r="B8622" s="23"/>
      <c r="C8622" s="23"/>
      <c r="D8622" s="23"/>
      <c r="E8622" s="23"/>
    </row>
    <row r="8623" spans="1:5" x14ac:dyDescent="0.25">
      <c r="A8623" s="22"/>
      <c r="B8623" s="23"/>
      <c r="C8623" s="23"/>
      <c r="D8623" s="23"/>
      <c r="E8623" s="23"/>
    </row>
    <row r="8624" spans="1:5" x14ac:dyDescent="0.25">
      <c r="A8624" s="22"/>
      <c r="B8624" s="23"/>
      <c r="C8624" s="23"/>
      <c r="D8624" s="23"/>
      <c r="E8624" s="23"/>
    </row>
    <row r="8625" spans="1:5" x14ac:dyDescent="0.25">
      <c r="A8625" s="22"/>
      <c r="B8625" s="23"/>
      <c r="C8625" s="23"/>
      <c r="D8625" s="23"/>
      <c r="E8625" s="23"/>
    </row>
    <row r="8626" spans="1:5" x14ac:dyDescent="0.25">
      <c r="A8626" s="22"/>
      <c r="B8626" s="23"/>
      <c r="C8626" s="23"/>
      <c r="D8626" s="23"/>
      <c r="E8626" s="23"/>
    </row>
    <row r="8627" spans="1:5" x14ac:dyDescent="0.25">
      <c r="A8627" s="22"/>
      <c r="B8627" s="23"/>
      <c r="C8627" s="23"/>
      <c r="D8627" s="23"/>
      <c r="E8627" s="23"/>
    </row>
    <row r="8628" spans="1:5" x14ac:dyDescent="0.25">
      <c r="A8628" s="22"/>
      <c r="B8628" s="23"/>
      <c r="C8628" s="23"/>
      <c r="D8628" s="23"/>
      <c r="E8628" s="23"/>
    </row>
    <row r="8629" spans="1:5" x14ac:dyDescent="0.25">
      <c r="A8629" s="22"/>
      <c r="B8629" s="23"/>
      <c r="C8629" s="23"/>
      <c r="D8629" s="23"/>
      <c r="E8629" s="23"/>
    </row>
    <row r="8630" spans="1:5" x14ac:dyDescent="0.25">
      <c r="A8630" s="22"/>
      <c r="B8630" s="23"/>
      <c r="C8630" s="23"/>
      <c r="D8630" s="23"/>
      <c r="E8630" s="23"/>
    </row>
    <row r="8631" spans="1:5" x14ac:dyDescent="0.25">
      <c r="A8631" s="22"/>
      <c r="B8631" s="23"/>
      <c r="C8631" s="23"/>
      <c r="D8631" s="23"/>
      <c r="E8631" s="23"/>
    </row>
    <row r="8632" spans="1:5" x14ac:dyDescent="0.25">
      <c r="A8632" s="22"/>
      <c r="B8632" s="23"/>
      <c r="C8632" s="23"/>
      <c r="D8632" s="23"/>
      <c r="E8632" s="23"/>
    </row>
    <row r="8633" spans="1:5" x14ac:dyDescent="0.25">
      <c r="A8633" s="22"/>
      <c r="B8633" s="23"/>
      <c r="C8633" s="23"/>
      <c r="D8633" s="23"/>
      <c r="E8633" s="23"/>
    </row>
    <row r="8634" spans="1:5" x14ac:dyDescent="0.25">
      <c r="A8634" s="22"/>
      <c r="B8634" s="23"/>
      <c r="C8634" s="23"/>
      <c r="D8634" s="23"/>
      <c r="E8634" s="23"/>
    </row>
    <row r="8635" spans="1:5" x14ac:dyDescent="0.25">
      <c r="A8635" s="22"/>
      <c r="B8635" s="23"/>
      <c r="C8635" s="23"/>
      <c r="D8635" s="23"/>
      <c r="E8635" s="23"/>
    </row>
    <row r="8636" spans="1:5" x14ac:dyDescent="0.25">
      <c r="A8636" s="22"/>
      <c r="B8636" s="23"/>
      <c r="C8636" s="23"/>
      <c r="D8636" s="23"/>
      <c r="E8636" s="23"/>
    </row>
    <row r="8637" spans="1:5" x14ac:dyDescent="0.25">
      <c r="A8637" s="22"/>
      <c r="B8637" s="23"/>
      <c r="C8637" s="23"/>
      <c r="D8637" s="23"/>
      <c r="E8637" s="23"/>
    </row>
    <row r="8638" spans="1:5" x14ac:dyDescent="0.25">
      <c r="A8638" s="22"/>
      <c r="B8638" s="23"/>
      <c r="C8638" s="23"/>
      <c r="D8638" s="23"/>
      <c r="E8638" s="23"/>
    </row>
    <row r="8639" spans="1:5" x14ac:dyDescent="0.25">
      <c r="A8639" s="22"/>
      <c r="B8639" s="23"/>
      <c r="C8639" s="23"/>
      <c r="D8639" s="23"/>
      <c r="E8639" s="23"/>
    </row>
    <row r="8640" spans="1:5" x14ac:dyDescent="0.25">
      <c r="A8640" s="22"/>
      <c r="B8640" s="23"/>
      <c r="C8640" s="23"/>
      <c r="D8640" s="23"/>
      <c r="E8640" s="23"/>
    </row>
    <row r="8641" spans="1:5" x14ac:dyDescent="0.25">
      <c r="A8641" s="22"/>
      <c r="B8641" s="23"/>
      <c r="C8641" s="23"/>
      <c r="D8641" s="23"/>
      <c r="E8641" s="23"/>
    </row>
    <row r="8642" spans="1:5" x14ac:dyDescent="0.25">
      <c r="A8642" s="22"/>
      <c r="B8642" s="23"/>
      <c r="C8642" s="23"/>
      <c r="D8642" s="23"/>
      <c r="E8642" s="23"/>
    </row>
    <row r="8643" spans="1:5" x14ac:dyDescent="0.25">
      <c r="A8643" s="22"/>
      <c r="B8643" s="23"/>
      <c r="C8643" s="23"/>
      <c r="D8643" s="23"/>
      <c r="E8643" s="23"/>
    </row>
    <row r="8644" spans="1:5" x14ac:dyDescent="0.25">
      <c r="A8644" s="22"/>
      <c r="B8644" s="23"/>
      <c r="C8644" s="23"/>
      <c r="D8644" s="23"/>
      <c r="E8644" s="23"/>
    </row>
    <row r="8645" spans="1:5" x14ac:dyDescent="0.25">
      <c r="A8645" s="22"/>
      <c r="B8645" s="23"/>
      <c r="C8645" s="23"/>
      <c r="D8645" s="23"/>
      <c r="E8645" s="23"/>
    </row>
    <row r="8646" spans="1:5" x14ac:dyDescent="0.25">
      <c r="A8646" s="22"/>
      <c r="B8646" s="23"/>
      <c r="C8646" s="23"/>
      <c r="D8646" s="23"/>
      <c r="E8646" s="23"/>
    </row>
    <row r="8647" spans="1:5" x14ac:dyDescent="0.25">
      <c r="A8647" s="22"/>
      <c r="B8647" s="23"/>
      <c r="C8647" s="23"/>
      <c r="D8647" s="23"/>
      <c r="E8647" s="23"/>
    </row>
    <row r="8648" spans="1:5" x14ac:dyDescent="0.25">
      <c r="A8648" s="22"/>
      <c r="B8648" s="23"/>
      <c r="C8648" s="23"/>
      <c r="D8648" s="23"/>
      <c r="E8648" s="23"/>
    </row>
    <row r="8649" spans="1:5" x14ac:dyDescent="0.25">
      <c r="A8649" s="22"/>
      <c r="B8649" s="23"/>
      <c r="C8649" s="23"/>
      <c r="D8649" s="23"/>
      <c r="E8649" s="23"/>
    </row>
    <row r="8650" spans="1:5" x14ac:dyDescent="0.25">
      <c r="A8650" s="22"/>
      <c r="B8650" s="23"/>
      <c r="C8650" s="23"/>
      <c r="D8650" s="23"/>
      <c r="E8650" s="23"/>
    </row>
    <row r="8651" spans="1:5" x14ac:dyDescent="0.25">
      <c r="A8651" s="22"/>
      <c r="B8651" s="23"/>
      <c r="C8651" s="23"/>
      <c r="D8651" s="23"/>
      <c r="E8651" s="23"/>
    </row>
    <row r="8652" spans="1:5" x14ac:dyDescent="0.25">
      <c r="A8652" s="22"/>
      <c r="B8652" s="23"/>
      <c r="C8652" s="23"/>
      <c r="D8652" s="23"/>
      <c r="E8652" s="23"/>
    </row>
    <row r="8653" spans="1:5" x14ac:dyDescent="0.25">
      <c r="A8653" s="22"/>
      <c r="B8653" s="23"/>
      <c r="C8653" s="23"/>
      <c r="D8653" s="23"/>
      <c r="E8653" s="23"/>
    </row>
    <row r="8654" spans="1:5" x14ac:dyDescent="0.25">
      <c r="A8654" s="22"/>
      <c r="B8654" s="23"/>
      <c r="C8654" s="23"/>
      <c r="D8654" s="23"/>
      <c r="E8654" s="23"/>
    </row>
    <row r="8655" spans="1:5" x14ac:dyDescent="0.25">
      <c r="A8655" s="22"/>
      <c r="B8655" s="23"/>
      <c r="C8655" s="23"/>
      <c r="D8655" s="23"/>
      <c r="E8655" s="23"/>
    </row>
    <row r="8656" spans="1:5" x14ac:dyDescent="0.25">
      <c r="A8656" s="22"/>
      <c r="B8656" s="23"/>
      <c r="C8656" s="23"/>
      <c r="D8656" s="23"/>
      <c r="E8656" s="23"/>
    </row>
    <row r="8657" spans="1:5" x14ac:dyDescent="0.25">
      <c r="A8657" s="22"/>
      <c r="B8657" s="23"/>
      <c r="C8657" s="23"/>
      <c r="D8657" s="23"/>
      <c r="E8657" s="23"/>
    </row>
    <row r="8658" spans="1:5" x14ac:dyDescent="0.25">
      <c r="A8658" s="22"/>
      <c r="B8658" s="23"/>
      <c r="C8658" s="23"/>
      <c r="D8658" s="23"/>
      <c r="E8658" s="23"/>
    </row>
    <row r="8659" spans="1:5" x14ac:dyDescent="0.25">
      <c r="A8659" s="22"/>
      <c r="B8659" s="23"/>
      <c r="C8659" s="23"/>
      <c r="D8659" s="23"/>
      <c r="E8659" s="23"/>
    </row>
    <row r="8660" spans="1:5" x14ac:dyDescent="0.25">
      <c r="A8660" s="22"/>
      <c r="B8660" s="23"/>
      <c r="C8660" s="23"/>
      <c r="D8660" s="23"/>
      <c r="E8660" s="23"/>
    </row>
    <row r="8661" spans="1:5" x14ac:dyDescent="0.25">
      <c r="A8661" s="22"/>
      <c r="B8661" s="23"/>
      <c r="C8661" s="23"/>
      <c r="D8661" s="23"/>
      <c r="E8661" s="23"/>
    </row>
    <row r="8662" spans="1:5" x14ac:dyDescent="0.25">
      <c r="A8662" s="22"/>
      <c r="B8662" s="23"/>
      <c r="C8662" s="23"/>
      <c r="D8662" s="23"/>
      <c r="E8662" s="23"/>
    </row>
    <row r="8663" spans="1:5" x14ac:dyDescent="0.25">
      <c r="A8663" s="22"/>
      <c r="B8663" s="23"/>
      <c r="C8663" s="23"/>
      <c r="D8663" s="23"/>
      <c r="E8663" s="23"/>
    </row>
    <row r="8664" spans="1:5" x14ac:dyDescent="0.25">
      <c r="A8664" s="22"/>
      <c r="B8664" s="23"/>
      <c r="C8664" s="23"/>
      <c r="D8664" s="23"/>
      <c r="E8664" s="23"/>
    </row>
    <row r="8665" spans="1:5" x14ac:dyDescent="0.25">
      <c r="A8665" s="22"/>
      <c r="B8665" s="23"/>
      <c r="C8665" s="23"/>
      <c r="D8665" s="23"/>
      <c r="E8665" s="23"/>
    </row>
    <row r="8666" spans="1:5" x14ac:dyDescent="0.25">
      <c r="A8666" s="22"/>
      <c r="B8666" s="23"/>
      <c r="C8666" s="23"/>
      <c r="D8666" s="23"/>
      <c r="E8666" s="23"/>
    </row>
    <row r="8667" spans="1:5" x14ac:dyDescent="0.25">
      <c r="A8667" s="22"/>
      <c r="B8667" s="23"/>
      <c r="C8667" s="23"/>
      <c r="D8667" s="23"/>
      <c r="E8667" s="23"/>
    </row>
    <row r="8668" spans="1:5" x14ac:dyDescent="0.25">
      <c r="A8668" s="22"/>
      <c r="B8668" s="23"/>
      <c r="C8668" s="23"/>
      <c r="D8668" s="23"/>
      <c r="E8668" s="23"/>
    </row>
    <row r="8669" spans="1:5" x14ac:dyDescent="0.25">
      <c r="A8669" s="22"/>
      <c r="B8669" s="23"/>
      <c r="C8669" s="23"/>
      <c r="D8669" s="23"/>
      <c r="E8669" s="23"/>
    </row>
    <row r="8670" spans="1:5" x14ac:dyDescent="0.25">
      <c r="A8670" s="22"/>
      <c r="B8670" s="23"/>
      <c r="C8670" s="23"/>
      <c r="D8670" s="23"/>
      <c r="E8670" s="23"/>
    </row>
    <row r="8671" spans="1:5" x14ac:dyDescent="0.25">
      <c r="A8671" s="22"/>
      <c r="B8671" s="23"/>
      <c r="C8671" s="23"/>
      <c r="D8671" s="23"/>
      <c r="E8671" s="23"/>
    </row>
    <row r="8672" spans="1:5" x14ac:dyDescent="0.25">
      <c r="A8672" s="22"/>
      <c r="B8672" s="23"/>
      <c r="C8672" s="23"/>
      <c r="D8672" s="23"/>
      <c r="E8672" s="23"/>
    </row>
    <row r="8673" spans="1:5" x14ac:dyDescent="0.25">
      <c r="A8673" s="22"/>
      <c r="B8673" s="23"/>
      <c r="C8673" s="23"/>
      <c r="D8673" s="23"/>
      <c r="E8673" s="23"/>
    </row>
    <row r="8674" spans="1:5" x14ac:dyDescent="0.25">
      <c r="A8674" s="22"/>
      <c r="B8674" s="23"/>
      <c r="C8674" s="23"/>
      <c r="D8674" s="23"/>
      <c r="E8674" s="23"/>
    </row>
    <row r="8675" spans="1:5" x14ac:dyDescent="0.25">
      <c r="A8675" s="22"/>
      <c r="B8675" s="23"/>
      <c r="C8675" s="23"/>
      <c r="D8675" s="23"/>
      <c r="E8675" s="23"/>
    </row>
    <row r="8676" spans="1:5" x14ac:dyDescent="0.25">
      <c r="A8676" s="22"/>
      <c r="B8676" s="23"/>
      <c r="C8676" s="23"/>
      <c r="D8676" s="23"/>
      <c r="E8676" s="23"/>
    </row>
    <row r="8677" spans="1:5" x14ac:dyDescent="0.25">
      <c r="A8677" s="22"/>
      <c r="B8677" s="23"/>
      <c r="C8677" s="23"/>
      <c r="D8677" s="23"/>
      <c r="E8677" s="23"/>
    </row>
    <row r="8678" spans="1:5" x14ac:dyDescent="0.25">
      <c r="A8678" s="22"/>
      <c r="B8678" s="23"/>
      <c r="C8678" s="23"/>
      <c r="D8678" s="23"/>
      <c r="E8678" s="23"/>
    </row>
    <row r="8679" spans="1:5" x14ac:dyDescent="0.25">
      <c r="A8679" s="22"/>
      <c r="B8679" s="23"/>
      <c r="C8679" s="23"/>
      <c r="D8679" s="23"/>
      <c r="E8679" s="23"/>
    </row>
    <row r="8680" spans="1:5" x14ac:dyDescent="0.25">
      <c r="A8680" s="22"/>
      <c r="B8680" s="23"/>
      <c r="C8680" s="23"/>
      <c r="D8680" s="23"/>
      <c r="E8680" s="23"/>
    </row>
    <row r="8681" spans="1:5" x14ac:dyDescent="0.25">
      <c r="A8681" s="22"/>
      <c r="B8681" s="23"/>
      <c r="C8681" s="23"/>
      <c r="D8681" s="23"/>
      <c r="E8681" s="23"/>
    </row>
    <row r="8682" spans="1:5" x14ac:dyDescent="0.25">
      <c r="A8682" s="22"/>
      <c r="B8682" s="23"/>
      <c r="C8682" s="23"/>
      <c r="D8682" s="23"/>
      <c r="E8682" s="23"/>
    </row>
    <row r="8683" spans="1:5" x14ac:dyDescent="0.25">
      <c r="A8683" s="22"/>
      <c r="B8683" s="23"/>
      <c r="C8683" s="23"/>
      <c r="D8683" s="23"/>
      <c r="E8683" s="23"/>
    </row>
    <row r="8684" spans="1:5" x14ac:dyDescent="0.25">
      <c r="A8684" s="22"/>
      <c r="B8684" s="23"/>
      <c r="C8684" s="23"/>
      <c r="D8684" s="23"/>
      <c r="E8684" s="23"/>
    </row>
    <row r="8685" spans="1:5" x14ac:dyDescent="0.25">
      <c r="A8685" s="22"/>
      <c r="B8685" s="23"/>
      <c r="C8685" s="23"/>
      <c r="D8685" s="23"/>
      <c r="E8685" s="23"/>
    </row>
    <row r="8686" spans="1:5" x14ac:dyDescent="0.25">
      <c r="A8686" s="22"/>
      <c r="B8686" s="23"/>
      <c r="C8686" s="23"/>
      <c r="D8686" s="23"/>
      <c r="E8686" s="23"/>
    </row>
    <row r="8687" spans="1:5" x14ac:dyDescent="0.25">
      <c r="A8687" s="22"/>
      <c r="B8687" s="23"/>
      <c r="C8687" s="23"/>
      <c r="D8687" s="23"/>
      <c r="E8687" s="23"/>
    </row>
    <row r="8688" spans="1:5" x14ac:dyDescent="0.25">
      <c r="A8688" s="22"/>
      <c r="B8688" s="23"/>
      <c r="C8688" s="23"/>
      <c r="D8688" s="23"/>
      <c r="E8688" s="23"/>
    </row>
    <row r="8689" spans="1:5" x14ac:dyDescent="0.25">
      <c r="A8689" s="22"/>
      <c r="B8689" s="23"/>
      <c r="C8689" s="23"/>
      <c r="D8689" s="23"/>
      <c r="E8689" s="23"/>
    </row>
    <row r="8690" spans="1:5" x14ac:dyDescent="0.25">
      <c r="A8690" s="22"/>
      <c r="B8690" s="23"/>
      <c r="C8690" s="23"/>
      <c r="D8690" s="23"/>
      <c r="E8690" s="23"/>
    </row>
    <row r="8691" spans="1:5" x14ac:dyDescent="0.25">
      <c r="A8691" s="22"/>
      <c r="B8691" s="23"/>
      <c r="C8691" s="23"/>
      <c r="D8691" s="23"/>
      <c r="E8691" s="23"/>
    </row>
    <row r="8692" spans="1:5" x14ac:dyDescent="0.25">
      <c r="A8692" s="22"/>
      <c r="B8692" s="23"/>
      <c r="C8692" s="23"/>
      <c r="D8692" s="23"/>
      <c r="E8692" s="23"/>
    </row>
    <row r="8693" spans="1:5" x14ac:dyDescent="0.25">
      <c r="A8693" s="22"/>
      <c r="B8693" s="23"/>
      <c r="C8693" s="23"/>
      <c r="D8693" s="23"/>
      <c r="E8693" s="23"/>
    </row>
    <row r="8694" spans="1:5" x14ac:dyDescent="0.25">
      <c r="A8694" s="22"/>
      <c r="B8694" s="23"/>
      <c r="C8694" s="23"/>
      <c r="D8694" s="23"/>
      <c r="E8694" s="23"/>
    </row>
    <row r="8695" spans="1:5" x14ac:dyDescent="0.25">
      <c r="A8695" s="22"/>
      <c r="B8695" s="23"/>
      <c r="C8695" s="23"/>
      <c r="D8695" s="23"/>
      <c r="E8695" s="23"/>
    </row>
    <row r="8696" spans="1:5" x14ac:dyDescent="0.25">
      <c r="A8696" s="22"/>
      <c r="B8696" s="23"/>
      <c r="C8696" s="23"/>
      <c r="D8696" s="23"/>
      <c r="E8696" s="23"/>
    </row>
    <row r="8697" spans="1:5" x14ac:dyDescent="0.25">
      <c r="A8697" s="22"/>
      <c r="B8697" s="23"/>
      <c r="C8697" s="23"/>
      <c r="D8697" s="23"/>
      <c r="E8697" s="23"/>
    </row>
    <row r="8698" spans="1:5" x14ac:dyDescent="0.25">
      <c r="A8698" s="22"/>
      <c r="B8698" s="23"/>
      <c r="C8698" s="23"/>
      <c r="D8698" s="23"/>
      <c r="E8698" s="23"/>
    </row>
    <row r="8699" spans="1:5" x14ac:dyDescent="0.25">
      <c r="A8699" s="22"/>
      <c r="B8699" s="23"/>
      <c r="C8699" s="23"/>
      <c r="D8699" s="23"/>
      <c r="E8699" s="23"/>
    </row>
    <row r="8700" spans="1:5" x14ac:dyDescent="0.25">
      <c r="A8700" s="22"/>
      <c r="B8700" s="23"/>
      <c r="C8700" s="23"/>
      <c r="D8700" s="23"/>
      <c r="E8700" s="23"/>
    </row>
    <row r="8701" spans="1:5" x14ac:dyDescent="0.25">
      <c r="A8701" s="22"/>
      <c r="B8701" s="23"/>
      <c r="C8701" s="23"/>
      <c r="D8701" s="23"/>
      <c r="E8701" s="23"/>
    </row>
    <row r="8702" spans="1:5" x14ac:dyDescent="0.25">
      <c r="A8702" s="22"/>
      <c r="B8702" s="23"/>
      <c r="C8702" s="23"/>
      <c r="D8702" s="23"/>
      <c r="E8702" s="23"/>
    </row>
    <row r="8703" spans="1:5" x14ac:dyDescent="0.25">
      <c r="A8703" s="22"/>
      <c r="B8703" s="23"/>
      <c r="C8703" s="23"/>
      <c r="D8703" s="23"/>
      <c r="E8703" s="23"/>
    </row>
    <row r="8704" spans="1:5" x14ac:dyDescent="0.25">
      <c r="A8704" s="22"/>
      <c r="B8704" s="23"/>
      <c r="C8704" s="23"/>
      <c r="D8704" s="23"/>
      <c r="E8704" s="23"/>
    </row>
    <row r="8705" spans="1:5" x14ac:dyDescent="0.25">
      <c r="A8705" s="22"/>
      <c r="B8705" s="23"/>
      <c r="C8705" s="23"/>
      <c r="D8705" s="23"/>
      <c r="E8705" s="23"/>
    </row>
    <row r="8706" spans="1:5" x14ac:dyDescent="0.25">
      <c r="A8706" s="22"/>
      <c r="B8706" s="23"/>
      <c r="C8706" s="23"/>
      <c r="D8706" s="23"/>
      <c r="E8706" s="23"/>
    </row>
    <row r="8707" spans="1:5" x14ac:dyDescent="0.25">
      <c r="A8707" s="22"/>
      <c r="B8707" s="23"/>
      <c r="C8707" s="23"/>
      <c r="D8707" s="23"/>
      <c r="E8707" s="23"/>
    </row>
    <row r="8708" spans="1:5" x14ac:dyDescent="0.25">
      <c r="A8708" s="22"/>
      <c r="B8708" s="23"/>
      <c r="C8708" s="23"/>
      <c r="D8708" s="23"/>
      <c r="E8708" s="23"/>
    </row>
    <row r="8709" spans="1:5" x14ac:dyDescent="0.25">
      <c r="A8709" s="22"/>
      <c r="B8709" s="23"/>
      <c r="C8709" s="23"/>
      <c r="D8709" s="23"/>
      <c r="E8709" s="23"/>
    </row>
    <row r="8710" spans="1:5" x14ac:dyDescent="0.25">
      <c r="A8710" s="22"/>
      <c r="B8710" s="23"/>
      <c r="C8710" s="23"/>
      <c r="D8710" s="23"/>
      <c r="E8710" s="23"/>
    </row>
    <row r="8711" spans="1:5" x14ac:dyDescent="0.25">
      <c r="A8711" s="22"/>
      <c r="B8711" s="23"/>
      <c r="C8711" s="23"/>
      <c r="D8711" s="23"/>
      <c r="E8711" s="23"/>
    </row>
    <row r="8712" spans="1:5" x14ac:dyDescent="0.25">
      <c r="A8712" s="22"/>
      <c r="B8712" s="23"/>
      <c r="C8712" s="23"/>
      <c r="D8712" s="23"/>
      <c r="E8712" s="23"/>
    </row>
    <row r="8713" spans="1:5" x14ac:dyDescent="0.25">
      <c r="A8713" s="22"/>
      <c r="B8713" s="23"/>
      <c r="C8713" s="23"/>
      <c r="D8713" s="23"/>
      <c r="E8713" s="23"/>
    </row>
    <row r="8714" spans="1:5" x14ac:dyDescent="0.25">
      <c r="A8714" s="22"/>
      <c r="B8714" s="23"/>
      <c r="C8714" s="23"/>
      <c r="D8714" s="23"/>
      <c r="E8714" s="23"/>
    </row>
    <row r="8715" spans="1:5" x14ac:dyDescent="0.25">
      <c r="A8715" s="22"/>
      <c r="B8715" s="23"/>
      <c r="C8715" s="23"/>
      <c r="D8715" s="23"/>
      <c r="E8715" s="23"/>
    </row>
    <row r="8716" spans="1:5" x14ac:dyDescent="0.25">
      <c r="A8716" s="22"/>
      <c r="B8716" s="23"/>
      <c r="C8716" s="23"/>
      <c r="D8716" s="23"/>
      <c r="E8716" s="23"/>
    </row>
    <row r="8717" spans="1:5" x14ac:dyDescent="0.25">
      <c r="A8717" s="22"/>
      <c r="B8717" s="23"/>
      <c r="C8717" s="23"/>
      <c r="D8717" s="23"/>
      <c r="E8717" s="23"/>
    </row>
    <row r="8718" spans="1:5" x14ac:dyDescent="0.25">
      <c r="A8718" s="22"/>
      <c r="B8718" s="23"/>
      <c r="C8718" s="23"/>
      <c r="D8718" s="23"/>
      <c r="E8718" s="23"/>
    </row>
    <row r="8719" spans="1:5" x14ac:dyDescent="0.25">
      <c r="A8719" s="22"/>
      <c r="B8719" s="23"/>
      <c r="C8719" s="23"/>
      <c r="D8719" s="23"/>
      <c r="E8719" s="23"/>
    </row>
    <row r="8720" spans="1:5" x14ac:dyDescent="0.25">
      <c r="A8720" s="22"/>
      <c r="B8720" s="23"/>
      <c r="C8720" s="23"/>
      <c r="D8720" s="23"/>
      <c r="E8720" s="23"/>
    </row>
    <row r="8721" spans="1:5" x14ac:dyDescent="0.25">
      <c r="A8721" s="22"/>
      <c r="B8721" s="23"/>
      <c r="C8721" s="23"/>
      <c r="D8721" s="23"/>
      <c r="E8721" s="23"/>
    </row>
    <row r="8722" spans="1:5" x14ac:dyDescent="0.25">
      <c r="A8722" s="22"/>
      <c r="B8722" s="23"/>
      <c r="C8722" s="23"/>
      <c r="D8722" s="23"/>
      <c r="E8722" s="23"/>
    </row>
    <row r="8723" spans="1:5" x14ac:dyDescent="0.25">
      <c r="A8723" s="22"/>
      <c r="B8723" s="23"/>
      <c r="C8723" s="23"/>
      <c r="D8723" s="23"/>
      <c r="E8723" s="23"/>
    </row>
    <row r="8724" spans="1:5" x14ac:dyDescent="0.25">
      <c r="A8724" s="22"/>
      <c r="B8724" s="23"/>
      <c r="C8724" s="23"/>
      <c r="D8724" s="23"/>
      <c r="E8724" s="23"/>
    </row>
    <row r="8725" spans="1:5" x14ac:dyDescent="0.25">
      <c r="A8725" s="22"/>
      <c r="B8725" s="23"/>
      <c r="C8725" s="23"/>
      <c r="D8725" s="23"/>
      <c r="E8725" s="23"/>
    </row>
    <row r="8726" spans="1:5" x14ac:dyDescent="0.25">
      <c r="A8726" s="22"/>
      <c r="B8726" s="23"/>
      <c r="C8726" s="23"/>
      <c r="D8726" s="23"/>
      <c r="E8726" s="23"/>
    </row>
    <row r="8727" spans="1:5" x14ac:dyDescent="0.25">
      <c r="A8727" s="22"/>
      <c r="B8727" s="23"/>
      <c r="C8727" s="23"/>
      <c r="D8727" s="23"/>
      <c r="E8727" s="23"/>
    </row>
    <row r="8728" spans="1:5" x14ac:dyDescent="0.25">
      <c r="A8728" s="22"/>
      <c r="B8728" s="23"/>
      <c r="C8728" s="23"/>
      <c r="D8728" s="23"/>
      <c r="E8728" s="23"/>
    </row>
    <row r="8729" spans="1:5" x14ac:dyDescent="0.25">
      <c r="A8729" s="22"/>
      <c r="B8729" s="23"/>
      <c r="C8729" s="23"/>
      <c r="D8729" s="23"/>
      <c r="E8729" s="23"/>
    </row>
    <row r="8730" spans="1:5" x14ac:dyDescent="0.25">
      <c r="A8730" s="22"/>
      <c r="B8730" s="23"/>
      <c r="C8730" s="23"/>
      <c r="D8730" s="23"/>
      <c r="E8730" s="23"/>
    </row>
    <row r="8731" spans="1:5" x14ac:dyDescent="0.25">
      <c r="A8731" s="22"/>
      <c r="B8731" s="23"/>
      <c r="C8731" s="23"/>
      <c r="D8731" s="23"/>
      <c r="E8731" s="23"/>
    </row>
    <row r="8732" spans="1:5" x14ac:dyDescent="0.25">
      <c r="A8732" s="22"/>
      <c r="B8732" s="23"/>
      <c r="C8732" s="23"/>
      <c r="D8732" s="23"/>
      <c r="E8732" s="23"/>
    </row>
    <row r="8733" spans="1:5" x14ac:dyDescent="0.25">
      <c r="A8733" s="22"/>
      <c r="B8733" s="23"/>
      <c r="C8733" s="23"/>
      <c r="D8733" s="23"/>
      <c r="E8733" s="23"/>
    </row>
    <row r="8734" spans="1:5" x14ac:dyDescent="0.25">
      <c r="A8734" s="22"/>
      <c r="B8734" s="23"/>
      <c r="C8734" s="23"/>
      <c r="D8734" s="23"/>
      <c r="E8734" s="23"/>
    </row>
    <row r="8735" spans="1:5" x14ac:dyDescent="0.25">
      <c r="A8735" s="22"/>
      <c r="B8735" s="23"/>
      <c r="C8735" s="23"/>
      <c r="D8735" s="23"/>
      <c r="E8735" s="23"/>
    </row>
    <row r="8736" spans="1:5" x14ac:dyDescent="0.25">
      <c r="A8736" s="22"/>
      <c r="B8736" s="23"/>
      <c r="C8736" s="23"/>
      <c r="D8736" s="23"/>
      <c r="E8736" s="23"/>
    </row>
    <row r="8737" spans="1:5" x14ac:dyDescent="0.25">
      <c r="A8737" s="22"/>
      <c r="B8737" s="23"/>
      <c r="C8737" s="23"/>
      <c r="D8737" s="23"/>
      <c r="E8737" s="23"/>
    </row>
    <row r="8738" spans="1:5" x14ac:dyDescent="0.25">
      <c r="A8738" s="22"/>
      <c r="B8738" s="23"/>
      <c r="C8738" s="23"/>
      <c r="D8738" s="23"/>
      <c r="E8738" s="23"/>
    </row>
    <row r="8739" spans="1:5" x14ac:dyDescent="0.25">
      <c r="A8739" s="22"/>
      <c r="B8739" s="23"/>
      <c r="C8739" s="23"/>
      <c r="D8739" s="23"/>
      <c r="E8739" s="23"/>
    </row>
    <row r="8740" spans="1:5" x14ac:dyDescent="0.25">
      <c r="A8740" s="22"/>
      <c r="B8740" s="23"/>
      <c r="C8740" s="23"/>
      <c r="D8740" s="23"/>
      <c r="E8740" s="23"/>
    </row>
    <row r="8741" spans="1:5" x14ac:dyDescent="0.25">
      <c r="A8741" s="22"/>
      <c r="B8741" s="23"/>
      <c r="C8741" s="23"/>
      <c r="D8741" s="23"/>
      <c r="E8741" s="23"/>
    </row>
    <row r="8742" spans="1:5" x14ac:dyDescent="0.25">
      <c r="A8742" s="22"/>
      <c r="B8742" s="23"/>
      <c r="C8742" s="23"/>
      <c r="D8742" s="23"/>
      <c r="E8742" s="23"/>
    </row>
    <row r="8743" spans="1:5" x14ac:dyDescent="0.25">
      <c r="A8743" s="22"/>
      <c r="B8743" s="23"/>
      <c r="C8743" s="23"/>
      <c r="D8743" s="23"/>
      <c r="E8743" s="23"/>
    </row>
    <row r="8744" spans="1:5" x14ac:dyDescent="0.25">
      <c r="A8744" s="22"/>
      <c r="B8744" s="23"/>
      <c r="C8744" s="23"/>
      <c r="D8744" s="23"/>
      <c r="E8744" s="23"/>
    </row>
    <row r="8745" spans="1:5" x14ac:dyDescent="0.25">
      <c r="A8745" s="22"/>
      <c r="B8745" s="23"/>
      <c r="C8745" s="23"/>
      <c r="D8745" s="23"/>
      <c r="E8745" s="23"/>
    </row>
    <row r="8746" spans="1:5" x14ac:dyDescent="0.25">
      <c r="A8746" s="22"/>
      <c r="B8746" s="23"/>
      <c r="C8746" s="23"/>
      <c r="D8746" s="23"/>
      <c r="E8746" s="23"/>
    </row>
    <row r="8747" spans="1:5" x14ac:dyDescent="0.25">
      <c r="A8747" s="22"/>
      <c r="B8747" s="23"/>
      <c r="C8747" s="23"/>
      <c r="D8747" s="23"/>
      <c r="E8747" s="23"/>
    </row>
    <row r="8748" spans="1:5" x14ac:dyDescent="0.25">
      <c r="A8748" s="22"/>
      <c r="B8748" s="23"/>
      <c r="C8748" s="23"/>
      <c r="D8748" s="23"/>
      <c r="E8748" s="23"/>
    </row>
    <row r="8749" spans="1:5" x14ac:dyDescent="0.25">
      <c r="A8749" s="22"/>
      <c r="B8749" s="23"/>
      <c r="C8749" s="23"/>
      <c r="D8749" s="23"/>
      <c r="E8749" s="23"/>
    </row>
    <row r="8750" spans="1:5" x14ac:dyDescent="0.25">
      <c r="A8750" s="22"/>
      <c r="B8750" s="23"/>
      <c r="C8750" s="23"/>
      <c r="D8750" s="23"/>
      <c r="E8750" s="23"/>
    </row>
    <row r="8751" spans="1:5" x14ac:dyDescent="0.25">
      <c r="A8751" s="22"/>
      <c r="B8751" s="23"/>
      <c r="C8751" s="23"/>
      <c r="D8751" s="23"/>
      <c r="E8751" s="23"/>
    </row>
    <row r="8752" spans="1:5" x14ac:dyDescent="0.25">
      <c r="A8752" s="22"/>
      <c r="B8752" s="23"/>
      <c r="C8752" s="23"/>
      <c r="D8752" s="23"/>
      <c r="E8752" s="23"/>
    </row>
    <row r="8753" spans="1:5" x14ac:dyDescent="0.25">
      <c r="A8753" s="22"/>
      <c r="B8753" s="23"/>
      <c r="C8753" s="23"/>
      <c r="D8753" s="23"/>
      <c r="E8753" s="23"/>
    </row>
    <row r="8754" spans="1:5" x14ac:dyDescent="0.25">
      <c r="A8754" s="22"/>
      <c r="B8754" s="23"/>
      <c r="C8754" s="23"/>
      <c r="D8754" s="23"/>
      <c r="E8754" s="23"/>
    </row>
    <row r="8755" spans="1:5" x14ac:dyDescent="0.25">
      <c r="A8755" s="22"/>
      <c r="B8755" s="23"/>
      <c r="C8755" s="23"/>
      <c r="D8755" s="23"/>
      <c r="E8755" s="23"/>
    </row>
    <row r="8756" spans="1:5" x14ac:dyDescent="0.25">
      <c r="A8756" s="22"/>
      <c r="B8756" s="23"/>
      <c r="C8756" s="23"/>
      <c r="D8756" s="23"/>
      <c r="E8756" s="23"/>
    </row>
    <row r="8757" spans="1:5" x14ac:dyDescent="0.25">
      <c r="A8757" s="22"/>
      <c r="B8757" s="23"/>
      <c r="C8757" s="23"/>
      <c r="D8757" s="23"/>
      <c r="E8757" s="23"/>
    </row>
    <row r="8758" spans="1:5" x14ac:dyDescent="0.25">
      <c r="A8758" s="22"/>
      <c r="B8758" s="23"/>
      <c r="C8758" s="23"/>
      <c r="D8758" s="23"/>
      <c r="E8758" s="23"/>
    </row>
    <row r="8759" spans="1:5" x14ac:dyDescent="0.25">
      <c r="A8759" s="22"/>
      <c r="B8759" s="23"/>
      <c r="C8759" s="23"/>
      <c r="D8759" s="23"/>
      <c r="E8759" s="23"/>
    </row>
    <row r="8760" spans="1:5" x14ac:dyDescent="0.25">
      <c r="A8760" s="22"/>
      <c r="B8760" s="23"/>
      <c r="C8760" s="23"/>
      <c r="D8760" s="23"/>
      <c r="E8760" s="23"/>
    </row>
    <row r="8761" spans="1:5" x14ac:dyDescent="0.25">
      <c r="A8761" s="22"/>
      <c r="B8761" s="23"/>
      <c r="C8761" s="23"/>
      <c r="D8761" s="23"/>
      <c r="E8761" s="23"/>
    </row>
    <row r="8762" spans="1:5" x14ac:dyDescent="0.25">
      <c r="A8762" s="22"/>
      <c r="B8762" s="23"/>
      <c r="C8762" s="23"/>
      <c r="D8762" s="23"/>
      <c r="E8762" s="23"/>
    </row>
    <row r="8763" spans="1:5" x14ac:dyDescent="0.25">
      <c r="A8763" s="22"/>
      <c r="B8763" s="23"/>
      <c r="C8763" s="23"/>
      <c r="D8763" s="23"/>
      <c r="E8763" s="23"/>
    </row>
    <row r="8764" spans="1:5" x14ac:dyDescent="0.25">
      <c r="A8764" s="22"/>
      <c r="B8764" s="23"/>
      <c r="C8764" s="23"/>
      <c r="D8764" s="23"/>
      <c r="E8764" s="23"/>
    </row>
    <row r="8765" spans="1:5" x14ac:dyDescent="0.25">
      <c r="A8765" s="22"/>
      <c r="B8765" s="23"/>
      <c r="C8765" s="23"/>
      <c r="D8765" s="23"/>
      <c r="E8765" s="23"/>
    </row>
    <row r="8766" spans="1:5" x14ac:dyDescent="0.25">
      <c r="A8766" s="22"/>
      <c r="B8766" s="23"/>
      <c r="C8766" s="23"/>
      <c r="D8766" s="23"/>
      <c r="E8766" s="23"/>
    </row>
    <row r="8767" spans="1:5" x14ac:dyDescent="0.25">
      <c r="A8767" s="22"/>
      <c r="B8767" s="23"/>
      <c r="C8767" s="23"/>
      <c r="D8767" s="23"/>
      <c r="E8767" s="23"/>
    </row>
    <row r="8768" spans="1:5" x14ac:dyDescent="0.25">
      <c r="A8768" s="22"/>
      <c r="B8768" s="23"/>
      <c r="C8768" s="23"/>
      <c r="D8768" s="23"/>
      <c r="E8768" s="23"/>
    </row>
    <row r="8769" spans="1:5" x14ac:dyDescent="0.25">
      <c r="A8769" s="22"/>
      <c r="B8769" s="23"/>
      <c r="C8769" s="23"/>
      <c r="D8769" s="23"/>
      <c r="E8769" s="23"/>
    </row>
    <row r="8770" spans="1:5" x14ac:dyDescent="0.25">
      <c r="A8770" s="22"/>
      <c r="B8770" s="23"/>
      <c r="C8770" s="23"/>
      <c r="D8770" s="23"/>
      <c r="E8770" s="23"/>
    </row>
    <row r="8771" spans="1:5" x14ac:dyDescent="0.25">
      <c r="A8771" s="22"/>
      <c r="B8771" s="23"/>
      <c r="C8771" s="23"/>
      <c r="D8771" s="23"/>
      <c r="E8771" s="23"/>
    </row>
    <row r="8772" spans="1:5" x14ac:dyDescent="0.25">
      <c r="A8772" s="22"/>
      <c r="B8772" s="23"/>
      <c r="C8772" s="23"/>
      <c r="D8772" s="23"/>
      <c r="E8772" s="23"/>
    </row>
    <row r="8773" spans="1:5" x14ac:dyDescent="0.25">
      <c r="A8773" s="22"/>
      <c r="B8773" s="23"/>
      <c r="C8773" s="23"/>
      <c r="D8773" s="23"/>
      <c r="E8773" s="23"/>
    </row>
    <row r="8774" spans="1:5" x14ac:dyDescent="0.25">
      <c r="A8774" s="22"/>
      <c r="B8774" s="23"/>
      <c r="C8774" s="23"/>
      <c r="D8774" s="23"/>
      <c r="E8774" s="23"/>
    </row>
    <row r="8775" spans="1:5" x14ac:dyDescent="0.25">
      <c r="A8775" s="22"/>
      <c r="B8775" s="23"/>
      <c r="C8775" s="23"/>
      <c r="D8775" s="23"/>
      <c r="E8775" s="23"/>
    </row>
    <row r="8776" spans="1:5" x14ac:dyDescent="0.25">
      <c r="A8776" s="22"/>
      <c r="B8776" s="23"/>
      <c r="C8776" s="23"/>
      <c r="D8776" s="23"/>
      <c r="E8776" s="23"/>
    </row>
    <row r="8777" spans="1:5" x14ac:dyDescent="0.25">
      <c r="A8777" s="22"/>
      <c r="B8777" s="23"/>
      <c r="C8777" s="23"/>
      <c r="D8777" s="23"/>
      <c r="E8777" s="23"/>
    </row>
    <row r="8778" spans="1:5" x14ac:dyDescent="0.25">
      <c r="A8778" s="22"/>
      <c r="B8778" s="23"/>
      <c r="C8778" s="23"/>
      <c r="D8778" s="23"/>
      <c r="E8778" s="23"/>
    </row>
    <row r="8779" spans="1:5" x14ac:dyDescent="0.25">
      <c r="A8779" s="22"/>
      <c r="B8779" s="23"/>
      <c r="C8779" s="23"/>
      <c r="D8779" s="23"/>
      <c r="E8779" s="23"/>
    </row>
    <row r="8780" spans="1:5" x14ac:dyDescent="0.25">
      <c r="A8780" s="22"/>
      <c r="B8780" s="23"/>
      <c r="C8780" s="23"/>
      <c r="D8780" s="23"/>
      <c r="E8780" s="23"/>
    </row>
    <row r="8781" spans="1:5" x14ac:dyDescent="0.25">
      <c r="A8781" s="22"/>
      <c r="B8781" s="23"/>
      <c r="C8781" s="23"/>
      <c r="D8781" s="23"/>
      <c r="E8781" s="23"/>
    </row>
    <row r="8782" spans="1:5" x14ac:dyDescent="0.25">
      <c r="A8782" s="22"/>
      <c r="B8782" s="23"/>
      <c r="C8782" s="23"/>
      <c r="D8782" s="23"/>
      <c r="E8782" s="23"/>
    </row>
    <row r="8783" spans="1:5" x14ac:dyDescent="0.25">
      <c r="A8783" s="22"/>
      <c r="B8783" s="23"/>
      <c r="C8783" s="23"/>
      <c r="D8783" s="23"/>
      <c r="E8783" s="23"/>
    </row>
    <row r="8784" spans="1:5" x14ac:dyDescent="0.25">
      <c r="A8784" s="22"/>
      <c r="B8784" s="23"/>
      <c r="C8784" s="23"/>
      <c r="D8784" s="23"/>
      <c r="E8784" s="23"/>
    </row>
    <row r="8785" spans="1:5" x14ac:dyDescent="0.25">
      <c r="A8785" s="22"/>
      <c r="B8785" s="23"/>
      <c r="C8785" s="23"/>
      <c r="D8785" s="23"/>
      <c r="E8785" s="23"/>
    </row>
    <row r="8786" spans="1:5" x14ac:dyDescent="0.25">
      <c r="A8786" s="22"/>
      <c r="B8786" s="23"/>
      <c r="C8786" s="23"/>
      <c r="D8786" s="23"/>
      <c r="E8786" s="23"/>
    </row>
    <row r="8787" spans="1:5" x14ac:dyDescent="0.25">
      <c r="A8787" s="22"/>
      <c r="B8787" s="23"/>
      <c r="C8787" s="23"/>
      <c r="D8787" s="23"/>
      <c r="E8787" s="23"/>
    </row>
    <row r="8788" spans="1:5" x14ac:dyDescent="0.25">
      <c r="A8788" s="22"/>
      <c r="B8788" s="23"/>
      <c r="C8788" s="23"/>
      <c r="D8788" s="23"/>
      <c r="E8788" s="23"/>
    </row>
    <row r="8789" spans="1:5" x14ac:dyDescent="0.25">
      <c r="A8789" s="22"/>
      <c r="B8789" s="23"/>
      <c r="C8789" s="23"/>
      <c r="D8789" s="23"/>
      <c r="E8789" s="23"/>
    </row>
    <row r="8790" spans="1:5" x14ac:dyDescent="0.25">
      <c r="A8790" s="22"/>
      <c r="B8790" s="23"/>
      <c r="C8790" s="23"/>
      <c r="D8790" s="23"/>
      <c r="E8790" s="23"/>
    </row>
    <row r="8791" spans="1:5" x14ac:dyDescent="0.25">
      <c r="A8791" s="22"/>
      <c r="B8791" s="23"/>
      <c r="C8791" s="23"/>
      <c r="D8791" s="23"/>
      <c r="E8791" s="23"/>
    </row>
    <row r="8792" spans="1:5" x14ac:dyDescent="0.25">
      <c r="A8792" s="22"/>
      <c r="B8792" s="23"/>
      <c r="C8792" s="23"/>
      <c r="D8792" s="23"/>
      <c r="E8792" s="23"/>
    </row>
    <row r="8793" spans="1:5" x14ac:dyDescent="0.25">
      <c r="A8793" s="22"/>
      <c r="B8793" s="23"/>
      <c r="C8793" s="23"/>
      <c r="D8793" s="23"/>
      <c r="E8793" s="23"/>
    </row>
    <row r="8794" spans="1:5" x14ac:dyDescent="0.25">
      <c r="A8794" s="22"/>
      <c r="B8794" s="23"/>
      <c r="C8794" s="23"/>
      <c r="D8794" s="23"/>
      <c r="E8794" s="23"/>
    </row>
    <row r="8795" spans="1:5" x14ac:dyDescent="0.25">
      <c r="A8795" s="22"/>
      <c r="B8795" s="23"/>
      <c r="C8795" s="23"/>
      <c r="D8795" s="23"/>
      <c r="E8795" s="23"/>
    </row>
    <row r="8796" spans="1:5" x14ac:dyDescent="0.25">
      <c r="A8796" s="22"/>
      <c r="B8796" s="23"/>
      <c r="C8796" s="23"/>
      <c r="D8796" s="23"/>
      <c r="E8796" s="23"/>
    </row>
    <row r="8797" spans="1:5" x14ac:dyDescent="0.25">
      <c r="A8797" s="22"/>
      <c r="B8797" s="23"/>
      <c r="C8797" s="23"/>
      <c r="D8797" s="23"/>
      <c r="E8797" s="23"/>
    </row>
    <row r="8798" spans="1:5" x14ac:dyDescent="0.25">
      <c r="A8798" s="22"/>
      <c r="B8798" s="23"/>
      <c r="C8798" s="23"/>
      <c r="D8798" s="23"/>
      <c r="E8798" s="23"/>
    </row>
    <row r="8799" spans="1:5" x14ac:dyDescent="0.25">
      <c r="A8799" s="22"/>
      <c r="B8799" s="23"/>
      <c r="C8799" s="23"/>
      <c r="D8799" s="23"/>
      <c r="E8799" s="23"/>
    </row>
    <row r="8800" spans="1:5" x14ac:dyDescent="0.25">
      <c r="A8800" s="22"/>
      <c r="B8800" s="23"/>
      <c r="C8800" s="23"/>
      <c r="D8800" s="23"/>
      <c r="E8800" s="23"/>
    </row>
    <row r="8801" spans="1:5" x14ac:dyDescent="0.25">
      <c r="A8801" s="22"/>
      <c r="B8801" s="23"/>
      <c r="C8801" s="23"/>
      <c r="D8801" s="23"/>
      <c r="E8801" s="23"/>
    </row>
    <row r="8802" spans="1:5" x14ac:dyDescent="0.25">
      <c r="A8802" s="22"/>
      <c r="B8802" s="23"/>
      <c r="C8802" s="23"/>
      <c r="D8802" s="23"/>
      <c r="E8802" s="23"/>
    </row>
    <row r="8803" spans="1:5" x14ac:dyDescent="0.25">
      <c r="A8803" s="22"/>
      <c r="B8803" s="23"/>
      <c r="C8803" s="23"/>
      <c r="D8803" s="23"/>
      <c r="E8803" s="23"/>
    </row>
    <row r="8804" spans="1:5" x14ac:dyDescent="0.25">
      <c r="A8804" s="22"/>
      <c r="B8804" s="23"/>
      <c r="C8804" s="23"/>
      <c r="D8804" s="23"/>
      <c r="E8804" s="23"/>
    </row>
    <row r="8805" spans="1:5" x14ac:dyDescent="0.25">
      <c r="A8805" s="22"/>
      <c r="B8805" s="23"/>
      <c r="C8805" s="23"/>
      <c r="D8805" s="23"/>
      <c r="E8805" s="23"/>
    </row>
    <row r="8806" spans="1:5" x14ac:dyDescent="0.25">
      <c r="A8806" s="22"/>
      <c r="B8806" s="23"/>
      <c r="C8806" s="23"/>
      <c r="D8806" s="23"/>
      <c r="E8806" s="23"/>
    </row>
    <row r="8807" spans="1:5" x14ac:dyDescent="0.25">
      <c r="A8807" s="22"/>
      <c r="B8807" s="23"/>
      <c r="C8807" s="23"/>
      <c r="D8807" s="23"/>
      <c r="E8807" s="23"/>
    </row>
    <row r="8808" spans="1:5" x14ac:dyDescent="0.25">
      <c r="A8808" s="22"/>
      <c r="B8808" s="23"/>
      <c r="C8808" s="23"/>
      <c r="D8808" s="23"/>
      <c r="E8808" s="23"/>
    </row>
    <row r="8809" spans="1:5" x14ac:dyDescent="0.25">
      <c r="A8809" s="22"/>
      <c r="B8809" s="23"/>
      <c r="C8809" s="23"/>
      <c r="D8809" s="23"/>
      <c r="E8809" s="23"/>
    </row>
    <row r="8810" spans="1:5" x14ac:dyDescent="0.25">
      <c r="A8810" s="22"/>
      <c r="B8810" s="23"/>
      <c r="C8810" s="23"/>
      <c r="D8810" s="23"/>
      <c r="E8810" s="23"/>
    </row>
    <row r="8811" spans="1:5" x14ac:dyDescent="0.25">
      <c r="A8811" s="22"/>
      <c r="B8811" s="23"/>
      <c r="C8811" s="23"/>
      <c r="D8811" s="23"/>
      <c r="E8811" s="23"/>
    </row>
    <row r="8812" spans="1:5" x14ac:dyDescent="0.25">
      <c r="A8812" s="22"/>
      <c r="B8812" s="23"/>
      <c r="C8812" s="23"/>
      <c r="D8812" s="23"/>
      <c r="E8812" s="23"/>
    </row>
    <row r="8813" spans="1:5" x14ac:dyDescent="0.25">
      <c r="A8813" s="22"/>
      <c r="B8813" s="23"/>
      <c r="C8813" s="23"/>
      <c r="D8813" s="23"/>
      <c r="E8813" s="23"/>
    </row>
    <row r="8814" spans="1:5" x14ac:dyDescent="0.25">
      <c r="A8814" s="22"/>
      <c r="B8814" s="23"/>
      <c r="C8814" s="23"/>
      <c r="D8814" s="23"/>
      <c r="E8814" s="23"/>
    </row>
    <row r="8815" spans="1:5" x14ac:dyDescent="0.25">
      <c r="A8815" s="22"/>
      <c r="B8815" s="23"/>
      <c r="C8815" s="23"/>
      <c r="D8815" s="23"/>
      <c r="E8815" s="23"/>
    </row>
    <row r="8816" spans="1:5" x14ac:dyDescent="0.25">
      <c r="A8816" s="22"/>
      <c r="B8816" s="23"/>
      <c r="C8816" s="23"/>
      <c r="D8816" s="23"/>
      <c r="E8816" s="23"/>
    </row>
    <row r="8817" spans="1:5" x14ac:dyDescent="0.25">
      <c r="A8817" s="22"/>
      <c r="B8817" s="23"/>
      <c r="C8817" s="23"/>
      <c r="D8817" s="23"/>
      <c r="E8817" s="23"/>
    </row>
    <row r="8818" spans="1:5" x14ac:dyDescent="0.25">
      <c r="A8818" s="22"/>
      <c r="B8818" s="23"/>
      <c r="C8818" s="23"/>
      <c r="D8818" s="23"/>
      <c r="E8818" s="23"/>
    </row>
    <row r="8819" spans="1:5" x14ac:dyDescent="0.25">
      <c r="A8819" s="22"/>
      <c r="B8819" s="23"/>
      <c r="C8819" s="23"/>
      <c r="D8819" s="23"/>
      <c r="E8819" s="23"/>
    </row>
    <row r="8820" spans="1:5" x14ac:dyDescent="0.25">
      <c r="A8820" s="22"/>
      <c r="B8820" s="23"/>
      <c r="C8820" s="23"/>
      <c r="D8820" s="23"/>
      <c r="E8820" s="23"/>
    </row>
    <row r="8821" spans="1:5" x14ac:dyDescent="0.25">
      <c r="A8821" s="22"/>
      <c r="B8821" s="23"/>
      <c r="C8821" s="23"/>
      <c r="D8821" s="23"/>
      <c r="E8821" s="23"/>
    </row>
    <row r="8822" spans="1:5" x14ac:dyDescent="0.25">
      <c r="A8822" s="22"/>
      <c r="B8822" s="23"/>
      <c r="C8822" s="23"/>
      <c r="D8822" s="23"/>
      <c r="E8822" s="23"/>
    </row>
    <row r="8823" spans="1:5" x14ac:dyDescent="0.25">
      <c r="A8823" s="22"/>
      <c r="B8823" s="23"/>
      <c r="C8823" s="23"/>
      <c r="D8823" s="23"/>
      <c r="E8823" s="23"/>
    </row>
    <row r="8824" spans="1:5" x14ac:dyDescent="0.25">
      <c r="A8824" s="22"/>
      <c r="B8824" s="23"/>
      <c r="C8824" s="23"/>
      <c r="D8824" s="23"/>
      <c r="E8824" s="23"/>
    </row>
    <row r="8825" spans="1:5" x14ac:dyDescent="0.25">
      <c r="A8825" s="22"/>
      <c r="B8825" s="23"/>
      <c r="C8825" s="23"/>
      <c r="D8825" s="23"/>
      <c r="E8825" s="23"/>
    </row>
    <row r="8826" spans="1:5" x14ac:dyDescent="0.25">
      <c r="A8826" s="22"/>
      <c r="B8826" s="23"/>
      <c r="C8826" s="23"/>
      <c r="D8826" s="23"/>
      <c r="E8826" s="23"/>
    </row>
    <row r="8827" spans="1:5" x14ac:dyDescent="0.25">
      <c r="A8827" s="22"/>
      <c r="B8827" s="23"/>
      <c r="C8827" s="23"/>
      <c r="D8827" s="23"/>
      <c r="E8827" s="23"/>
    </row>
    <row r="8828" spans="1:5" x14ac:dyDescent="0.25">
      <c r="A8828" s="22"/>
      <c r="B8828" s="23"/>
      <c r="C8828" s="23"/>
      <c r="D8828" s="23"/>
      <c r="E8828" s="23"/>
    </row>
    <row r="8829" spans="1:5" x14ac:dyDescent="0.25">
      <c r="A8829" s="22"/>
      <c r="B8829" s="23"/>
      <c r="C8829" s="23"/>
      <c r="D8829" s="23"/>
      <c r="E8829" s="23"/>
    </row>
    <row r="8830" spans="1:5" x14ac:dyDescent="0.25">
      <c r="A8830" s="22"/>
      <c r="B8830" s="23"/>
      <c r="C8830" s="23"/>
      <c r="D8830" s="23"/>
      <c r="E8830" s="23"/>
    </row>
    <row r="8831" spans="1:5" x14ac:dyDescent="0.25">
      <c r="A8831" s="22"/>
      <c r="B8831" s="23"/>
      <c r="C8831" s="23"/>
      <c r="D8831" s="23"/>
      <c r="E8831" s="23"/>
    </row>
    <row r="8832" spans="1:5" x14ac:dyDescent="0.25">
      <c r="A8832" s="22"/>
      <c r="B8832" s="23"/>
      <c r="C8832" s="23"/>
      <c r="D8832" s="23"/>
      <c r="E8832" s="23"/>
    </row>
    <row r="8833" spans="1:5" x14ac:dyDescent="0.25">
      <c r="A8833" s="22"/>
      <c r="B8833" s="23"/>
      <c r="C8833" s="23"/>
      <c r="D8833" s="23"/>
      <c r="E8833" s="23"/>
    </row>
    <row r="8834" spans="1:5" x14ac:dyDescent="0.25">
      <c r="A8834" s="22"/>
      <c r="B8834" s="23"/>
      <c r="C8834" s="23"/>
      <c r="D8834" s="23"/>
      <c r="E8834" s="23"/>
    </row>
    <row r="8835" spans="1:5" x14ac:dyDescent="0.25">
      <c r="A8835" s="22"/>
      <c r="B8835" s="23"/>
      <c r="C8835" s="23"/>
      <c r="D8835" s="23"/>
      <c r="E8835" s="23"/>
    </row>
    <row r="8836" spans="1:5" x14ac:dyDescent="0.25">
      <c r="A8836" s="22"/>
      <c r="B8836" s="23"/>
      <c r="C8836" s="23"/>
      <c r="D8836" s="23"/>
      <c r="E8836" s="23"/>
    </row>
    <row r="8837" spans="1:5" x14ac:dyDescent="0.25">
      <c r="A8837" s="22"/>
      <c r="B8837" s="23"/>
      <c r="C8837" s="23"/>
      <c r="D8837" s="23"/>
      <c r="E8837" s="23"/>
    </row>
    <row r="8838" spans="1:5" x14ac:dyDescent="0.25">
      <c r="A8838" s="22"/>
      <c r="B8838" s="23"/>
      <c r="C8838" s="23"/>
      <c r="D8838" s="23"/>
      <c r="E8838" s="23"/>
    </row>
    <row r="8839" spans="1:5" x14ac:dyDescent="0.25">
      <c r="A8839" s="22"/>
      <c r="B8839" s="23"/>
      <c r="C8839" s="23"/>
      <c r="D8839" s="23"/>
      <c r="E8839" s="23"/>
    </row>
    <row r="8840" spans="1:5" x14ac:dyDescent="0.25">
      <c r="A8840" s="22"/>
      <c r="B8840" s="23"/>
      <c r="C8840" s="23"/>
      <c r="D8840" s="23"/>
      <c r="E8840" s="23"/>
    </row>
    <row r="8841" spans="1:5" x14ac:dyDescent="0.25">
      <c r="A8841" s="22"/>
      <c r="B8841" s="23"/>
      <c r="C8841" s="23"/>
      <c r="D8841" s="23"/>
      <c r="E8841" s="23"/>
    </row>
    <row r="8842" spans="1:5" x14ac:dyDescent="0.25">
      <c r="A8842" s="22"/>
      <c r="B8842" s="23"/>
      <c r="C8842" s="23"/>
      <c r="D8842" s="23"/>
      <c r="E8842" s="23"/>
    </row>
    <row r="8843" spans="1:5" x14ac:dyDescent="0.25">
      <c r="A8843" s="22"/>
      <c r="B8843" s="23"/>
      <c r="C8843" s="23"/>
      <c r="D8843" s="23"/>
      <c r="E8843" s="23"/>
    </row>
    <row r="8844" spans="1:5" x14ac:dyDescent="0.25">
      <c r="A8844" s="22"/>
      <c r="B8844" s="23"/>
      <c r="C8844" s="23"/>
      <c r="D8844" s="23"/>
      <c r="E8844" s="23"/>
    </row>
    <row r="8845" spans="1:5" x14ac:dyDescent="0.25">
      <c r="A8845" s="22"/>
      <c r="B8845" s="23"/>
      <c r="C8845" s="23"/>
      <c r="D8845" s="23"/>
      <c r="E8845" s="23"/>
    </row>
    <row r="8846" spans="1:5" x14ac:dyDescent="0.25">
      <c r="A8846" s="22"/>
      <c r="B8846" s="23"/>
      <c r="C8846" s="23"/>
      <c r="D8846" s="23"/>
      <c r="E8846" s="23"/>
    </row>
    <row r="8847" spans="1:5" x14ac:dyDescent="0.25">
      <c r="A8847" s="22"/>
      <c r="B8847" s="23"/>
      <c r="C8847" s="23"/>
      <c r="D8847" s="23"/>
      <c r="E8847" s="23"/>
    </row>
    <row r="8848" spans="1:5" x14ac:dyDescent="0.25">
      <c r="A8848" s="22"/>
      <c r="B8848" s="23"/>
      <c r="C8848" s="23"/>
      <c r="D8848" s="23"/>
      <c r="E8848" s="23"/>
    </row>
    <row r="8849" spans="1:5" x14ac:dyDescent="0.25">
      <c r="A8849" s="22"/>
      <c r="B8849" s="23"/>
      <c r="C8849" s="23"/>
      <c r="D8849" s="23"/>
      <c r="E8849" s="23"/>
    </row>
    <row r="8850" spans="1:5" x14ac:dyDescent="0.25">
      <c r="A8850" s="22"/>
      <c r="B8850" s="23"/>
      <c r="C8850" s="23"/>
      <c r="D8850" s="23"/>
      <c r="E8850" s="23"/>
    </row>
    <row r="8851" spans="1:5" x14ac:dyDescent="0.25">
      <c r="A8851" s="22"/>
      <c r="B8851" s="23"/>
      <c r="C8851" s="23"/>
      <c r="D8851" s="23"/>
      <c r="E8851" s="23"/>
    </row>
    <row r="8852" spans="1:5" x14ac:dyDescent="0.25">
      <c r="A8852" s="22"/>
      <c r="B8852" s="23"/>
      <c r="C8852" s="23"/>
      <c r="D8852" s="23"/>
      <c r="E8852" s="23"/>
    </row>
    <row r="8853" spans="1:5" x14ac:dyDescent="0.25">
      <c r="A8853" s="22"/>
      <c r="B8853" s="23"/>
      <c r="C8853" s="23"/>
      <c r="D8853" s="23"/>
      <c r="E8853" s="23"/>
    </row>
    <row r="8854" spans="1:5" x14ac:dyDescent="0.25">
      <c r="A8854" s="22"/>
      <c r="B8854" s="23"/>
      <c r="C8854" s="23"/>
      <c r="D8854" s="23"/>
      <c r="E8854" s="23"/>
    </row>
    <row r="8855" spans="1:5" x14ac:dyDescent="0.25">
      <c r="A8855" s="22"/>
      <c r="B8855" s="23"/>
      <c r="C8855" s="23"/>
      <c r="D8855" s="23"/>
      <c r="E8855" s="23"/>
    </row>
    <row r="8856" spans="1:5" x14ac:dyDescent="0.25">
      <c r="A8856" s="22"/>
      <c r="B8856" s="23"/>
      <c r="C8856" s="23"/>
      <c r="D8856" s="23"/>
      <c r="E8856" s="23"/>
    </row>
    <row r="8857" spans="1:5" x14ac:dyDescent="0.25">
      <c r="A8857" s="22"/>
      <c r="B8857" s="23"/>
      <c r="C8857" s="23"/>
      <c r="D8857" s="23"/>
      <c r="E8857" s="23"/>
    </row>
    <row r="8858" spans="1:5" x14ac:dyDescent="0.25">
      <c r="A8858" s="22"/>
      <c r="B8858" s="23"/>
      <c r="C8858" s="23"/>
      <c r="D8858" s="23"/>
      <c r="E8858" s="23"/>
    </row>
    <row r="8859" spans="1:5" x14ac:dyDescent="0.25">
      <c r="A8859" s="22"/>
      <c r="B8859" s="23"/>
      <c r="C8859" s="23"/>
      <c r="D8859" s="23"/>
      <c r="E8859" s="23"/>
    </row>
    <row r="8860" spans="1:5" x14ac:dyDescent="0.25">
      <c r="A8860" s="22"/>
      <c r="B8860" s="23"/>
      <c r="C8860" s="23"/>
      <c r="D8860" s="23"/>
      <c r="E8860" s="23"/>
    </row>
    <row r="8861" spans="1:5" x14ac:dyDescent="0.25">
      <c r="A8861" s="22"/>
      <c r="B8861" s="23"/>
      <c r="C8861" s="23"/>
      <c r="D8861" s="23"/>
      <c r="E8861" s="23"/>
    </row>
    <row r="8862" spans="1:5" x14ac:dyDescent="0.25">
      <c r="A8862" s="22"/>
      <c r="B8862" s="23"/>
      <c r="C8862" s="23"/>
      <c r="D8862" s="23"/>
      <c r="E8862" s="23"/>
    </row>
    <row r="8863" spans="1:5" x14ac:dyDescent="0.25">
      <c r="A8863" s="22"/>
      <c r="B8863" s="23"/>
      <c r="C8863" s="23"/>
      <c r="D8863" s="23"/>
      <c r="E8863" s="23"/>
    </row>
    <row r="8864" spans="1:5" x14ac:dyDescent="0.25">
      <c r="A8864" s="22"/>
      <c r="B8864" s="23"/>
      <c r="C8864" s="23"/>
      <c r="D8864" s="23"/>
      <c r="E8864" s="23"/>
    </row>
    <row r="8865" spans="1:5" x14ac:dyDescent="0.25">
      <c r="A8865" s="22"/>
      <c r="B8865" s="23"/>
      <c r="C8865" s="23"/>
      <c r="D8865" s="23"/>
      <c r="E8865" s="23"/>
    </row>
    <row r="8866" spans="1:5" x14ac:dyDescent="0.25">
      <c r="A8866" s="22"/>
      <c r="B8866" s="23"/>
      <c r="C8866" s="23"/>
      <c r="D8866" s="23"/>
      <c r="E8866" s="23"/>
    </row>
    <row r="8867" spans="1:5" x14ac:dyDescent="0.25">
      <c r="A8867" s="22"/>
      <c r="B8867" s="23"/>
      <c r="C8867" s="23"/>
      <c r="D8867" s="23"/>
      <c r="E8867" s="23"/>
    </row>
    <row r="8868" spans="1:5" x14ac:dyDescent="0.25">
      <c r="A8868" s="22"/>
      <c r="B8868" s="23"/>
      <c r="C8868" s="23"/>
      <c r="D8868" s="23"/>
      <c r="E8868" s="23"/>
    </row>
    <row r="8869" spans="1:5" x14ac:dyDescent="0.25">
      <c r="A8869" s="22"/>
      <c r="B8869" s="23"/>
      <c r="C8869" s="23"/>
      <c r="D8869" s="23"/>
      <c r="E8869" s="23"/>
    </row>
    <row r="8870" spans="1:5" x14ac:dyDescent="0.25">
      <c r="A8870" s="22"/>
      <c r="B8870" s="23"/>
      <c r="C8870" s="23"/>
      <c r="D8870" s="23"/>
      <c r="E8870" s="23"/>
    </row>
    <row r="8871" spans="1:5" x14ac:dyDescent="0.25">
      <c r="A8871" s="22"/>
      <c r="B8871" s="23"/>
      <c r="C8871" s="23"/>
      <c r="D8871" s="23"/>
      <c r="E8871" s="23"/>
    </row>
    <row r="8872" spans="1:5" x14ac:dyDescent="0.25">
      <c r="A8872" s="22"/>
      <c r="B8872" s="23"/>
      <c r="C8872" s="23"/>
      <c r="D8872" s="23"/>
      <c r="E8872" s="23"/>
    </row>
    <row r="8873" spans="1:5" x14ac:dyDescent="0.25">
      <c r="A8873" s="22"/>
      <c r="B8873" s="23"/>
      <c r="C8873" s="23"/>
      <c r="D8873" s="23"/>
      <c r="E8873" s="23"/>
    </row>
    <row r="8874" spans="1:5" x14ac:dyDescent="0.25">
      <c r="A8874" s="22"/>
      <c r="B8874" s="23"/>
      <c r="C8874" s="23"/>
      <c r="D8874" s="23"/>
      <c r="E8874" s="23"/>
    </row>
    <row r="8875" spans="1:5" x14ac:dyDescent="0.25">
      <c r="A8875" s="22"/>
      <c r="B8875" s="23"/>
      <c r="C8875" s="23"/>
      <c r="D8875" s="23"/>
      <c r="E8875" s="23"/>
    </row>
    <row r="8876" spans="1:5" x14ac:dyDescent="0.25">
      <c r="A8876" s="22"/>
      <c r="B8876" s="23"/>
      <c r="C8876" s="23"/>
      <c r="D8876" s="23"/>
      <c r="E8876" s="23"/>
    </row>
    <row r="8877" spans="1:5" x14ac:dyDescent="0.25">
      <c r="A8877" s="22"/>
      <c r="B8877" s="23"/>
      <c r="C8877" s="23"/>
      <c r="D8877" s="23"/>
      <c r="E8877" s="23"/>
    </row>
    <row r="8878" spans="1:5" x14ac:dyDescent="0.25">
      <c r="A8878" s="22"/>
      <c r="B8878" s="23"/>
      <c r="C8878" s="23"/>
      <c r="D8878" s="23"/>
      <c r="E8878" s="23"/>
    </row>
    <row r="8879" spans="1:5" x14ac:dyDescent="0.25">
      <c r="A8879" s="22"/>
      <c r="B8879" s="23"/>
      <c r="C8879" s="23"/>
      <c r="D8879" s="23"/>
      <c r="E8879" s="23"/>
    </row>
    <row r="8880" spans="1:5" x14ac:dyDescent="0.25">
      <c r="A8880" s="22"/>
      <c r="B8880" s="23"/>
      <c r="C8880" s="23"/>
      <c r="D8880" s="23"/>
      <c r="E8880" s="23"/>
    </row>
    <row r="8881" spans="1:5" x14ac:dyDescent="0.25">
      <c r="A8881" s="22"/>
      <c r="B8881" s="23"/>
      <c r="C8881" s="23"/>
      <c r="D8881" s="23"/>
      <c r="E8881" s="23"/>
    </row>
    <row r="8882" spans="1:5" x14ac:dyDescent="0.25">
      <c r="A8882" s="22"/>
      <c r="B8882" s="23"/>
      <c r="C8882" s="23"/>
      <c r="D8882" s="23"/>
      <c r="E8882" s="23"/>
    </row>
    <row r="8883" spans="1:5" x14ac:dyDescent="0.25">
      <c r="A8883" s="22"/>
      <c r="B8883" s="23"/>
      <c r="C8883" s="23"/>
      <c r="D8883" s="23"/>
      <c r="E8883" s="23"/>
    </row>
    <row r="8884" spans="1:5" x14ac:dyDescent="0.25">
      <c r="A8884" s="22"/>
      <c r="B8884" s="23"/>
      <c r="C8884" s="23"/>
      <c r="D8884" s="23"/>
      <c r="E8884" s="23"/>
    </row>
    <row r="8885" spans="1:5" x14ac:dyDescent="0.25">
      <c r="A8885" s="22"/>
      <c r="B8885" s="23"/>
      <c r="C8885" s="23"/>
      <c r="D8885" s="23"/>
      <c r="E8885" s="23"/>
    </row>
    <row r="8886" spans="1:5" x14ac:dyDescent="0.25">
      <c r="A8886" s="22"/>
      <c r="B8886" s="23"/>
      <c r="C8886" s="23"/>
      <c r="D8886" s="23"/>
      <c r="E8886" s="23"/>
    </row>
    <row r="8887" spans="1:5" x14ac:dyDescent="0.25">
      <c r="A8887" s="22"/>
      <c r="B8887" s="23"/>
      <c r="C8887" s="23"/>
      <c r="D8887" s="23"/>
      <c r="E8887" s="23"/>
    </row>
    <row r="8888" spans="1:5" x14ac:dyDescent="0.25">
      <c r="A8888" s="22"/>
      <c r="B8888" s="23"/>
      <c r="C8888" s="23"/>
      <c r="D8888" s="23"/>
      <c r="E8888" s="23"/>
    </row>
    <row r="8889" spans="1:5" x14ac:dyDescent="0.25">
      <c r="A8889" s="22"/>
      <c r="B8889" s="23"/>
      <c r="C8889" s="23"/>
      <c r="D8889" s="23"/>
      <c r="E8889" s="23"/>
    </row>
    <row r="8890" spans="1:5" x14ac:dyDescent="0.25">
      <c r="A8890" s="22"/>
      <c r="B8890" s="23"/>
      <c r="C8890" s="23"/>
      <c r="D8890" s="23"/>
      <c r="E8890" s="23"/>
    </row>
    <row r="8891" spans="1:5" x14ac:dyDescent="0.25">
      <c r="A8891" s="22"/>
      <c r="B8891" s="23"/>
      <c r="C8891" s="23"/>
      <c r="D8891" s="23"/>
      <c r="E8891" s="23"/>
    </row>
    <row r="8892" spans="1:5" x14ac:dyDescent="0.25">
      <c r="A8892" s="22"/>
      <c r="B8892" s="23"/>
      <c r="C8892" s="23"/>
      <c r="D8892" s="23"/>
      <c r="E8892" s="23"/>
    </row>
    <row r="8893" spans="1:5" x14ac:dyDescent="0.25">
      <c r="A8893" s="22"/>
      <c r="B8893" s="23"/>
      <c r="C8893" s="23"/>
      <c r="D8893" s="23"/>
      <c r="E8893" s="23"/>
    </row>
    <row r="8894" spans="1:5" x14ac:dyDescent="0.25">
      <c r="A8894" s="22"/>
      <c r="B8894" s="23"/>
      <c r="C8894" s="23"/>
      <c r="D8894" s="23"/>
      <c r="E8894" s="23"/>
    </row>
    <row r="8895" spans="1:5" x14ac:dyDescent="0.25">
      <c r="A8895" s="22"/>
      <c r="B8895" s="23"/>
      <c r="C8895" s="23"/>
      <c r="D8895" s="23"/>
      <c r="E8895" s="23"/>
    </row>
    <row r="8896" spans="1:5" x14ac:dyDescent="0.25">
      <c r="A8896" s="22"/>
      <c r="B8896" s="23"/>
      <c r="C8896" s="23"/>
      <c r="D8896" s="23"/>
      <c r="E8896" s="23"/>
    </row>
    <row r="8897" spans="1:5" x14ac:dyDescent="0.25">
      <c r="A8897" s="22"/>
      <c r="B8897" s="23"/>
      <c r="C8897" s="23"/>
      <c r="D8897" s="23"/>
      <c r="E8897" s="23"/>
    </row>
    <row r="8898" spans="1:5" x14ac:dyDescent="0.25">
      <c r="A8898" s="22"/>
      <c r="B8898" s="23"/>
      <c r="C8898" s="23"/>
      <c r="D8898" s="23"/>
      <c r="E8898" s="23"/>
    </row>
    <row r="8899" spans="1:5" x14ac:dyDescent="0.25">
      <c r="A8899" s="22"/>
      <c r="B8899" s="23"/>
      <c r="C8899" s="23"/>
      <c r="D8899" s="23"/>
      <c r="E8899" s="23"/>
    </row>
    <row r="8900" spans="1:5" x14ac:dyDescent="0.25">
      <c r="A8900" s="22"/>
      <c r="B8900" s="23"/>
      <c r="C8900" s="23"/>
      <c r="D8900" s="23"/>
      <c r="E8900" s="23"/>
    </row>
    <row r="8901" spans="1:5" x14ac:dyDescent="0.25">
      <c r="A8901" s="22"/>
      <c r="B8901" s="23"/>
      <c r="C8901" s="23"/>
      <c r="D8901" s="23"/>
      <c r="E8901" s="23"/>
    </row>
    <row r="8902" spans="1:5" x14ac:dyDescent="0.25">
      <c r="A8902" s="22"/>
      <c r="B8902" s="23"/>
      <c r="C8902" s="23"/>
      <c r="D8902" s="23"/>
      <c r="E8902" s="23"/>
    </row>
    <row r="8903" spans="1:5" x14ac:dyDescent="0.25">
      <c r="A8903" s="22"/>
      <c r="B8903" s="23"/>
      <c r="C8903" s="23"/>
      <c r="D8903" s="23"/>
      <c r="E8903" s="23"/>
    </row>
    <row r="8904" spans="1:5" x14ac:dyDescent="0.25">
      <c r="A8904" s="22"/>
      <c r="B8904" s="23"/>
      <c r="C8904" s="23"/>
      <c r="D8904" s="23"/>
      <c r="E8904" s="23"/>
    </row>
    <row r="8905" spans="1:5" x14ac:dyDescent="0.25">
      <c r="A8905" s="22"/>
      <c r="B8905" s="23"/>
      <c r="C8905" s="23"/>
      <c r="D8905" s="23"/>
      <c r="E8905" s="23"/>
    </row>
    <row r="8906" spans="1:5" x14ac:dyDescent="0.25">
      <c r="A8906" s="22"/>
      <c r="B8906" s="23"/>
      <c r="C8906" s="23"/>
      <c r="D8906" s="23"/>
      <c r="E8906" s="23"/>
    </row>
    <row r="8907" spans="1:5" x14ac:dyDescent="0.25">
      <c r="A8907" s="22"/>
      <c r="B8907" s="23"/>
      <c r="C8907" s="23"/>
      <c r="D8907" s="23"/>
      <c r="E8907" s="23"/>
    </row>
    <row r="8908" spans="1:5" x14ac:dyDescent="0.25">
      <c r="A8908" s="22"/>
      <c r="B8908" s="23"/>
      <c r="C8908" s="23"/>
      <c r="D8908" s="23"/>
      <c r="E8908" s="23"/>
    </row>
    <row r="8909" spans="1:5" x14ac:dyDescent="0.25">
      <c r="A8909" s="22"/>
      <c r="B8909" s="23"/>
      <c r="C8909" s="23"/>
      <c r="D8909" s="23"/>
      <c r="E8909" s="23"/>
    </row>
    <row r="8910" spans="1:5" x14ac:dyDescent="0.25">
      <c r="A8910" s="22"/>
      <c r="B8910" s="23"/>
      <c r="C8910" s="23"/>
      <c r="D8910" s="23"/>
      <c r="E8910" s="23"/>
    </row>
    <row r="8911" spans="1:5" x14ac:dyDescent="0.25">
      <c r="A8911" s="22"/>
      <c r="B8911" s="23"/>
      <c r="C8911" s="23"/>
      <c r="D8911" s="23"/>
      <c r="E8911" s="23"/>
    </row>
    <row r="8912" spans="1:5" x14ac:dyDescent="0.25">
      <c r="A8912" s="22"/>
      <c r="B8912" s="23"/>
      <c r="C8912" s="23"/>
      <c r="D8912" s="23"/>
      <c r="E8912" s="23"/>
    </row>
    <row r="8913" spans="1:5" x14ac:dyDescent="0.25">
      <c r="A8913" s="22"/>
      <c r="B8913" s="23"/>
      <c r="C8913" s="23"/>
      <c r="D8913" s="23"/>
      <c r="E8913" s="23"/>
    </row>
    <row r="8914" spans="1:5" x14ac:dyDescent="0.25">
      <c r="A8914" s="22"/>
      <c r="B8914" s="23"/>
      <c r="C8914" s="23"/>
      <c r="D8914" s="23"/>
      <c r="E8914" s="23"/>
    </row>
    <row r="8915" spans="1:5" x14ac:dyDescent="0.25">
      <c r="A8915" s="22"/>
      <c r="B8915" s="23"/>
      <c r="C8915" s="23"/>
      <c r="D8915" s="23"/>
      <c r="E8915" s="23"/>
    </row>
    <row r="8916" spans="1:5" x14ac:dyDescent="0.25">
      <c r="A8916" s="22"/>
      <c r="B8916" s="23"/>
      <c r="C8916" s="23"/>
      <c r="D8916" s="23"/>
      <c r="E8916" s="23"/>
    </row>
    <row r="8917" spans="1:5" x14ac:dyDescent="0.25">
      <c r="A8917" s="22"/>
      <c r="B8917" s="23"/>
      <c r="C8917" s="23"/>
      <c r="D8917" s="23"/>
      <c r="E8917" s="23"/>
    </row>
    <row r="8918" spans="1:5" x14ac:dyDescent="0.25">
      <c r="A8918" s="22"/>
      <c r="B8918" s="23"/>
      <c r="C8918" s="23"/>
      <c r="D8918" s="23"/>
      <c r="E8918" s="23"/>
    </row>
    <row r="8919" spans="1:5" x14ac:dyDescent="0.25">
      <c r="A8919" s="22"/>
      <c r="B8919" s="23"/>
      <c r="C8919" s="23"/>
      <c r="D8919" s="23"/>
      <c r="E8919" s="23"/>
    </row>
    <row r="8920" spans="1:5" x14ac:dyDescent="0.25">
      <c r="A8920" s="22"/>
      <c r="B8920" s="23"/>
      <c r="C8920" s="23"/>
      <c r="D8920" s="23"/>
      <c r="E8920" s="23"/>
    </row>
    <row r="8921" spans="1:5" x14ac:dyDescent="0.25">
      <c r="A8921" s="22"/>
      <c r="B8921" s="23"/>
      <c r="C8921" s="23"/>
      <c r="D8921" s="23"/>
      <c r="E8921" s="23"/>
    </row>
    <row r="8922" spans="1:5" x14ac:dyDescent="0.25">
      <c r="A8922" s="22"/>
      <c r="B8922" s="23"/>
      <c r="C8922" s="23"/>
      <c r="D8922" s="23"/>
      <c r="E8922" s="23"/>
    </row>
    <row r="8923" spans="1:5" x14ac:dyDescent="0.25">
      <c r="A8923" s="22"/>
      <c r="B8923" s="23"/>
      <c r="C8923" s="23"/>
      <c r="D8923" s="23"/>
      <c r="E8923" s="23"/>
    </row>
    <row r="8924" spans="1:5" x14ac:dyDescent="0.25">
      <c r="A8924" s="22"/>
      <c r="B8924" s="23"/>
      <c r="C8924" s="23"/>
      <c r="D8924" s="23"/>
      <c r="E8924" s="23"/>
    </row>
    <row r="8925" spans="1:5" x14ac:dyDescent="0.25">
      <c r="A8925" s="22"/>
      <c r="B8925" s="23"/>
      <c r="C8925" s="23"/>
      <c r="D8925" s="23"/>
      <c r="E8925" s="23"/>
    </row>
    <row r="8926" spans="1:5" x14ac:dyDescent="0.25">
      <c r="A8926" s="22"/>
      <c r="B8926" s="23"/>
      <c r="C8926" s="23"/>
      <c r="D8926" s="23"/>
      <c r="E8926" s="23"/>
    </row>
    <row r="8927" spans="1:5" x14ac:dyDescent="0.25">
      <c r="A8927" s="22"/>
      <c r="B8927" s="23"/>
      <c r="C8927" s="23"/>
      <c r="D8927" s="23"/>
      <c r="E8927" s="23"/>
    </row>
    <row r="8928" spans="1:5" x14ac:dyDescent="0.25">
      <c r="A8928" s="22"/>
      <c r="B8928" s="23"/>
      <c r="C8928" s="23"/>
      <c r="D8928" s="23"/>
      <c r="E8928" s="23"/>
    </row>
    <row r="8929" spans="1:5" x14ac:dyDescent="0.25">
      <c r="A8929" s="22"/>
      <c r="B8929" s="23"/>
      <c r="C8929" s="23"/>
      <c r="D8929" s="23"/>
      <c r="E8929" s="23"/>
    </row>
    <row r="8930" spans="1:5" x14ac:dyDescent="0.25">
      <c r="A8930" s="22"/>
      <c r="B8930" s="23"/>
      <c r="C8930" s="23"/>
      <c r="D8930" s="23"/>
      <c r="E8930" s="23"/>
    </row>
    <row r="8931" spans="1:5" x14ac:dyDescent="0.25">
      <c r="A8931" s="22"/>
      <c r="B8931" s="23"/>
      <c r="C8931" s="23"/>
      <c r="D8931" s="23"/>
      <c r="E8931" s="23"/>
    </row>
    <row r="8932" spans="1:5" x14ac:dyDescent="0.25">
      <c r="A8932" s="22"/>
      <c r="B8932" s="23"/>
      <c r="C8932" s="23"/>
      <c r="D8932" s="23"/>
      <c r="E8932" s="23"/>
    </row>
    <row r="8933" spans="1:5" x14ac:dyDescent="0.25">
      <c r="A8933" s="22"/>
      <c r="B8933" s="23"/>
      <c r="C8933" s="23"/>
      <c r="D8933" s="23"/>
      <c r="E8933" s="23"/>
    </row>
    <row r="8934" spans="1:5" x14ac:dyDescent="0.25">
      <c r="A8934" s="22"/>
      <c r="B8934" s="23"/>
      <c r="C8934" s="23"/>
      <c r="D8934" s="23"/>
      <c r="E8934" s="23"/>
    </row>
    <row r="8935" spans="1:5" x14ac:dyDescent="0.25">
      <c r="A8935" s="22"/>
      <c r="B8935" s="23"/>
      <c r="C8935" s="23"/>
      <c r="D8935" s="23"/>
      <c r="E8935" s="23"/>
    </row>
    <row r="8936" spans="1:5" x14ac:dyDescent="0.25">
      <c r="A8936" s="22"/>
      <c r="B8936" s="23"/>
      <c r="C8936" s="23"/>
      <c r="D8936" s="23"/>
      <c r="E8936" s="23"/>
    </row>
    <row r="8937" spans="1:5" x14ac:dyDescent="0.25">
      <c r="A8937" s="22"/>
      <c r="B8937" s="23"/>
      <c r="C8937" s="23"/>
      <c r="D8937" s="23"/>
      <c r="E8937" s="23"/>
    </row>
    <row r="8938" spans="1:5" x14ac:dyDescent="0.25">
      <c r="A8938" s="22"/>
      <c r="B8938" s="23"/>
      <c r="C8938" s="23"/>
      <c r="D8938" s="23"/>
      <c r="E8938" s="23"/>
    </row>
    <row r="8939" spans="1:5" x14ac:dyDescent="0.25">
      <c r="A8939" s="22"/>
      <c r="B8939" s="23"/>
      <c r="C8939" s="23"/>
      <c r="D8939" s="23"/>
      <c r="E8939" s="23"/>
    </row>
    <row r="8940" spans="1:5" x14ac:dyDescent="0.25">
      <c r="A8940" s="22"/>
      <c r="B8940" s="23"/>
      <c r="C8940" s="23"/>
      <c r="D8940" s="23"/>
      <c r="E8940" s="23"/>
    </row>
    <row r="8941" spans="1:5" x14ac:dyDescent="0.25">
      <c r="A8941" s="22"/>
      <c r="B8941" s="23"/>
      <c r="C8941" s="23"/>
      <c r="D8941" s="23"/>
      <c r="E8941" s="23"/>
    </row>
    <row r="8942" spans="1:5" x14ac:dyDescent="0.25">
      <c r="A8942" s="22"/>
      <c r="B8942" s="23"/>
      <c r="C8942" s="23"/>
      <c r="D8942" s="23"/>
      <c r="E8942" s="23"/>
    </row>
    <row r="8943" spans="1:5" x14ac:dyDescent="0.25">
      <c r="A8943" s="22"/>
      <c r="B8943" s="23"/>
      <c r="C8943" s="23"/>
      <c r="D8943" s="23"/>
      <c r="E8943" s="23"/>
    </row>
    <row r="8944" spans="1:5" x14ac:dyDescent="0.25">
      <c r="A8944" s="22"/>
      <c r="B8944" s="23"/>
      <c r="C8944" s="23"/>
      <c r="D8944" s="23"/>
      <c r="E8944" s="23"/>
    </row>
    <row r="8945" spans="1:5" x14ac:dyDescent="0.25">
      <c r="A8945" s="22"/>
      <c r="B8945" s="23"/>
      <c r="C8945" s="23"/>
      <c r="D8945" s="23"/>
      <c r="E8945" s="23"/>
    </row>
    <row r="8946" spans="1:5" x14ac:dyDescent="0.25">
      <c r="A8946" s="22"/>
      <c r="B8946" s="23"/>
      <c r="C8946" s="23"/>
      <c r="D8946" s="23"/>
      <c r="E8946" s="23"/>
    </row>
    <row r="8947" spans="1:5" x14ac:dyDescent="0.25">
      <c r="A8947" s="22"/>
      <c r="B8947" s="23"/>
      <c r="C8947" s="23"/>
      <c r="D8947" s="23"/>
      <c r="E8947" s="23"/>
    </row>
    <row r="8948" spans="1:5" x14ac:dyDescent="0.25">
      <c r="A8948" s="22"/>
      <c r="B8948" s="23"/>
      <c r="C8948" s="23"/>
      <c r="D8948" s="23"/>
      <c r="E8948" s="23"/>
    </row>
    <row r="8949" spans="1:5" x14ac:dyDescent="0.25">
      <c r="A8949" s="22"/>
      <c r="B8949" s="23"/>
      <c r="C8949" s="23"/>
      <c r="D8949" s="23"/>
      <c r="E8949" s="23"/>
    </row>
    <row r="8950" spans="1:5" x14ac:dyDescent="0.25">
      <c r="A8950" s="22"/>
      <c r="B8950" s="23"/>
      <c r="C8950" s="23"/>
      <c r="D8950" s="23"/>
      <c r="E8950" s="23"/>
    </row>
    <row r="8951" spans="1:5" x14ac:dyDescent="0.25">
      <c r="A8951" s="22"/>
      <c r="B8951" s="23"/>
      <c r="C8951" s="23"/>
      <c r="D8951" s="23"/>
      <c r="E8951" s="23"/>
    </row>
    <row r="8952" spans="1:5" x14ac:dyDescent="0.25">
      <c r="A8952" s="22"/>
      <c r="B8952" s="23"/>
      <c r="C8952" s="23"/>
      <c r="D8952" s="23"/>
      <c r="E8952" s="23"/>
    </row>
    <row r="8953" spans="1:5" x14ac:dyDescent="0.25">
      <c r="A8953" s="22"/>
      <c r="B8953" s="23"/>
      <c r="C8953" s="23"/>
      <c r="D8953" s="23"/>
      <c r="E8953" s="23"/>
    </row>
    <row r="8954" spans="1:5" x14ac:dyDescent="0.25">
      <c r="A8954" s="22"/>
      <c r="B8954" s="23"/>
      <c r="C8954" s="23"/>
      <c r="D8954" s="23"/>
      <c r="E8954" s="23"/>
    </row>
    <row r="8955" spans="1:5" x14ac:dyDescent="0.25">
      <c r="A8955" s="22"/>
      <c r="B8955" s="23"/>
      <c r="C8955" s="23"/>
      <c r="D8955" s="23"/>
      <c r="E8955" s="23"/>
    </row>
    <row r="8956" spans="1:5" x14ac:dyDescent="0.25">
      <c r="A8956" s="22"/>
      <c r="B8956" s="23"/>
      <c r="C8956" s="23"/>
      <c r="D8956" s="23"/>
      <c r="E8956" s="23"/>
    </row>
    <row r="8957" spans="1:5" x14ac:dyDescent="0.25">
      <c r="A8957" s="22"/>
      <c r="B8957" s="23"/>
      <c r="C8957" s="23"/>
      <c r="D8957" s="23"/>
      <c r="E8957" s="23"/>
    </row>
    <row r="8958" spans="1:5" x14ac:dyDescent="0.25">
      <c r="A8958" s="22"/>
      <c r="B8958" s="23"/>
      <c r="C8958" s="23"/>
      <c r="D8958" s="23"/>
      <c r="E8958" s="23"/>
    </row>
    <row r="8959" spans="1:5" x14ac:dyDescent="0.25">
      <c r="A8959" s="22"/>
      <c r="B8959" s="23"/>
      <c r="C8959" s="23"/>
      <c r="D8959" s="23"/>
      <c r="E8959" s="23"/>
    </row>
    <row r="8960" spans="1:5" x14ac:dyDescent="0.25">
      <c r="A8960" s="22"/>
      <c r="B8960" s="23"/>
      <c r="C8960" s="23"/>
      <c r="D8960" s="23"/>
      <c r="E8960" s="23"/>
    </row>
    <row r="8961" spans="1:5" x14ac:dyDescent="0.25">
      <c r="A8961" s="22"/>
      <c r="B8961" s="23"/>
      <c r="C8961" s="23"/>
      <c r="D8961" s="23"/>
      <c r="E8961" s="23"/>
    </row>
    <row r="8962" spans="1:5" x14ac:dyDescent="0.25">
      <c r="A8962" s="22"/>
      <c r="B8962" s="23"/>
      <c r="C8962" s="23"/>
      <c r="D8962" s="23"/>
      <c r="E8962" s="23"/>
    </row>
    <row r="8963" spans="1:5" x14ac:dyDescent="0.25">
      <c r="A8963" s="22"/>
      <c r="B8963" s="23"/>
      <c r="C8963" s="23"/>
      <c r="D8963" s="23"/>
      <c r="E8963" s="23"/>
    </row>
    <row r="8964" spans="1:5" x14ac:dyDescent="0.25">
      <c r="A8964" s="22"/>
      <c r="B8964" s="23"/>
      <c r="C8964" s="23"/>
      <c r="D8964" s="23"/>
      <c r="E8964" s="23"/>
    </row>
    <row r="8965" spans="1:5" x14ac:dyDescent="0.25">
      <c r="A8965" s="22"/>
      <c r="B8965" s="23"/>
      <c r="C8965" s="23"/>
      <c r="D8965" s="23"/>
      <c r="E8965" s="23"/>
    </row>
    <row r="8966" spans="1:5" x14ac:dyDescent="0.25">
      <c r="A8966" s="22"/>
      <c r="B8966" s="23"/>
      <c r="C8966" s="23"/>
      <c r="D8966" s="23"/>
      <c r="E8966" s="23"/>
    </row>
    <row r="8967" spans="1:5" x14ac:dyDescent="0.25">
      <c r="A8967" s="22"/>
      <c r="B8967" s="23"/>
      <c r="C8967" s="23"/>
      <c r="D8967" s="23"/>
      <c r="E8967" s="23"/>
    </row>
    <row r="8968" spans="1:5" x14ac:dyDescent="0.25">
      <c r="A8968" s="22"/>
      <c r="B8968" s="23"/>
      <c r="C8968" s="23"/>
      <c r="D8968" s="23"/>
      <c r="E8968" s="23"/>
    </row>
    <row r="8969" spans="1:5" x14ac:dyDescent="0.25">
      <c r="A8969" s="22"/>
      <c r="B8969" s="23"/>
      <c r="C8969" s="23"/>
      <c r="D8969" s="23"/>
      <c r="E8969" s="23"/>
    </row>
    <row r="8970" spans="1:5" x14ac:dyDescent="0.25">
      <c r="A8970" s="22"/>
      <c r="B8970" s="23"/>
      <c r="C8970" s="23"/>
      <c r="D8970" s="23"/>
      <c r="E8970" s="23"/>
    </row>
    <row r="8971" spans="1:5" x14ac:dyDescent="0.25">
      <c r="A8971" s="22"/>
      <c r="B8971" s="23"/>
      <c r="C8971" s="23"/>
      <c r="D8971" s="23"/>
      <c r="E8971" s="23"/>
    </row>
    <row r="8972" spans="1:5" x14ac:dyDescent="0.25">
      <c r="A8972" s="22"/>
      <c r="B8972" s="23"/>
      <c r="C8972" s="23"/>
      <c r="D8972" s="23"/>
      <c r="E8972" s="23"/>
    </row>
    <row r="8973" spans="1:5" x14ac:dyDescent="0.25">
      <c r="A8973" s="22"/>
      <c r="B8973" s="23"/>
      <c r="C8973" s="23"/>
      <c r="D8973" s="23"/>
      <c r="E8973" s="23"/>
    </row>
    <row r="8974" spans="1:5" x14ac:dyDescent="0.25">
      <c r="A8974" s="22"/>
      <c r="B8974" s="23"/>
      <c r="C8974" s="23"/>
      <c r="D8974" s="23"/>
      <c r="E8974" s="23"/>
    </row>
    <row r="8975" spans="1:5" x14ac:dyDescent="0.25">
      <c r="A8975" s="22"/>
      <c r="B8975" s="23"/>
      <c r="C8975" s="23"/>
      <c r="D8975" s="23"/>
      <c r="E8975" s="23"/>
    </row>
    <row r="8976" spans="1:5" x14ac:dyDescent="0.25">
      <c r="A8976" s="22"/>
      <c r="B8976" s="23"/>
      <c r="C8976" s="23"/>
      <c r="D8976" s="23"/>
      <c r="E8976" s="23"/>
    </row>
    <row r="8977" spans="1:5" x14ac:dyDescent="0.25">
      <c r="A8977" s="22"/>
      <c r="B8977" s="23"/>
      <c r="C8977" s="23"/>
      <c r="D8977" s="23"/>
      <c r="E8977" s="23"/>
    </row>
    <row r="8978" spans="1:5" x14ac:dyDescent="0.25">
      <c r="A8978" s="22"/>
      <c r="B8978" s="23"/>
      <c r="C8978" s="23"/>
      <c r="D8978" s="23"/>
      <c r="E8978" s="23"/>
    </row>
    <row r="8979" spans="1:5" x14ac:dyDescent="0.25">
      <c r="A8979" s="22"/>
      <c r="B8979" s="23"/>
      <c r="C8979" s="23"/>
      <c r="D8979" s="23"/>
      <c r="E8979" s="23"/>
    </row>
    <row r="8980" spans="1:5" x14ac:dyDescent="0.25">
      <c r="A8980" s="22"/>
      <c r="B8980" s="23"/>
      <c r="C8980" s="23"/>
      <c r="D8980" s="23"/>
      <c r="E8980" s="23"/>
    </row>
    <row r="8981" spans="1:5" x14ac:dyDescent="0.25">
      <c r="A8981" s="22"/>
      <c r="B8981" s="23"/>
      <c r="C8981" s="23"/>
      <c r="D8981" s="23"/>
      <c r="E8981" s="23"/>
    </row>
    <row r="8982" spans="1:5" x14ac:dyDescent="0.25">
      <c r="A8982" s="22"/>
      <c r="B8982" s="23"/>
      <c r="C8982" s="23"/>
      <c r="D8982" s="23"/>
      <c r="E8982" s="23"/>
    </row>
    <row r="8983" spans="1:5" x14ac:dyDescent="0.25">
      <c r="A8983" s="22"/>
      <c r="B8983" s="23"/>
      <c r="C8983" s="23"/>
      <c r="D8983" s="23"/>
      <c r="E8983" s="23"/>
    </row>
    <row r="8984" spans="1:5" x14ac:dyDescent="0.25">
      <c r="A8984" s="22"/>
      <c r="B8984" s="23"/>
      <c r="C8984" s="23"/>
      <c r="D8984" s="23"/>
      <c r="E8984" s="23"/>
    </row>
    <row r="8985" spans="1:5" x14ac:dyDescent="0.25">
      <c r="A8985" s="22"/>
      <c r="B8985" s="23"/>
      <c r="C8985" s="23"/>
      <c r="D8985" s="23"/>
      <c r="E8985" s="23"/>
    </row>
    <row r="8986" spans="1:5" x14ac:dyDescent="0.25">
      <c r="A8986" s="22"/>
      <c r="B8986" s="23"/>
      <c r="C8986" s="23"/>
      <c r="D8986" s="23"/>
      <c r="E8986" s="23"/>
    </row>
    <row r="8987" spans="1:5" x14ac:dyDescent="0.25">
      <c r="A8987" s="22"/>
      <c r="B8987" s="23"/>
      <c r="C8987" s="23"/>
      <c r="D8987" s="23"/>
      <c r="E8987" s="23"/>
    </row>
    <row r="8988" spans="1:5" x14ac:dyDescent="0.25">
      <c r="A8988" s="22"/>
      <c r="B8988" s="23"/>
      <c r="C8988" s="23"/>
      <c r="D8988" s="23"/>
      <c r="E8988" s="23"/>
    </row>
    <row r="8989" spans="1:5" x14ac:dyDescent="0.25">
      <c r="A8989" s="22"/>
      <c r="B8989" s="23"/>
      <c r="C8989" s="23"/>
      <c r="D8989" s="23"/>
      <c r="E8989" s="23"/>
    </row>
    <row r="8990" spans="1:5" x14ac:dyDescent="0.25">
      <c r="A8990" s="22"/>
      <c r="B8990" s="23"/>
      <c r="C8990" s="23"/>
      <c r="D8990" s="23"/>
      <c r="E8990" s="23"/>
    </row>
    <row r="8991" spans="1:5" x14ac:dyDescent="0.25">
      <c r="A8991" s="22"/>
      <c r="B8991" s="23"/>
      <c r="C8991" s="23"/>
      <c r="D8991" s="23"/>
      <c r="E8991" s="23"/>
    </row>
    <row r="8992" spans="1:5" x14ac:dyDescent="0.25">
      <c r="A8992" s="22"/>
      <c r="B8992" s="23"/>
      <c r="C8992" s="23"/>
      <c r="D8992" s="23"/>
      <c r="E8992" s="23"/>
    </row>
    <row r="8993" spans="1:5" x14ac:dyDescent="0.25">
      <c r="A8993" s="22"/>
      <c r="B8993" s="23"/>
      <c r="C8993" s="23"/>
      <c r="D8993" s="23"/>
      <c r="E8993" s="23"/>
    </row>
    <row r="8994" spans="1:5" x14ac:dyDescent="0.25">
      <c r="A8994" s="22"/>
      <c r="B8994" s="23"/>
      <c r="C8994" s="23"/>
      <c r="D8994" s="23"/>
      <c r="E8994" s="23"/>
    </row>
    <row r="8995" spans="1:5" x14ac:dyDescent="0.25">
      <c r="A8995" s="22"/>
      <c r="B8995" s="23"/>
      <c r="C8995" s="23"/>
      <c r="D8995" s="23"/>
      <c r="E8995" s="23"/>
    </row>
    <row r="8996" spans="1:5" x14ac:dyDescent="0.25">
      <c r="A8996" s="22"/>
      <c r="B8996" s="23"/>
      <c r="C8996" s="23"/>
      <c r="D8996" s="23"/>
      <c r="E8996" s="23"/>
    </row>
    <row r="8997" spans="1:5" x14ac:dyDescent="0.25">
      <c r="A8997" s="22"/>
      <c r="B8997" s="23"/>
      <c r="C8997" s="23"/>
      <c r="D8997" s="23"/>
      <c r="E8997" s="23"/>
    </row>
    <row r="8998" spans="1:5" x14ac:dyDescent="0.25">
      <c r="A8998" s="22"/>
      <c r="B8998" s="23"/>
      <c r="C8998" s="23"/>
      <c r="D8998" s="23"/>
      <c r="E8998" s="23"/>
    </row>
    <row r="8999" spans="1:5" x14ac:dyDescent="0.25">
      <c r="A8999" s="22"/>
      <c r="B8999" s="23"/>
      <c r="C8999" s="23"/>
      <c r="D8999" s="23"/>
      <c r="E8999" s="23"/>
    </row>
    <row r="9000" spans="1:5" x14ac:dyDescent="0.25">
      <c r="A9000" s="22"/>
      <c r="B9000" s="23"/>
      <c r="C9000" s="23"/>
      <c r="D9000" s="23"/>
      <c r="E9000" s="23"/>
    </row>
    <row r="9001" spans="1:5" x14ac:dyDescent="0.25">
      <c r="A9001" s="22"/>
      <c r="B9001" s="23"/>
      <c r="C9001" s="23"/>
      <c r="D9001" s="23"/>
      <c r="E9001" s="23"/>
    </row>
    <row r="9002" spans="1:5" x14ac:dyDescent="0.25">
      <c r="A9002" s="22"/>
      <c r="B9002" s="23"/>
      <c r="C9002" s="23"/>
      <c r="D9002" s="23"/>
      <c r="E9002" s="23"/>
    </row>
    <row r="9003" spans="1:5" x14ac:dyDescent="0.25">
      <c r="A9003" s="22"/>
      <c r="B9003" s="23"/>
      <c r="C9003" s="23"/>
      <c r="D9003" s="23"/>
      <c r="E9003" s="23"/>
    </row>
    <row r="9004" spans="1:5" x14ac:dyDescent="0.25">
      <c r="A9004" s="22"/>
      <c r="B9004" s="23"/>
      <c r="C9004" s="23"/>
      <c r="D9004" s="23"/>
      <c r="E9004" s="23"/>
    </row>
    <row r="9005" spans="1:5" x14ac:dyDescent="0.25">
      <c r="A9005" s="22"/>
      <c r="B9005" s="23"/>
      <c r="C9005" s="23"/>
      <c r="D9005" s="23"/>
      <c r="E9005" s="23"/>
    </row>
    <row r="9006" spans="1:5" x14ac:dyDescent="0.25">
      <c r="A9006" s="22"/>
      <c r="B9006" s="23"/>
      <c r="C9006" s="23"/>
      <c r="D9006" s="23"/>
      <c r="E9006" s="23"/>
    </row>
    <row r="9007" spans="1:5" x14ac:dyDescent="0.25">
      <c r="A9007" s="22"/>
      <c r="B9007" s="23"/>
      <c r="C9007" s="23"/>
      <c r="D9007" s="23"/>
      <c r="E9007" s="23"/>
    </row>
    <row r="9008" spans="1:5" x14ac:dyDescent="0.25">
      <c r="A9008" s="22"/>
      <c r="B9008" s="23"/>
      <c r="C9008" s="23"/>
      <c r="D9008" s="23"/>
      <c r="E9008" s="23"/>
    </row>
    <row r="9009" spans="1:5" x14ac:dyDescent="0.25">
      <c r="A9009" s="22"/>
      <c r="B9009" s="23"/>
      <c r="C9009" s="23"/>
      <c r="D9009" s="23"/>
      <c r="E9009" s="23"/>
    </row>
    <row r="9010" spans="1:5" x14ac:dyDescent="0.25">
      <c r="A9010" s="22"/>
      <c r="B9010" s="23"/>
      <c r="C9010" s="23"/>
      <c r="D9010" s="23"/>
      <c r="E9010" s="23"/>
    </row>
    <row r="9011" spans="1:5" x14ac:dyDescent="0.25">
      <c r="A9011" s="22"/>
      <c r="B9011" s="23"/>
      <c r="C9011" s="23"/>
      <c r="D9011" s="23"/>
      <c r="E9011" s="23"/>
    </row>
    <row r="9012" spans="1:5" x14ac:dyDescent="0.25">
      <c r="A9012" s="22"/>
      <c r="B9012" s="23"/>
      <c r="C9012" s="23"/>
      <c r="D9012" s="23"/>
      <c r="E9012" s="23"/>
    </row>
    <row r="9013" spans="1:5" x14ac:dyDescent="0.25">
      <c r="A9013" s="22"/>
      <c r="B9013" s="23"/>
      <c r="C9013" s="23"/>
      <c r="D9013" s="23"/>
      <c r="E9013" s="23"/>
    </row>
    <row r="9014" spans="1:5" x14ac:dyDescent="0.25">
      <c r="A9014" s="22"/>
      <c r="B9014" s="23"/>
      <c r="C9014" s="23"/>
      <c r="D9014" s="23"/>
      <c r="E9014" s="23"/>
    </row>
    <row r="9015" spans="1:5" x14ac:dyDescent="0.25">
      <c r="A9015" s="22"/>
      <c r="B9015" s="23"/>
      <c r="C9015" s="23"/>
      <c r="D9015" s="23"/>
      <c r="E9015" s="23"/>
    </row>
    <row r="9016" spans="1:5" x14ac:dyDescent="0.25">
      <c r="A9016" s="22"/>
      <c r="B9016" s="23"/>
      <c r="C9016" s="23"/>
      <c r="D9016" s="23"/>
      <c r="E9016" s="23"/>
    </row>
    <row r="9017" spans="1:5" x14ac:dyDescent="0.25">
      <c r="A9017" s="22"/>
      <c r="B9017" s="23"/>
      <c r="C9017" s="23"/>
      <c r="D9017" s="23"/>
      <c r="E9017" s="23"/>
    </row>
    <row r="9018" spans="1:5" x14ac:dyDescent="0.25">
      <c r="A9018" s="22"/>
      <c r="B9018" s="23"/>
      <c r="C9018" s="23"/>
      <c r="D9018" s="23"/>
      <c r="E9018" s="23"/>
    </row>
    <row r="9019" spans="1:5" x14ac:dyDescent="0.25">
      <c r="A9019" s="22"/>
      <c r="B9019" s="23"/>
      <c r="C9019" s="23"/>
      <c r="D9019" s="23"/>
      <c r="E9019" s="23"/>
    </row>
    <row r="9020" spans="1:5" x14ac:dyDescent="0.25">
      <c r="A9020" s="22"/>
      <c r="B9020" s="23"/>
      <c r="C9020" s="23"/>
      <c r="D9020" s="23"/>
      <c r="E9020" s="23"/>
    </row>
    <row r="9021" spans="1:5" x14ac:dyDescent="0.25">
      <c r="A9021" s="22"/>
      <c r="B9021" s="23"/>
      <c r="C9021" s="23"/>
      <c r="D9021" s="23"/>
      <c r="E9021" s="23"/>
    </row>
    <row r="9022" spans="1:5" x14ac:dyDescent="0.25">
      <c r="A9022" s="22"/>
      <c r="B9022" s="23"/>
      <c r="C9022" s="23"/>
      <c r="D9022" s="23"/>
      <c r="E9022" s="23"/>
    </row>
    <row r="9023" spans="1:5" x14ac:dyDescent="0.25">
      <c r="A9023" s="22"/>
      <c r="B9023" s="23"/>
      <c r="C9023" s="23"/>
      <c r="D9023" s="23"/>
      <c r="E9023" s="23"/>
    </row>
    <row r="9024" spans="1:5" x14ac:dyDescent="0.25">
      <c r="A9024" s="22"/>
      <c r="B9024" s="23"/>
      <c r="C9024" s="23"/>
      <c r="D9024" s="23"/>
      <c r="E9024" s="23"/>
    </row>
    <row r="9025" spans="1:5" x14ac:dyDescent="0.25">
      <c r="A9025" s="22"/>
      <c r="B9025" s="23"/>
      <c r="C9025" s="23"/>
      <c r="D9025" s="23"/>
      <c r="E9025" s="23"/>
    </row>
    <row r="9026" spans="1:5" x14ac:dyDescent="0.25">
      <c r="A9026" s="22"/>
      <c r="B9026" s="23"/>
      <c r="C9026" s="23"/>
      <c r="D9026" s="23"/>
      <c r="E9026" s="23"/>
    </row>
    <row r="9027" spans="1:5" x14ac:dyDescent="0.25">
      <c r="A9027" s="22"/>
      <c r="B9027" s="23"/>
      <c r="C9027" s="23"/>
      <c r="D9027" s="23"/>
      <c r="E9027" s="23"/>
    </row>
    <row r="9028" spans="1:5" x14ac:dyDescent="0.25">
      <c r="A9028" s="22"/>
      <c r="B9028" s="23"/>
      <c r="C9028" s="23"/>
      <c r="D9028" s="23"/>
      <c r="E9028" s="23"/>
    </row>
    <row r="9029" spans="1:5" x14ac:dyDescent="0.25">
      <c r="A9029" s="22"/>
      <c r="B9029" s="23"/>
      <c r="C9029" s="23"/>
      <c r="D9029" s="23"/>
      <c r="E9029" s="23"/>
    </row>
    <row r="9030" spans="1:5" x14ac:dyDescent="0.25">
      <c r="A9030" s="22"/>
      <c r="B9030" s="23"/>
      <c r="C9030" s="23"/>
      <c r="D9030" s="23"/>
      <c r="E9030" s="23"/>
    </row>
    <row r="9031" spans="1:5" x14ac:dyDescent="0.25">
      <c r="A9031" s="22"/>
      <c r="B9031" s="23"/>
      <c r="C9031" s="23"/>
      <c r="D9031" s="23"/>
      <c r="E9031" s="23"/>
    </row>
    <row r="9032" spans="1:5" x14ac:dyDescent="0.25">
      <c r="A9032" s="22"/>
      <c r="B9032" s="23"/>
      <c r="C9032" s="23"/>
      <c r="D9032" s="23"/>
      <c r="E9032" s="23"/>
    </row>
    <row r="9033" spans="1:5" x14ac:dyDescent="0.25">
      <c r="A9033" s="22"/>
      <c r="B9033" s="23"/>
      <c r="C9033" s="23"/>
      <c r="D9033" s="23"/>
      <c r="E9033" s="23"/>
    </row>
    <row r="9034" spans="1:5" x14ac:dyDescent="0.25">
      <c r="A9034" s="22"/>
      <c r="B9034" s="23"/>
      <c r="C9034" s="23"/>
      <c r="D9034" s="23"/>
      <c r="E9034" s="23"/>
    </row>
    <row r="9035" spans="1:5" x14ac:dyDescent="0.25">
      <c r="A9035" s="22"/>
      <c r="B9035" s="23"/>
      <c r="C9035" s="23"/>
      <c r="D9035" s="23"/>
      <c r="E9035" s="23"/>
    </row>
    <row r="9036" spans="1:5" x14ac:dyDescent="0.25">
      <c r="A9036" s="22"/>
      <c r="B9036" s="23"/>
      <c r="C9036" s="23"/>
      <c r="D9036" s="23"/>
      <c r="E9036" s="23"/>
    </row>
    <row r="9037" spans="1:5" x14ac:dyDescent="0.25">
      <c r="A9037" s="22"/>
      <c r="B9037" s="23"/>
      <c r="C9037" s="23"/>
      <c r="D9037" s="23"/>
      <c r="E9037" s="23"/>
    </row>
    <row r="9038" spans="1:5" x14ac:dyDescent="0.25">
      <c r="A9038" s="22"/>
      <c r="B9038" s="23"/>
      <c r="C9038" s="23"/>
      <c r="D9038" s="23"/>
      <c r="E9038" s="23"/>
    </row>
    <row r="9039" spans="1:5" x14ac:dyDescent="0.25">
      <c r="A9039" s="22"/>
      <c r="B9039" s="23"/>
      <c r="C9039" s="23"/>
      <c r="D9039" s="23"/>
      <c r="E9039" s="23"/>
    </row>
    <row r="9040" spans="1:5" x14ac:dyDescent="0.25">
      <c r="A9040" s="22"/>
      <c r="B9040" s="23"/>
      <c r="C9040" s="23"/>
      <c r="D9040" s="23"/>
      <c r="E9040" s="23"/>
    </row>
    <row r="9041" spans="1:5" x14ac:dyDescent="0.25">
      <c r="A9041" s="22"/>
      <c r="B9041" s="23"/>
      <c r="C9041" s="23"/>
      <c r="D9041" s="23"/>
      <c r="E9041" s="23"/>
    </row>
    <row r="9042" spans="1:5" x14ac:dyDescent="0.25">
      <c r="A9042" s="22"/>
      <c r="B9042" s="23"/>
      <c r="C9042" s="23"/>
      <c r="D9042" s="23"/>
      <c r="E9042" s="23"/>
    </row>
    <row r="9043" spans="1:5" x14ac:dyDescent="0.25">
      <c r="A9043" s="22"/>
      <c r="B9043" s="23"/>
      <c r="C9043" s="23"/>
      <c r="D9043" s="23"/>
      <c r="E9043" s="23"/>
    </row>
    <row r="9044" spans="1:5" x14ac:dyDescent="0.25">
      <c r="A9044" s="22"/>
      <c r="B9044" s="23"/>
      <c r="C9044" s="23"/>
      <c r="D9044" s="23"/>
      <c r="E9044" s="23"/>
    </row>
    <row r="9045" spans="1:5" x14ac:dyDescent="0.25">
      <c r="A9045" s="22"/>
      <c r="B9045" s="23"/>
      <c r="C9045" s="23"/>
      <c r="D9045" s="23"/>
      <c r="E9045" s="23"/>
    </row>
    <row r="9046" spans="1:5" x14ac:dyDescent="0.25">
      <c r="A9046" s="22"/>
      <c r="B9046" s="23"/>
      <c r="C9046" s="23"/>
      <c r="D9046" s="23"/>
      <c r="E9046" s="23"/>
    </row>
    <row r="9047" spans="1:5" x14ac:dyDescent="0.25">
      <c r="A9047" s="22"/>
      <c r="B9047" s="23"/>
      <c r="C9047" s="23"/>
      <c r="D9047" s="23"/>
      <c r="E9047" s="23"/>
    </row>
    <row r="9048" spans="1:5" x14ac:dyDescent="0.25">
      <c r="A9048" s="22"/>
      <c r="B9048" s="23"/>
      <c r="C9048" s="23"/>
      <c r="D9048" s="23"/>
      <c r="E9048" s="23"/>
    </row>
    <row r="9049" spans="1:5" x14ac:dyDescent="0.25">
      <c r="A9049" s="22"/>
      <c r="B9049" s="23"/>
      <c r="C9049" s="23"/>
      <c r="D9049" s="23"/>
      <c r="E9049" s="23"/>
    </row>
    <row r="9050" spans="1:5" x14ac:dyDescent="0.25">
      <c r="A9050" s="22"/>
      <c r="B9050" s="23"/>
      <c r="C9050" s="23"/>
      <c r="D9050" s="23"/>
      <c r="E9050" s="23"/>
    </row>
    <row r="9051" spans="1:5" x14ac:dyDescent="0.25">
      <c r="A9051" s="22"/>
      <c r="B9051" s="23"/>
      <c r="C9051" s="23"/>
      <c r="D9051" s="23"/>
      <c r="E9051" s="23"/>
    </row>
    <row r="9052" spans="1:5" x14ac:dyDescent="0.25">
      <c r="A9052" s="22"/>
      <c r="B9052" s="23"/>
      <c r="C9052" s="23"/>
      <c r="D9052" s="23"/>
      <c r="E9052" s="23"/>
    </row>
    <row r="9053" spans="1:5" x14ac:dyDescent="0.25">
      <c r="A9053" s="22"/>
      <c r="B9053" s="23"/>
      <c r="C9053" s="23"/>
      <c r="D9053" s="23"/>
      <c r="E9053" s="23"/>
    </row>
    <row r="9054" spans="1:5" x14ac:dyDescent="0.25">
      <c r="A9054" s="22"/>
      <c r="B9054" s="23"/>
      <c r="C9054" s="23"/>
      <c r="D9054" s="23"/>
      <c r="E9054" s="23"/>
    </row>
    <row r="9055" spans="1:5" x14ac:dyDescent="0.25">
      <c r="A9055" s="22"/>
      <c r="B9055" s="23"/>
      <c r="C9055" s="23"/>
      <c r="D9055" s="23"/>
      <c r="E9055" s="23"/>
    </row>
    <row r="9056" spans="1:5" x14ac:dyDescent="0.25">
      <c r="A9056" s="22"/>
      <c r="B9056" s="23"/>
      <c r="C9056" s="23"/>
      <c r="D9056" s="23"/>
      <c r="E9056" s="23"/>
    </row>
    <row r="9057" spans="1:5" x14ac:dyDescent="0.25">
      <c r="A9057" s="22"/>
      <c r="B9057" s="23"/>
      <c r="C9057" s="23"/>
      <c r="D9057" s="23"/>
      <c r="E9057" s="23"/>
    </row>
    <row r="9058" spans="1:5" x14ac:dyDescent="0.25">
      <c r="A9058" s="22"/>
      <c r="B9058" s="23"/>
      <c r="C9058" s="23"/>
      <c r="D9058" s="23"/>
      <c r="E9058" s="23"/>
    </row>
    <row r="9059" spans="1:5" x14ac:dyDescent="0.25">
      <c r="A9059" s="22"/>
      <c r="B9059" s="23"/>
      <c r="C9059" s="23"/>
      <c r="D9059" s="23"/>
      <c r="E9059" s="23"/>
    </row>
    <row r="9060" spans="1:5" x14ac:dyDescent="0.25">
      <c r="A9060" s="22"/>
      <c r="B9060" s="23"/>
      <c r="C9060" s="23"/>
      <c r="D9060" s="23"/>
      <c r="E9060" s="23"/>
    </row>
    <row r="9061" spans="1:5" x14ac:dyDescent="0.25">
      <c r="A9061" s="22"/>
      <c r="B9061" s="23"/>
      <c r="C9061" s="23"/>
      <c r="D9061" s="23"/>
      <c r="E9061" s="23"/>
    </row>
    <row r="9062" spans="1:5" x14ac:dyDescent="0.25">
      <c r="A9062" s="22"/>
      <c r="B9062" s="23"/>
      <c r="C9062" s="23"/>
      <c r="D9062" s="23"/>
      <c r="E9062" s="23"/>
    </row>
    <row r="9063" spans="1:5" x14ac:dyDescent="0.25">
      <c r="A9063" s="22"/>
      <c r="B9063" s="23"/>
      <c r="C9063" s="23"/>
      <c r="D9063" s="23"/>
      <c r="E9063" s="23"/>
    </row>
    <row r="9064" spans="1:5" x14ac:dyDescent="0.25">
      <c r="A9064" s="22"/>
      <c r="B9064" s="23"/>
      <c r="C9064" s="23"/>
      <c r="D9064" s="23"/>
      <c r="E9064" s="23"/>
    </row>
    <row r="9065" spans="1:5" x14ac:dyDescent="0.25">
      <c r="A9065" s="22"/>
      <c r="B9065" s="23"/>
      <c r="C9065" s="23"/>
      <c r="D9065" s="23"/>
      <c r="E9065" s="23"/>
    </row>
    <row r="9066" spans="1:5" x14ac:dyDescent="0.25">
      <c r="A9066" s="22"/>
      <c r="B9066" s="23"/>
      <c r="C9066" s="23"/>
      <c r="D9066" s="23"/>
      <c r="E9066" s="23"/>
    </row>
    <row r="9067" spans="1:5" x14ac:dyDescent="0.25">
      <c r="A9067" s="22"/>
      <c r="B9067" s="23"/>
      <c r="C9067" s="23"/>
      <c r="D9067" s="23"/>
      <c r="E9067" s="23"/>
    </row>
    <row r="9068" spans="1:5" x14ac:dyDescent="0.25">
      <c r="A9068" s="22"/>
      <c r="B9068" s="23"/>
      <c r="C9068" s="23"/>
      <c r="D9068" s="23"/>
      <c r="E9068" s="23"/>
    </row>
    <row r="9069" spans="1:5" x14ac:dyDescent="0.25">
      <c r="A9069" s="22"/>
      <c r="B9069" s="23"/>
      <c r="C9069" s="23"/>
      <c r="D9069" s="23"/>
      <c r="E9069" s="23"/>
    </row>
    <row r="9070" spans="1:5" x14ac:dyDescent="0.25">
      <c r="A9070" s="22"/>
      <c r="B9070" s="23"/>
      <c r="C9070" s="23"/>
      <c r="D9070" s="23"/>
      <c r="E9070" s="23"/>
    </row>
    <row r="9071" spans="1:5" x14ac:dyDescent="0.25">
      <c r="A9071" s="22"/>
      <c r="B9071" s="23"/>
      <c r="C9071" s="23"/>
      <c r="D9071" s="23"/>
      <c r="E9071" s="23"/>
    </row>
    <row r="9072" spans="1:5" x14ac:dyDescent="0.25">
      <c r="A9072" s="22"/>
      <c r="B9072" s="23"/>
      <c r="C9072" s="23"/>
      <c r="D9072" s="23"/>
      <c r="E9072" s="23"/>
    </row>
    <row r="9073" spans="1:5" x14ac:dyDescent="0.25">
      <c r="A9073" s="22"/>
      <c r="B9073" s="23"/>
      <c r="C9073" s="23"/>
      <c r="D9073" s="23"/>
      <c r="E9073" s="23"/>
    </row>
    <row r="9074" spans="1:5" x14ac:dyDescent="0.25">
      <c r="A9074" s="22"/>
      <c r="B9074" s="23"/>
      <c r="C9074" s="23"/>
      <c r="D9074" s="23"/>
      <c r="E9074" s="23"/>
    </row>
    <row r="9075" spans="1:5" x14ac:dyDescent="0.25">
      <c r="A9075" s="22"/>
      <c r="B9075" s="23"/>
      <c r="C9075" s="23"/>
      <c r="D9075" s="23"/>
      <c r="E9075" s="23"/>
    </row>
    <row r="9076" spans="1:5" x14ac:dyDescent="0.25">
      <c r="A9076" s="22"/>
      <c r="B9076" s="23"/>
      <c r="C9076" s="23"/>
      <c r="D9076" s="23"/>
      <c r="E9076" s="23"/>
    </row>
    <row r="9077" spans="1:5" x14ac:dyDescent="0.25">
      <c r="A9077" s="22"/>
      <c r="B9077" s="23"/>
      <c r="C9077" s="23"/>
      <c r="D9077" s="23"/>
      <c r="E9077" s="23"/>
    </row>
    <row r="9078" spans="1:5" x14ac:dyDescent="0.25">
      <c r="A9078" s="22"/>
      <c r="B9078" s="23"/>
      <c r="C9078" s="23"/>
      <c r="D9078" s="23"/>
      <c r="E9078" s="23"/>
    </row>
    <row r="9079" spans="1:5" x14ac:dyDescent="0.25">
      <c r="A9079" s="22"/>
      <c r="B9079" s="23"/>
      <c r="C9079" s="23"/>
      <c r="D9079" s="23"/>
      <c r="E9079" s="23"/>
    </row>
    <row r="9080" spans="1:5" x14ac:dyDescent="0.25">
      <c r="A9080" s="22"/>
      <c r="B9080" s="23"/>
      <c r="C9080" s="23"/>
      <c r="D9080" s="23"/>
      <c r="E9080" s="23"/>
    </row>
    <row r="9081" spans="1:5" x14ac:dyDescent="0.25">
      <c r="A9081" s="22"/>
      <c r="B9081" s="23"/>
      <c r="C9081" s="23"/>
      <c r="D9081" s="23"/>
      <c r="E9081" s="23"/>
    </row>
    <row r="9082" spans="1:5" x14ac:dyDescent="0.25">
      <c r="A9082" s="22"/>
      <c r="B9082" s="23"/>
      <c r="C9082" s="23"/>
      <c r="D9082" s="23"/>
      <c r="E9082" s="23"/>
    </row>
    <row r="9083" spans="1:5" x14ac:dyDescent="0.25">
      <c r="A9083" s="22"/>
      <c r="B9083" s="23"/>
      <c r="C9083" s="23"/>
      <c r="D9083" s="23"/>
      <c r="E9083" s="23"/>
    </row>
    <row r="9084" spans="1:5" x14ac:dyDescent="0.25">
      <c r="A9084" s="22"/>
      <c r="B9084" s="23"/>
      <c r="C9084" s="23"/>
      <c r="D9084" s="23"/>
      <c r="E9084" s="23"/>
    </row>
    <row r="9085" spans="1:5" x14ac:dyDescent="0.25">
      <c r="A9085" s="22"/>
      <c r="B9085" s="23"/>
      <c r="C9085" s="23"/>
      <c r="D9085" s="23"/>
      <c r="E9085" s="23"/>
    </row>
    <row r="9086" spans="1:5" x14ac:dyDescent="0.25">
      <c r="A9086" s="22"/>
      <c r="B9086" s="23"/>
      <c r="C9086" s="23"/>
      <c r="D9086" s="23"/>
      <c r="E9086" s="23"/>
    </row>
    <row r="9087" spans="1:5" x14ac:dyDescent="0.25">
      <c r="A9087" s="22"/>
      <c r="B9087" s="23"/>
      <c r="C9087" s="23"/>
      <c r="D9087" s="23"/>
      <c r="E9087" s="23"/>
    </row>
    <row r="9088" spans="1:5" x14ac:dyDescent="0.25">
      <c r="A9088" s="22"/>
      <c r="B9088" s="23"/>
      <c r="C9088" s="23"/>
      <c r="D9088" s="23"/>
      <c r="E9088" s="23"/>
    </row>
    <row r="9089" spans="1:5" x14ac:dyDescent="0.25">
      <c r="A9089" s="22"/>
      <c r="B9089" s="23"/>
      <c r="C9089" s="23"/>
      <c r="D9089" s="23"/>
      <c r="E9089" s="23"/>
    </row>
    <row r="9090" spans="1:5" x14ac:dyDescent="0.25">
      <c r="A9090" s="22"/>
      <c r="B9090" s="23"/>
      <c r="C9090" s="23"/>
      <c r="D9090" s="23"/>
      <c r="E9090" s="23"/>
    </row>
    <row r="9091" spans="1:5" x14ac:dyDescent="0.25">
      <c r="A9091" s="22"/>
      <c r="B9091" s="23"/>
      <c r="C9091" s="23"/>
      <c r="D9091" s="23"/>
      <c r="E9091" s="23"/>
    </row>
    <row r="9092" spans="1:5" x14ac:dyDescent="0.25">
      <c r="A9092" s="22"/>
      <c r="B9092" s="23"/>
      <c r="C9092" s="23"/>
      <c r="D9092" s="23"/>
      <c r="E9092" s="23"/>
    </row>
    <row r="9093" spans="1:5" x14ac:dyDescent="0.25">
      <c r="A9093" s="22"/>
      <c r="B9093" s="23"/>
      <c r="C9093" s="23"/>
      <c r="D9093" s="23"/>
      <c r="E9093" s="23"/>
    </row>
    <row r="9094" spans="1:5" x14ac:dyDescent="0.25">
      <c r="A9094" s="22"/>
      <c r="B9094" s="23"/>
      <c r="C9094" s="23"/>
      <c r="D9094" s="23"/>
      <c r="E9094" s="23"/>
    </row>
    <row r="9095" spans="1:5" x14ac:dyDescent="0.25">
      <c r="A9095" s="22"/>
      <c r="B9095" s="23"/>
      <c r="C9095" s="23"/>
      <c r="D9095" s="23"/>
      <c r="E9095" s="23"/>
    </row>
    <row r="9096" spans="1:5" x14ac:dyDescent="0.25">
      <c r="A9096" s="22"/>
      <c r="B9096" s="23"/>
      <c r="C9096" s="23"/>
      <c r="D9096" s="23"/>
      <c r="E9096" s="23"/>
    </row>
    <row r="9097" spans="1:5" x14ac:dyDescent="0.25">
      <c r="A9097" s="22"/>
      <c r="B9097" s="23"/>
      <c r="C9097" s="23"/>
      <c r="D9097" s="23"/>
      <c r="E9097" s="23"/>
    </row>
    <row r="9098" spans="1:5" x14ac:dyDescent="0.25">
      <c r="A9098" s="22"/>
      <c r="B9098" s="23"/>
      <c r="C9098" s="23"/>
      <c r="D9098" s="23"/>
      <c r="E9098" s="23"/>
    </row>
    <row r="9099" spans="1:5" x14ac:dyDescent="0.25">
      <c r="A9099" s="22"/>
      <c r="B9099" s="23"/>
      <c r="C9099" s="23"/>
      <c r="D9099" s="23"/>
      <c r="E9099" s="23"/>
    </row>
    <row r="9100" spans="1:5" x14ac:dyDescent="0.25">
      <c r="A9100" s="22"/>
      <c r="B9100" s="23"/>
      <c r="C9100" s="23"/>
      <c r="D9100" s="23"/>
      <c r="E9100" s="23"/>
    </row>
    <row r="9101" spans="1:5" x14ac:dyDescent="0.25">
      <c r="A9101" s="22"/>
      <c r="B9101" s="23"/>
      <c r="C9101" s="23"/>
      <c r="D9101" s="23"/>
      <c r="E9101" s="23"/>
    </row>
    <row r="9102" spans="1:5" x14ac:dyDescent="0.25">
      <c r="A9102" s="22"/>
      <c r="B9102" s="23"/>
      <c r="C9102" s="23"/>
      <c r="D9102" s="23"/>
      <c r="E9102" s="23"/>
    </row>
    <row r="9103" spans="1:5" x14ac:dyDescent="0.25">
      <c r="A9103" s="22"/>
      <c r="B9103" s="23"/>
      <c r="C9103" s="23"/>
      <c r="D9103" s="23"/>
      <c r="E9103" s="23"/>
    </row>
    <row r="9104" spans="1:5" x14ac:dyDescent="0.25">
      <c r="A9104" s="22"/>
      <c r="B9104" s="23"/>
      <c r="C9104" s="23"/>
      <c r="D9104" s="23"/>
      <c r="E9104" s="23"/>
    </row>
    <row r="9105" spans="1:5" x14ac:dyDescent="0.25">
      <c r="A9105" s="22"/>
      <c r="B9105" s="23"/>
      <c r="C9105" s="23"/>
      <c r="D9105" s="23"/>
      <c r="E9105" s="23"/>
    </row>
    <row r="9106" spans="1:5" x14ac:dyDescent="0.25">
      <c r="A9106" s="22"/>
      <c r="B9106" s="23"/>
      <c r="C9106" s="23"/>
      <c r="D9106" s="23"/>
      <c r="E9106" s="23"/>
    </row>
    <row r="9107" spans="1:5" x14ac:dyDescent="0.25">
      <c r="A9107" s="22"/>
      <c r="B9107" s="23"/>
      <c r="C9107" s="23"/>
      <c r="D9107" s="23"/>
      <c r="E9107" s="23"/>
    </row>
    <row r="9108" spans="1:5" x14ac:dyDescent="0.25">
      <c r="A9108" s="22"/>
      <c r="B9108" s="23"/>
      <c r="C9108" s="23"/>
      <c r="D9108" s="23"/>
      <c r="E9108" s="23"/>
    </row>
    <row r="9109" spans="1:5" x14ac:dyDescent="0.25">
      <c r="A9109" s="22"/>
      <c r="B9109" s="23"/>
      <c r="C9109" s="23"/>
      <c r="D9109" s="23"/>
      <c r="E9109" s="23"/>
    </row>
    <row r="9110" spans="1:5" x14ac:dyDescent="0.25">
      <c r="A9110" s="22"/>
      <c r="B9110" s="23"/>
      <c r="C9110" s="23"/>
      <c r="D9110" s="23"/>
      <c r="E9110" s="23"/>
    </row>
    <row r="9111" spans="1:5" x14ac:dyDescent="0.25">
      <c r="A9111" s="22"/>
      <c r="B9111" s="23"/>
      <c r="C9111" s="23"/>
      <c r="D9111" s="23"/>
      <c r="E9111" s="23"/>
    </row>
    <row r="9112" spans="1:5" x14ac:dyDescent="0.25">
      <c r="A9112" s="22"/>
      <c r="B9112" s="23"/>
      <c r="C9112" s="23"/>
      <c r="D9112" s="23"/>
      <c r="E9112" s="23"/>
    </row>
    <row r="9113" spans="1:5" x14ac:dyDescent="0.25">
      <c r="A9113" s="22"/>
      <c r="B9113" s="23"/>
      <c r="C9113" s="23"/>
      <c r="D9113" s="23"/>
      <c r="E9113" s="23"/>
    </row>
    <row r="9114" spans="1:5" x14ac:dyDescent="0.25">
      <c r="A9114" s="22"/>
      <c r="B9114" s="23"/>
      <c r="C9114" s="23"/>
      <c r="D9114" s="23"/>
      <c r="E9114" s="23"/>
    </row>
    <row r="9115" spans="1:5" x14ac:dyDescent="0.25">
      <c r="A9115" s="22"/>
      <c r="B9115" s="23"/>
      <c r="C9115" s="23"/>
      <c r="D9115" s="23"/>
      <c r="E9115" s="23"/>
    </row>
    <row r="9116" spans="1:5" x14ac:dyDescent="0.25">
      <c r="A9116" s="22"/>
      <c r="B9116" s="23"/>
      <c r="C9116" s="23"/>
      <c r="D9116" s="23"/>
      <c r="E9116" s="23"/>
    </row>
    <row r="9117" spans="1:5" x14ac:dyDescent="0.25">
      <c r="A9117" s="22"/>
      <c r="B9117" s="23"/>
      <c r="C9117" s="23"/>
      <c r="D9117" s="23"/>
      <c r="E9117" s="23"/>
    </row>
    <row r="9118" spans="1:5" x14ac:dyDescent="0.25">
      <c r="A9118" s="22"/>
      <c r="B9118" s="23"/>
      <c r="C9118" s="23"/>
      <c r="D9118" s="23"/>
      <c r="E9118" s="23"/>
    </row>
    <row r="9119" spans="1:5" x14ac:dyDescent="0.25">
      <c r="A9119" s="22"/>
      <c r="B9119" s="23"/>
      <c r="C9119" s="23"/>
      <c r="D9119" s="23"/>
      <c r="E9119" s="23"/>
    </row>
    <row r="9120" spans="1:5" x14ac:dyDescent="0.25">
      <c r="A9120" s="22"/>
      <c r="B9120" s="23"/>
      <c r="C9120" s="23"/>
      <c r="D9120" s="23"/>
      <c r="E9120" s="23"/>
    </row>
    <row r="9121" spans="1:5" x14ac:dyDescent="0.25">
      <c r="A9121" s="22"/>
      <c r="B9121" s="23"/>
      <c r="C9121" s="23"/>
      <c r="D9121" s="23"/>
      <c r="E9121" s="23"/>
    </row>
    <row r="9122" spans="1:5" x14ac:dyDescent="0.25">
      <c r="A9122" s="22"/>
      <c r="B9122" s="23"/>
      <c r="C9122" s="23"/>
      <c r="D9122" s="23"/>
      <c r="E9122" s="23"/>
    </row>
    <row r="9123" spans="1:5" x14ac:dyDescent="0.25">
      <c r="A9123" s="22"/>
      <c r="B9123" s="23"/>
      <c r="C9123" s="23"/>
      <c r="D9123" s="23"/>
      <c r="E9123" s="23"/>
    </row>
    <row r="9124" spans="1:5" x14ac:dyDescent="0.25">
      <c r="A9124" s="22"/>
      <c r="B9124" s="23"/>
      <c r="C9124" s="23"/>
      <c r="D9124" s="23"/>
      <c r="E9124" s="23"/>
    </row>
    <row r="9125" spans="1:5" x14ac:dyDescent="0.25">
      <c r="A9125" s="22"/>
      <c r="B9125" s="23"/>
      <c r="C9125" s="23"/>
      <c r="D9125" s="23"/>
      <c r="E9125" s="23"/>
    </row>
    <row r="9126" spans="1:5" x14ac:dyDescent="0.25">
      <c r="A9126" s="22"/>
      <c r="B9126" s="23"/>
      <c r="C9126" s="23"/>
      <c r="D9126" s="23"/>
      <c r="E9126" s="23"/>
    </row>
    <row r="9127" spans="1:5" x14ac:dyDescent="0.25">
      <c r="A9127" s="22"/>
      <c r="B9127" s="23"/>
      <c r="C9127" s="23"/>
      <c r="D9127" s="23"/>
      <c r="E9127" s="23"/>
    </row>
    <row r="9128" spans="1:5" x14ac:dyDescent="0.25">
      <c r="A9128" s="22"/>
      <c r="B9128" s="23"/>
      <c r="C9128" s="23"/>
      <c r="D9128" s="23"/>
      <c r="E9128" s="23"/>
    </row>
    <row r="9129" spans="1:5" x14ac:dyDescent="0.25">
      <c r="A9129" s="22"/>
      <c r="B9129" s="23"/>
      <c r="C9129" s="23"/>
      <c r="D9129" s="23"/>
      <c r="E9129" s="23"/>
    </row>
    <row r="9130" spans="1:5" x14ac:dyDescent="0.25">
      <c r="A9130" s="22"/>
      <c r="B9130" s="23"/>
      <c r="C9130" s="23"/>
      <c r="D9130" s="23"/>
      <c r="E9130" s="23"/>
    </row>
    <row r="9131" spans="1:5" x14ac:dyDescent="0.25">
      <c r="A9131" s="22"/>
      <c r="B9131" s="23"/>
      <c r="C9131" s="23"/>
      <c r="D9131" s="23"/>
      <c r="E9131" s="23"/>
    </row>
    <row r="9132" spans="1:5" x14ac:dyDescent="0.25">
      <c r="A9132" s="22"/>
      <c r="B9132" s="23"/>
      <c r="C9132" s="23"/>
      <c r="D9132" s="23"/>
      <c r="E9132" s="23"/>
    </row>
    <row r="9133" spans="1:5" x14ac:dyDescent="0.25">
      <c r="A9133" s="22"/>
      <c r="B9133" s="23"/>
      <c r="C9133" s="23"/>
      <c r="D9133" s="23"/>
      <c r="E9133" s="23"/>
    </row>
    <row r="9134" spans="1:5" x14ac:dyDescent="0.25">
      <c r="A9134" s="22"/>
      <c r="B9134" s="23"/>
      <c r="C9134" s="23"/>
      <c r="D9134" s="23"/>
      <c r="E9134" s="23"/>
    </row>
    <row r="9135" spans="1:5" x14ac:dyDescent="0.25">
      <c r="A9135" s="22"/>
      <c r="B9135" s="23"/>
      <c r="C9135" s="23"/>
      <c r="D9135" s="23"/>
      <c r="E9135" s="23"/>
    </row>
    <row r="9136" spans="1:5" x14ac:dyDescent="0.25">
      <c r="A9136" s="22"/>
      <c r="B9136" s="23"/>
      <c r="C9136" s="23"/>
      <c r="D9136" s="23"/>
      <c r="E9136" s="23"/>
    </row>
    <row r="9137" spans="1:5" x14ac:dyDescent="0.25">
      <c r="A9137" s="22"/>
      <c r="B9137" s="23"/>
      <c r="C9137" s="23"/>
      <c r="D9137" s="23"/>
      <c r="E9137" s="23"/>
    </row>
    <row r="9138" spans="1:5" x14ac:dyDescent="0.25">
      <c r="A9138" s="22"/>
      <c r="B9138" s="23"/>
      <c r="C9138" s="23"/>
      <c r="D9138" s="23"/>
      <c r="E9138" s="23"/>
    </row>
    <row r="9139" spans="1:5" x14ac:dyDescent="0.25">
      <c r="A9139" s="22"/>
      <c r="B9139" s="23"/>
      <c r="C9139" s="23"/>
      <c r="D9139" s="23"/>
      <c r="E9139" s="23"/>
    </row>
    <row r="9140" spans="1:5" x14ac:dyDescent="0.25">
      <c r="A9140" s="22"/>
      <c r="B9140" s="23"/>
      <c r="C9140" s="23"/>
      <c r="D9140" s="23"/>
      <c r="E9140" s="23"/>
    </row>
    <row r="9141" spans="1:5" x14ac:dyDescent="0.25">
      <c r="A9141" s="22"/>
      <c r="B9141" s="23"/>
      <c r="C9141" s="23"/>
      <c r="D9141" s="23"/>
      <c r="E9141" s="23"/>
    </row>
    <row r="9142" spans="1:5" x14ac:dyDescent="0.25">
      <c r="A9142" s="22"/>
      <c r="B9142" s="23"/>
      <c r="C9142" s="23"/>
      <c r="D9142" s="23"/>
      <c r="E9142" s="23"/>
    </row>
    <row r="9143" spans="1:5" x14ac:dyDescent="0.25">
      <c r="A9143" s="22"/>
      <c r="B9143" s="23"/>
      <c r="C9143" s="23"/>
      <c r="D9143" s="23"/>
      <c r="E9143" s="23"/>
    </row>
    <row r="9144" spans="1:5" x14ac:dyDescent="0.25">
      <c r="A9144" s="22"/>
      <c r="B9144" s="23"/>
      <c r="C9144" s="23"/>
      <c r="D9144" s="23"/>
      <c r="E9144" s="23"/>
    </row>
    <row r="9145" spans="1:5" x14ac:dyDescent="0.25">
      <c r="A9145" s="22"/>
      <c r="B9145" s="23"/>
      <c r="C9145" s="23"/>
      <c r="D9145" s="23"/>
      <c r="E9145" s="23"/>
    </row>
    <row r="9146" spans="1:5" x14ac:dyDescent="0.25">
      <c r="A9146" s="22"/>
      <c r="B9146" s="23"/>
      <c r="C9146" s="23"/>
      <c r="D9146" s="23"/>
      <c r="E9146" s="23"/>
    </row>
    <row r="9147" spans="1:5" x14ac:dyDescent="0.25">
      <c r="A9147" s="22"/>
      <c r="B9147" s="23"/>
      <c r="C9147" s="23"/>
      <c r="D9147" s="23"/>
      <c r="E9147" s="23"/>
    </row>
    <row r="9148" spans="1:5" x14ac:dyDescent="0.25">
      <c r="A9148" s="22"/>
      <c r="B9148" s="23"/>
      <c r="C9148" s="23"/>
      <c r="D9148" s="23"/>
      <c r="E9148" s="23"/>
    </row>
    <row r="9149" spans="1:5" x14ac:dyDescent="0.25">
      <c r="A9149" s="22"/>
      <c r="B9149" s="23"/>
      <c r="C9149" s="23"/>
      <c r="D9149" s="23"/>
      <c r="E9149" s="23"/>
    </row>
    <row r="9150" spans="1:5" x14ac:dyDescent="0.25">
      <c r="A9150" s="22"/>
      <c r="B9150" s="23"/>
      <c r="C9150" s="23"/>
      <c r="D9150" s="23"/>
      <c r="E9150" s="23"/>
    </row>
    <row r="9151" spans="1:5" x14ac:dyDescent="0.25">
      <c r="A9151" s="22"/>
      <c r="B9151" s="23"/>
      <c r="C9151" s="23"/>
      <c r="D9151" s="23"/>
      <c r="E9151" s="23"/>
    </row>
    <row r="9152" spans="1:5" x14ac:dyDescent="0.25">
      <c r="A9152" s="22"/>
      <c r="B9152" s="23"/>
      <c r="C9152" s="23"/>
      <c r="D9152" s="23"/>
      <c r="E9152" s="23"/>
    </row>
    <row r="9153" spans="1:5" x14ac:dyDescent="0.25">
      <c r="A9153" s="22"/>
      <c r="B9153" s="23"/>
      <c r="C9153" s="23"/>
      <c r="D9153" s="23"/>
      <c r="E9153" s="23"/>
    </row>
    <row r="9154" spans="1:5" x14ac:dyDescent="0.25">
      <c r="A9154" s="22"/>
      <c r="B9154" s="23"/>
      <c r="C9154" s="23"/>
      <c r="D9154" s="23"/>
      <c r="E9154" s="23"/>
    </row>
    <row r="9155" spans="1:5" x14ac:dyDescent="0.25">
      <c r="A9155" s="22"/>
      <c r="B9155" s="23"/>
      <c r="C9155" s="23"/>
      <c r="D9155" s="23"/>
      <c r="E9155" s="23"/>
    </row>
    <row r="9156" spans="1:5" x14ac:dyDescent="0.25">
      <c r="A9156" s="22"/>
      <c r="B9156" s="23"/>
      <c r="C9156" s="23"/>
      <c r="D9156" s="23"/>
      <c r="E9156" s="23"/>
    </row>
    <row r="9157" spans="1:5" x14ac:dyDescent="0.25">
      <c r="A9157" s="22"/>
      <c r="B9157" s="23"/>
      <c r="C9157" s="23"/>
      <c r="D9157" s="23"/>
      <c r="E9157" s="23"/>
    </row>
    <row r="9158" spans="1:5" x14ac:dyDescent="0.25">
      <c r="A9158" s="22"/>
      <c r="B9158" s="23"/>
      <c r="C9158" s="23"/>
      <c r="D9158" s="23"/>
      <c r="E9158" s="23"/>
    </row>
    <row r="9159" spans="1:5" x14ac:dyDescent="0.25">
      <c r="A9159" s="22"/>
      <c r="B9159" s="23"/>
      <c r="C9159" s="23"/>
      <c r="D9159" s="23"/>
      <c r="E9159" s="23"/>
    </row>
    <row r="9160" spans="1:5" x14ac:dyDescent="0.25">
      <c r="A9160" s="22"/>
      <c r="B9160" s="23"/>
      <c r="C9160" s="23"/>
      <c r="D9160" s="23"/>
      <c r="E9160" s="23"/>
    </row>
    <row r="9161" spans="1:5" x14ac:dyDescent="0.25">
      <c r="A9161" s="22"/>
      <c r="B9161" s="23"/>
      <c r="C9161" s="23"/>
      <c r="D9161" s="23"/>
      <c r="E9161" s="23"/>
    </row>
    <row r="9162" spans="1:5" x14ac:dyDescent="0.25">
      <c r="A9162" s="22"/>
      <c r="B9162" s="23"/>
      <c r="C9162" s="23"/>
      <c r="D9162" s="23"/>
      <c r="E9162" s="23"/>
    </row>
    <row r="9163" spans="1:5" x14ac:dyDescent="0.25">
      <c r="A9163" s="22"/>
      <c r="B9163" s="23"/>
      <c r="C9163" s="23"/>
      <c r="D9163" s="23"/>
      <c r="E9163" s="23"/>
    </row>
    <row r="9164" spans="1:5" x14ac:dyDescent="0.25">
      <c r="A9164" s="22"/>
      <c r="B9164" s="23"/>
      <c r="C9164" s="23"/>
      <c r="D9164" s="23"/>
      <c r="E9164" s="23"/>
    </row>
    <row r="9165" spans="1:5" x14ac:dyDescent="0.25">
      <c r="A9165" s="22"/>
      <c r="B9165" s="23"/>
      <c r="C9165" s="23"/>
      <c r="D9165" s="23"/>
      <c r="E9165" s="23"/>
    </row>
    <row r="9166" spans="1:5" x14ac:dyDescent="0.25">
      <c r="A9166" s="22"/>
      <c r="B9166" s="23"/>
      <c r="C9166" s="23"/>
      <c r="D9166" s="23"/>
      <c r="E9166" s="23"/>
    </row>
    <row r="9167" spans="1:5" x14ac:dyDescent="0.25">
      <c r="A9167" s="22"/>
      <c r="B9167" s="23"/>
      <c r="C9167" s="23"/>
      <c r="D9167" s="23"/>
      <c r="E9167" s="23"/>
    </row>
    <row r="9168" spans="1:5" x14ac:dyDescent="0.25">
      <c r="A9168" s="22"/>
      <c r="B9168" s="23"/>
      <c r="C9168" s="23"/>
      <c r="D9168" s="23"/>
      <c r="E9168" s="23"/>
    </row>
    <row r="9169" spans="1:5" x14ac:dyDescent="0.25">
      <c r="A9169" s="22"/>
      <c r="B9169" s="23"/>
      <c r="C9169" s="23"/>
      <c r="D9169" s="23"/>
      <c r="E9169" s="23"/>
    </row>
    <row r="9170" spans="1:5" x14ac:dyDescent="0.25">
      <c r="A9170" s="22"/>
      <c r="B9170" s="23"/>
      <c r="C9170" s="23"/>
      <c r="D9170" s="23"/>
      <c r="E9170" s="23"/>
    </row>
    <row r="9171" spans="1:5" x14ac:dyDescent="0.25">
      <c r="A9171" s="22"/>
      <c r="B9171" s="23"/>
      <c r="C9171" s="23"/>
      <c r="D9171" s="23"/>
      <c r="E9171" s="23"/>
    </row>
    <row r="9172" spans="1:5" x14ac:dyDescent="0.25">
      <c r="A9172" s="22"/>
      <c r="B9172" s="23"/>
      <c r="C9172" s="23"/>
      <c r="D9172" s="23"/>
      <c r="E9172" s="23"/>
    </row>
    <row r="9173" spans="1:5" x14ac:dyDescent="0.25">
      <c r="A9173" s="22"/>
      <c r="B9173" s="23"/>
      <c r="C9173" s="23"/>
      <c r="D9173" s="23"/>
      <c r="E9173" s="23"/>
    </row>
    <row r="9174" spans="1:5" x14ac:dyDescent="0.25">
      <c r="A9174" s="22"/>
      <c r="B9174" s="23"/>
      <c r="C9174" s="23"/>
      <c r="D9174" s="23"/>
      <c r="E9174" s="23"/>
    </row>
    <row r="9175" spans="1:5" x14ac:dyDescent="0.25">
      <c r="A9175" s="22"/>
      <c r="B9175" s="23"/>
      <c r="C9175" s="23"/>
      <c r="D9175" s="23"/>
      <c r="E9175" s="23"/>
    </row>
    <row r="9176" spans="1:5" x14ac:dyDescent="0.25">
      <c r="A9176" s="22"/>
      <c r="B9176" s="23"/>
      <c r="C9176" s="23"/>
      <c r="D9176" s="23"/>
      <c r="E9176" s="23"/>
    </row>
    <row r="9177" spans="1:5" x14ac:dyDescent="0.25">
      <c r="A9177" s="22"/>
      <c r="B9177" s="23"/>
      <c r="C9177" s="23"/>
      <c r="D9177" s="23"/>
      <c r="E9177" s="23"/>
    </row>
    <row r="9178" spans="1:5" x14ac:dyDescent="0.25">
      <c r="A9178" s="22"/>
      <c r="B9178" s="23"/>
      <c r="C9178" s="23"/>
      <c r="D9178" s="23"/>
      <c r="E9178" s="23"/>
    </row>
    <row r="9179" spans="1:5" x14ac:dyDescent="0.25">
      <c r="A9179" s="22"/>
      <c r="B9179" s="23"/>
      <c r="C9179" s="23"/>
      <c r="D9179" s="23"/>
      <c r="E9179" s="23"/>
    </row>
    <row r="9180" spans="1:5" x14ac:dyDescent="0.25">
      <c r="A9180" s="22"/>
      <c r="B9180" s="23"/>
      <c r="C9180" s="23"/>
      <c r="D9180" s="23"/>
      <c r="E9180" s="23"/>
    </row>
    <row r="9181" spans="1:5" x14ac:dyDescent="0.25">
      <c r="A9181" s="22"/>
      <c r="B9181" s="23"/>
      <c r="C9181" s="23"/>
      <c r="D9181" s="23"/>
      <c r="E9181" s="23"/>
    </row>
    <row r="9182" spans="1:5" x14ac:dyDescent="0.25">
      <c r="A9182" s="22"/>
      <c r="B9182" s="23"/>
      <c r="C9182" s="23"/>
      <c r="D9182" s="23"/>
      <c r="E9182" s="23"/>
    </row>
    <row r="9183" spans="1:5" x14ac:dyDescent="0.25">
      <c r="A9183" s="22"/>
      <c r="B9183" s="23"/>
      <c r="C9183" s="23"/>
      <c r="D9183" s="23"/>
      <c r="E9183" s="23"/>
    </row>
    <row r="9184" spans="1:5" x14ac:dyDescent="0.25">
      <c r="A9184" s="22"/>
      <c r="B9184" s="23"/>
      <c r="C9184" s="23"/>
      <c r="D9184" s="23"/>
      <c r="E9184" s="23"/>
    </row>
    <row r="9185" spans="1:5" x14ac:dyDescent="0.25">
      <c r="A9185" s="22"/>
      <c r="B9185" s="23"/>
      <c r="C9185" s="23"/>
      <c r="D9185" s="23"/>
      <c r="E9185" s="23"/>
    </row>
    <row r="9186" spans="1:5" x14ac:dyDescent="0.25">
      <c r="A9186" s="22"/>
      <c r="B9186" s="23"/>
      <c r="C9186" s="23"/>
      <c r="D9186" s="23"/>
      <c r="E9186" s="23"/>
    </row>
    <row r="9187" spans="1:5" x14ac:dyDescent="0.25">
      <c r="A9187" s="22"/>
      <c r="B9187" s="23"/>
      <c r="C9187" s="23"/>
      <c r="D9187" s="23"/>
      <c r="E9187" s="23"/>
    </row>
    <row r="9188" spans="1:5" x14ac:dyDescent="0.25">
      <c r="A9188" s="22"/>
      <c r="B9188" s="23"/>
      <c r="C9188" s="23"/>
      <c r="D9188" s="23"/>
      <c r="E9188" s="23"/>
    </row>
    <row r="9189" spans="1:5" x14ac:dyDescent="0.25">
      <c r="A9189" s="22"/>
      <c r="B9189" s="23"/>
      <c r="C9189" s="23"/>
      <c r="D9189" s="23"/>
      <c r="E9189" s="23"/>
    </row>
    <row r="9190" spans="1:5" x14ac:dyDescent="0.25">
      <c r="A9190" s="22"/>
      <c r="B9190" s="23"/>
      <c r="C9190" s="23"/>
      <c r="D9190" s="23"/>
      <c r="E9190" s="23"/>
    </row>
    <row r="9191" spans="1:5" x14ac:dyDescent="0.25">
      <c r="A9191" s="22"/>
      <c r="B9191" s="23"/>
      <c r="C9191" s="23"/>
      <c r="D9191" s="23"/>
      <c r="E9191" s="23"/>
    </row>
    <row r="9192" spans="1:5" x14ac:dyDescent="0.25">
      <c r="A9192" s="22"/>
      <c r="B9192" s="23"/>
      <c r="C9192" s="23"/>
      <c r="D9192" s="23"/>
      <c r="E9192" s="23"/>
    </row>
    <row r="9193" spans="1:5" x14ac:dyDescent="0.25">
      <c r="A9193" s="22"/>
      <c r="B9193" s="23"/>
      <c r="C9193" s="23"/>
      <c r="D9193" s="23"/>
      <c r="E9193" s="23"/>
    </row>
    <row r="9194" spans="1:5" x14ac:dyDescent="0.25">
      <c r="A9194" s="22"/>
      <c r="B9194" s="23"/>
      <c r="C9194" s="23"/>
      <c r="D9194" s="23"/>
      <c r="E9194" s="23"/>
    </row>
    <row r="9195" spans="1:5" x14ac:dyDescent="0.25">
      <c r="A9195" s="22"/>
      <c r="B9195" s="23"/>
      <c r="C9195" s="23"/>
      <c r="D9195" s="23"/>
      <c r="E9195" s="23"/>
    </row>
    <row r="9196" spans="1:5" x14ac:dyDescent="0.25">
      <c r="A9196" s="22"/>
      <c r="B9196" s="23"/>
      <c r="C9196" s="23"/>
      <c r="D9196" s="23"/>
      <c r="E9196" s="23"/>
    </row>
    <row r="9197" spans="1:5" x14ac:dyDescent="0.25">
      <c r="A9197" s="22"/>
      <c r="B9197" s="23"/>
      <c r="C9197" s="23"/>
      <c r="D9197" s="23"/>
      <c r="E9197" s="23"/>
    </row>
    <row r="9198" spans="1:5" x14ac:dyDescent="0.25">
      <c r="A9198" s="22"/>
      <c r="B9198" s="23"/>
      <c r="C9198" s="23"/>
      <c r="D9198" s="23"/>
      <c r="E9198" s="23"/>
    </row>
    <row r="9199" spans="1:5" x14ac:dyDescent="0.25">
      <c r="A9199" s="22"/>
      <c r="B9199" s="23"/>
      <c r="C9199" s="23"/>
      <c r="D9199" s="23"/>
      <c r="E9199" s="23"/>
    </row>
    <row r="9200" spans="1:5" x14ac:dyDescent="0.25">
      <c r="A9200" s="22"/>
      <c r="B9200" s="23"/>
      <c r="C9200" s="23"/>
      <c r="D9200" s="23"/>
      <c r="E9200" s="23"/>
    </row>
    <row r="9201" spans="1:5" x14ac:dyDescent="0.25">
      <c r="A9201" s="22"/>
      <c r="B9201" s="23"/>
      <c r="C9201" s="23"/>
      <c r="D9201" s="23"/>
      <c r="E9201" s="23"/>
    </row>
    <row r="9202" spans="1:5" x14ac:dyDescent="0.25">
      <c r="A9202" s="22"/>
      <c r="B9202" s="23"/>
      <c r="C9202" s="23"/>
      <c r="D9202" s="23"/>
      <c r="E9202" s="23"/>
    </row>
    <row r="9203" spans="1:5" x14ac:dyDescent="0.25">
      <c r="A9203" s="22"/>
      <c r="B9203" s="23"/>
      <c r="C9203" s="23"/>
      <c r="D9203" s="23"/>
      <c r="E9203" s="23"/>
    </row>
    <row r="9204" spans="1:5" x14ac:dyDescent="0.25">
      <c r="A9204" s="22"/>
      <c r="B9204" s="23"/>
      <c r="C9204" s="23"/>
      <c r="D9204" s="23"/>
      <c r="E9204" s="23"/>
    </row>
    <row r="9205" spans="1:5" x14ac:dyDescent="0.25">
      <c r="A9205" s="22"/>
      <c r="B9205" s="23"/>
      <c r="C9205" s="23"/>
      <c r="D9205" s="23"/>
      <c r="E9205" s="23"/>
    </row>
    <row r="9206" spans="1:5" x14ac:dyDescent="0.25">
      <c r="A9206" s="22"/>
      <c r="B9206" s="23"/>
      <c r="C9206" s="23"/>
      <c r="D9206" s="23"/>
      <c r="E9206" s="23"/>
    </row>
    <row r="9207" spans="1:5" x14ac:dyDescent="0.25">
      <c r="A9207" s="22"/>
      <c r="B9207" s="23"/>
      <c r="C9207" s="23"/>
      <c r="D9207" s="23"/>
      <c r="E9207" s="23"/>
    </row>
    <row r="9208" spans="1:5" x14ac:dyDescent="0.25">
      <c r="A9208" s="22"/>
      <c r="B9208" s="23"/>
      <c r="C9208" s="23"/>
      <c r="D9208" s="23"/>
      <c r="E9208" s="23"/>
    </row>
    <row r="9209" spans="1:5" x14ac:dyDescent="0.25">
      <c r="A9209" s="22"/>
      <c r="B9209" s="23"/>
      <c r="C9209" s="23"/>
      <c r="D9209" s="23"/>
      <c r="E9209" s="23"/>
    </row>
    <row r="9210" spans="1:5" x14ac:dyDescent="0.25">
      <c r="A9210" s="22"/>
      <c r="B9210" s="23"/>
      <c r="C9210" s="23"/>
      <c r="D9210" s="23"/>
      <c r="E9210" s="23"/>
    </row>
    <row r="9211" spans="1:5" x14ac:dyDescent="0.25">
      <c r="A9211" s="22"/>
      <c r="B9211" s="23"/>
      <c r="C9211" s="23"/>
      <c r="D9211" s="23"/>
      <c r="E9211" s="23"/>
    </row>
    <row r="9212" spans="1:5" x14ac:dyDescent="0.25">
      <c r="A9212" s="22"/>
      <c r="B9212" s="23"/>
      <c r="C9212" s="23"/>
      <c r="D9212" s="23"/>
      <c r="E9212" s="23"/>
    </row>
    <row r="9213" spans="1:5" x14ac:dyDescent="0.25">
      <c r="A9213" s="22"/>
      <c r="B9213" s="23"/>
      <c r="C9213" s="23"/>
      <c r="D9213" s="23"/>
      <c r="E9213" s="23"/>
    </row>
    <row r="9214" spans="1:5" x14ac:dyDescent="0.25">
      <c r="A9214" s="22"/>
      <c r="B9214" s="23"/>
      <c r="C9214" s="23"/>
      <c r="D9214" s="23"/>
      <c r="E9214" s="23"/>
    </row>
    <row r="9215" spans="1:5" x14ac:dyDescent="0.25">
      <c r="A9215" s="22"/>
      <c r="B9215" s="23"/>
      <c r="C9215" s="23"/>
      <c r="D9215" s="23"/>
      <c r="E9215" s="23"/>
    </row>
    <row r="9216" spans="1:5" x14ac:dyDescent="0.25">
      <c r="A9216" s="22"/>
      <c r="B9216" s="23"/>
      <c r="C9216" s="23"/>
      <c r="D9216" s="23"/>
      <c r="E9216" s="23"/>
    </row>
    <row r="9217" spans="1:5" x14ac:dyDescent="0.25">
      <c r="A9217" s="22"/>
      <c r="B9217" s="23"/>
      <c r="C9217" s="23"/>
      <c r="D9217" s="23"/>
      <c r="E9217" s="23"/>
    </row>
    <row r="9218" spans="1:5" x14ac:dyDescent="0.25">
      <c r="A9218" s="22"/>
      <c r="B9218" s="23"/>
      <c r="C9218" s="23"/>
      <c r="D9218" s="23"/>
      <c r="E9218" s="23"/>
    </row>
    <row r="9219" spans="1:5" x14ac:dyDescent="0.25">
      <c r="A9219" s="22"/>
      <c r="B9219" s="23"/>
      <c r="C9219" s="23"/>
      <c r="D9219" s="23"/>
      <c r="E9219" s="23"/>
    </row>
    <row r="9220" spans="1:5" x14ac:dyDescent="0.25">
      <c r="A9220" s="22"/>
      <c r="B9220" s="23"/>
      <c r="C9220" s="23"/>
      <c r="D9220" s="23"/>
      <c r="E9220" s="23"/>
    </row>
    <row r="9221" spans="1:5" x14ac:dyDescent="0.25">
      <c r="A9221" s="22"/>
      <c r="B9221" s="23"/>
      <c r="C9221" s="23"/>
      <c r="D9221" s="23"/>
      <c r="E9221" s="23"/>
    </row>
    <row r="9222" spans="1:5" x14ac:dyDescent="0.25">
      <c r="A9222" s="22"/>
      <c r="B9222" s="23"/>
      <c r="C9222" s="23"/>
      <c r="D9222" s="23"/>
      <c r="E9222" s="23"/>
    </row>
    <row r="9223" spans="1:5" x14ac:dyDescent="0.25">
      <c r="A9223" s="22"/>
      <c r="B9223" s="23"/>
      <c r="C9223" s="23"/>
      <c r="D9223" s="23"/>
      <c r="E9223" s="23"/>
    </row>
    <row r="9224" spans="1:5" x14ac:dyDescent="0.25">
      <c r="A9224" s="22"/>
      <c r="B9224" s="23"/>
      <c r="C9224" s="23"/>
      <c r="D9224" s="23"/>
      <c r="E9224" s="23"/>
    </row>
    <row r="9225" spans="1:5" x14ac:dyDescent="0.25">
      <c r="A9225" s="22"/>
      <c r="B9225" s="23"/>
      <c r="C9225" s="23"/>
      <c r="D9225" s="23"/>
      <c r="E9225" s="23"/>
    </row>
    <row r="9226" spans="1:5" x14ac:dyDescent="0.25">
      <c r="A9226" s="22"/>
      <c r="B9226" s="23"/>
      <c r="C9226" s="23"/>
      <c r="D9226" s="23"/>
      <c r="E9226" s="23"/>
    </row>
    <row r="9227" spans="1:5" x14ac:dyDescent="0.25">
      <c r="A9227" s="22"/>
      <c r="B9227" s="23"/>
      <c r="C9227" s="23"/>
      <c r="D9227" s="23"/>
      <c r="E9227" s="23"/>
    </row>
    <row r="9228" spans="1:5" x14ac:dyDescent="0.25">
      <c r="A9228" s="22"/>
      <c r="B9228" s="23"/>
      <c r="C9228" s="23"/>
      <c r="D9228" s="23"/>
      <c r="E9228" s="23"/>
    </row>
    <row r="9229" spans="1:5" x14ac:dyDescent="0.25">
      <c r="A9229" s="22"/>
      <c r="B9229" s="23"/>
      <c r="C9229" s="23"/>
      <c r="D9229" s="23"/>
      <c r="E9229" s="23"/>
    </row>
    <row r="9230" spans="1:5" x14ac:dyDescent="0.25">
      <c r="A9230" s="22"/>
      <c r="B9230" s="23"/>
      <c r="C9230" s="23"/>
      <c r="D9230" s="23"/>
      <c r="E9230" s="23"/>
    </row>
    <row r="9231" spans="1:5" x14ac:dyDescent="0.25">
      <c r="A9231" s="22"/>
      <c r="B9231" s="23"/>
      <c r="C9231" s="23"/>
      <c r="D9231" s="23"/>
      <c r="E9231" s="23"/>
    </row>
    <row r="9232" spans="1:5" x14ac:dyDescent="0.25">
      <c r="A9232" s="22"/>
      <c r="B9232" s="23"/>
      <c r="C9232" s="23"/>
      <c r="D9232" s="23"/>
      <c r="E9232" s="23"/>
    </row>
    <row r="9233" spans="1:5" x14ac:dyDescent="0.25">
      <c r="A9233" s="22"/>
      <c r="B9233" s="23"/>
      <c r="C9233" s="23"/>
      <c r="D9233" s="23"/>
      <c r="E9233" s="23"/>
    </row>
    <row r="9234" spans="1:5" x14ac:dyDescent="0.25">
      <c r="A9234" s="22"/>
      <c r="B9234" s="23"/>
      <c r="C9234" s="23"/>
      <c r="D9234" s="23"/>
      <c r="E9234" s="23"/>
    </row>
    <row r="9235" spans="1:5" x14ac:dyDescent="0.25">
      <c r="A9235" s="22"/>
      <c r="B9235" s="23"/>
      <c r="C9235" s="23"/>
      <c r="D9235" s="23"/>
      <c r="E9235" s="23"/>
    </row>
    <row r="9236" spans="1:5" x14ac:dyDescent="0.25">
      <c r="A9236" s="22"/>
      <c r="B9236" s="23"/>
      <c r="C9236" s="23"/>
      <c r="D9236" s="23"/>
      <c r="E9236" s="23"/>
    </row>
    <row r="9237" spans="1:5" x14ac:dyDescent="0.25">
      <c r="A9237" s="22"/>
      <c r="B9237" s="23"/>
      <c r="C9237" s="23"/>
      <c r="D9237" s="23"/>
      <c r="E9237" s="23"/>
    </row>
    <row r="9238" spans="1:5" x14ac:dyDescent="0.25">
      <c r="A9238" s="22"/>
      <c r="B9238" s="23"/>
      <c r="C9238" s="23"/>
      <c r="D9238" s="23"/>
      <c r="E9238" s="23"/>
    </row>
    <row r="9239" spans="1:5" x14ac:dyDescent="0.25">
      <c r="A9239" s="22"/>
      <c r="B9239" s="23"/>
      <c r="C9239" s="23"/>
      <c r="D9239" s="23"/>
      <c r="E9239" s="23"/>
    </row>
    <row r="9240" spans="1:5" x14ac:dyDescent="0.25">
      <c r="A9240" s="22"/>
      <c r="B9240" s="23"/>
      <c r="C9240" s="23"/>
      <c r="D9240" s="23"/>
      <c r="E9240" s="23"/>
    </row>
    <row r="9241" spans="1:5" x14ac:dyDescent="0.25">
      <c r="A9241" s="22"/>
      <c r="B9241" s="23"/>
      <c r="C9241" s="23"/>
      <c r="D9241" s="23"/>
      <c r="E9241" s="23"/>
    </row>
    <row r="9242" spans="1:5" x14ac:dyDescent="0.25">
      <c r="A9242" s="22"/>
      <c r="B9242" s="23"/>
      <c r="C9242" s="23"/>
      <c r="D9242" s="23"/>
      <c r="E9242" s="23"/>
    </row>
    <row r="9243" spans="1:5" x14ac:dyDescent="0.25">
      <c r="A9243" s="22"/>
      <c r="B9243" s="23"/>
      <c r="C9243" s="23"/>
      <c r="D9243" s="23"/>
      <c r="E9243" s="23"/>
    </row>
    <row r="9244" spans="1:5" x14ac:dyDescent="0.25">
      <c r="A9244" s="22"/>
      <c r="B9244" s="23"/>
      <c r="C9244" s="23"/>
      <c r="D9244" s="23"/>
      <c r="E9244" s="23"/>
    </row>
    <row r="9245" spans="1:5" x14ac:dyDescent="0.25">
      <c r="A9245" s="22"/>
      <c r="B9245" s="23"/>
      <c r="C9245" s="23"/>
      <c r="D9245" s="23"/>
      <c r="E9245" s="23"/>
    </row>
    <row r="9246" spans="1:5" x14ac:dyDescent="0.25">
      <c r="A9246" s="22"/>
      <c r="B9246" s="23"/>
      <c r="C9246" s="23"/>
      <c r="D9246" s="23"/>
      <c r="E9246" s="23"/>
    </row>
    <row r="9247" spans="1:5" x14ac:dyDescent="0.25">
      <c r="A9247" s="22"/>
      <c r="B9247" s="23"/>
      <c r="C9247" s="23"/>
      <c r="D9247" s="23"/>
      <c r="E9247" s="23"/>
    </row>
    <row r="9248" spans="1:5" x14ac:dyDescent="0.25">
      <c r="A9248" s="22"/>
      <c r="B9248" s="23"/>
      <c r="C9248" s="23"/>
      <c r="D9248" s="23"/>
      <c r="E9248" s="23"/>
    </row>
    <row r="9249" spans="1:5" x14ac:dyDescent="0.25">
      <c r="A9249" s="22"/>
      <c r="B9249" s="23"/>
      <c r="C9249" s="23"/>
      <c r="D9249" s="23"/>
      <c r="E9249" s="23"/>
    </row>
    <row r="9250" spans="1:5" x14ac:dyDescent="0.25">
      <c r="A9250" s="22"/>
      <c r="B9250" s="23"/>
      <c r="C9250" s="23"/>
      <c r="D9250" s="23"/>
      <c r="E9250" s="23"/>
    </row>
    <row r="9251" spans="1:5" x14ac:dyDescent="0.25">
      <c r="A9251" s="22"/>
      <c r="B9251" s="23"/>
      <c r="C9251" s="23"/>
      <c r="D9251" s="23"/>
      <c r="E9251" s="23"/>
    </row>
    <row r="9252" spans="1:5" x14ac:dyDescent="0.25">
      <c r="A9252" s="22"/>
      <c r="B9252" s="23"/>
      <c r="C9252" s="23"/>
      <c r="D9252" s="23"/>
      <c r="E9252" s="23"/>
    </row>
    <row r="9253" spans="1:5" x14ac:dyDescent="0.25">
      <c r="A9253" s="22"/>
      <c r="B9253" s="23"/>
      <c r="C9253" s="23"/>
      <c r="D9253" s="23"/>
      <c r="E9253" s="23"/>
    </row>
    <row r="9254" spans="1:5" x14ac:dyDescent="0.25">
      <c r="A9254" s="22"/>
      <c r="B9254" s="23"/>
      <c r="C9254" s="23"/>
      <c r="D9254" s="23"/>
      <c r="E9254" s="23"/>
    </row>
    <row r="9255" spans="1:5" x14ac:dyDescent="0.25">
      <c r="A9255" s="22"/>
      <c r="B9255" s="23"/>
      <c r="C9255" s="23"/>
      <c r="D9255" s="23"/>
      <c r="E9255" s="23"/>
    </row>
    <row r="9256" spans="1:5" x14ac:dyDescent="0.25">
      <c r="A9256" s="22"/>
      <c r="B9256" s="23"/>
      <c r="C9256" s="23"/>
      <c r="D9256" s="23"/>
      <c r="E9256" s="23"/>
    </row>
    <row r="9257" spans="1:5" x14ac:dyDescent="0.25">
      <c r="A9257" s="22"/>
      <c r="B9257" s="23"/>
      <c r="C9257" s="23"/>
      <c r="D9257" s="23"/>
      <c r="E9257" s="23"/>
    </row>
    <row r="9258" spans="1:5" x14ac:dyDescent="0.25">
      <c r="A9258" s="22"/>
      <c r="B9258" s="23"/>
      <c r="C9258" s="23"/>
      <c r="D9258" s="23"/>
      <c r="E9258" s="23"/>
    </row>
    <row r="9259" spans="1:5" x14ac:dyDescent="0.25">
      <c r="A9259" s="22"/>
      <c r="B9259" s="23"/>
      <c r="C9259" s="23"/>
      <c r="D9259" s="23"/>
      <c r="E9259" s="23"/>
    </row>
    <row r="9260" spans="1:5" x14ac:dyDescent="0.25">
      <c r="A9260" s="22"/>
      <c r="B9260" s="23"/>
      <c r="C9260" s="23"/>
      <c r="D9260" s="23"/>
      <c r="E9260" s="23"/>
    </row>
    <row r="9261" spans="1:5" x14ac:dyDescent="0.25">
      <c r="A9261" s="22"/>
      <c r="B9261" s="23"/>
      <c r="C9261" s="23"/>
      <c r="D9261" s="23"/>
      <c r="E9261" s="23"/>
    </row>
    <row r="9262" spans="1:5" x14ac:dyDescent="0.25">
      <c r="A9262" s="22"/>
      <c r="B9262" s="23"/>
      <c r="C9262" s="23"/>
      <c r="D9262" s="23"/>
      <c r="E9262" s="23"/>
    </row>
    <row r="9263" spans="1:5" x14ac:dyDescent="0.25">
      <c r="A9263" s="22"/>
      <c r="B9263" s="23"/>
      <c r="C9263" s="23"/>
      <c r="D9263" s="23"/>
      <c r="E9263" s="23"/>
    </row>
    <row r="9264" spans="1:5" x14ac:dyDescent="0.25">
      <c r="A9264" s="22"/>
      <c r="B9264" s="23"/>
      <c r="C9264" s="23"/>
      <c r="D9264" s="23"/>
      <c r="E9264" s="23"/>
    </row>
    <row r="9265" spans="1:5" x14ac:dyDescent="0.25">
      <c r="A9265" s="22"/>
      <c r="B9265" s="23"/>
      <c r="C9265" s="23"/>
      <c r="D9265" s="23"/>
      <c r="E9265" s="23"/>
    </row>
    <row r="9266" spans="1:5" x14ac:dyDescent="0.25">
      <c r="A9266" s="22"/>
      <c r="B9266" s="23"/>
      <c r="C9266" s="23"/>
      <c r="D9266" s="23"/>
      <c r="E9266" s="23"/>
    </row>
    <row r="9267" spans="1:5" x14ac:dyDescent="0.25">
      <c r="A9267" s="22"/>
      <c r="B9267" s="23"/>
      <c r="C9267" s="23"/>
      <c r="D9267" s="23"/>
      <c r="E9267" s="23"/>
    </row>
    <row r="9268" spans="1:5" x14ac:dyDescent="0.25">
      <c r="A9268" s="22"/>
      <c r="B9268" s="23"/>
      <c r="C9268" s="23"/>
      <c r="D9268" s="23"/>
      <c r="E9268" s="23"/>
    </row>
    <row r="9269" spans="1:5" x14ac:dyDescent="0.25">
      <c r="A9269" s="22"/>
      <c r="B9269" s="23"/>
      <c r="C9269" s="23"/>
      <c r="D9269" s="23"/>
      <c r="E9269" s="23"/>
    </row>
    <row r="9270" spans="1:5" x14ac:dyDescent="0.25">
      <c r="A9270" s="22"/>
      <c r="B9270" s="23"/>
      <c r="C9270" s="23"/>
      <c r="D9270" s="23"/>
      <c r="E9270" s="23"/>
    </row>
    <row r="9271" spans="1:5" x14ac:dyDescent="0.25">
      <c r="A9271" s="22"/>
      <c r="B9271" s="23"/>
      <c r="C9271" s="23"/>
      <c r="D9271" s="23"/>
      <c r="E9271" s="23"/>
    </row>
    <row r="9272" spans="1:5" x14ac:dyDescent="0.25">
      <c r="A9272" s="22"/>
      <c r="B9272" s="23"/>
      <c r="C9272" s="23"/>
      <c r="D9272" s="23"/>
      <c r="E9272" s="23"/>
    </row>
    <row r="9273" spans="1:5" x14ac:dyDescent="0.25">
      <c r="A9273" s="22"/>
      <c r="B9273" s="23"/>
      <c r="C9273" s="23"/>
      <c r="D9273" s="23"/>
      <c r="E9273" s="23"/>
    </row>
    <row r="9274" spans="1:5" x14ac:dyDescent="0.25">
      <c r="A9274" s="22"/>
      <c r="B9274" s="23"/>
      <c r="C9274" s="23"/>
      <c r="D9274" s="23"/>
      <c r="E9274" s="23"/>
    </row>
    <row r="9275" spans="1:5" x14ac:dyDescent="0.25">
      <c r="A9275" s="22"/>
      <c r="B9275" s="23"/>
      <c r="C9275" s="23"/>
      <c r="D9275" s="23"/>
      <c r="E9275" s="23"/>
    </row>
    <row r="9276" spans="1:5" x14ac:dyDescent="0.25">
      <c r="A9276" s="22"/>
      <c r="B9276" s="23"/>
      <c r="C9276" s="23"/>
      <c r="D9276" s="23"/>
      <c r="E9276" s="23"/>
    </row>
    <row r="9277" spans="1:5" x14ac:dyDescent="0.25">
      <c r="A9277" s="22"/>
      <c r="B9277" s="23"/>
      <c r="C9277" s="23"/>
      <c r="D9277" s="23"/>
      <c r="E9277" s="23"/>
    </row>
    <row r="9278" spans="1:5" x14ac:dyDescent="0.25">
      <c r="A9278" s="22"/>
      <c r="B9278" s="23"/>
      <c r="C9278" s="23"/>
      <c r="D9278" s="23"/>
      <c r="E9278" s="23"/>
    </row>
    <row r="9279" spans="1:5" x14ac:dyDescent="0.25">
      <c r="A9279" s="22"/>
      <c r="B9279" s="23"/>
      <c r="C9279" s="23"/>
      <c r="D9279" s="23"/>
      <c r="E9279" s="23"/>
    </row>
    <row r="9280" spans="1:5" x14ac:dyDescent="0.25">
      <c r="A9280" s="22"/>
      <c r="B9280" s="23"/>
      <c r="C9280" s="23"/>
      <c r="D9280" s="23"/>
      <c r="E9280" s="23"/>
    </row>
    <row r="9281" spans="1:5" x14ac:dyDescent="0.25">
      <c r="A9281" s="22"/>
      <c r="B9281" s="23"/>
      <c r="C9281" s="23"/>
      <c r="D9281" s="23"/>
      <c r="E9281" s="23"/>
    </row>
    <row r="9282" spans="1:5" x14ac:dyDescent="0.25">
      <c r="A9282" s="22"/>
      <c r="B9282" s="23"/>
      <c r="C9282" s="23"/>
      <c r="D9282" s="23"/>
      <c r="E9282" s="23"/>
    </row>
    <row r="9283" spans="1:5" x14ac:dyDescent="0.25">
      <c r="A9283" s="22"/>
      <c r="B9283" s="23"/>
      <c r="C9283" s="23"/>
      <c r="D9283" s="23"/>
      <c r="E9283" s="23"/>
    </row>
    <row r="9284" spans="1:5" x14ac:dyDescent="0.25">
      <c r="A9284" s="22"/>
      <c r="B9284" s="23"/>
      <c r="C9284" s="23"/>
      <c r="D9284" s="23"/>
      <c r="E9284" s="23"/>
    </row>
    <row r="9285" spans="1:5" x14ac:dyDescent="0.25">
      <c r="A9285" s="22"/>
      <c r="B9285" s="23"/>
      <c r="C9285" s="23"/>
      <c r="D9285" s="23"/>
      <c r="E9285" s="23"/>
    </row>
    <row r="9286" spans="1:5" x14ac:dyDescent="0.25">
      <c r="A9286" s="22"/>
      <c r="B9286" s="23"/>
      <c r="C9286" s="23"/>
      <c r="D9286" s="23"/>
      <c r="E9286" s="23"/>
    </row>
    <row r="9287" spans="1:5" x14ac:dyDescent="0.25">
      <c r="A9287" s="22"/>
      <c r="B9287" s="23"/>
      <c r="C9287" s="23"/>
      <c r="D9287" s="23"/>
      <c r="E9287" s="23"/>
    </row>
    <row r="9288" spans="1:5" x14ac:dyDescent="0.25">
      <c r="A9288" s="22"/>
      <c r="B9288" s="23"/>
      <c r="C9288" s="23"/>
      <c r="D9288" s="23"/>
      <c r="E9288" s="23"/>
    </row>
    <row r="9289" spans="1:5" x14ac:dyDescent="0.25">
      <c r="A9289" s="22"/>
      <c r="B9289" s="23"/>
      <c r="C9289" s="23"/>
      <c r="D9289" s="23"/>
      <c r="E9289" s="23"/>
    </row>
    <row r="9290" spans="1:5" x14ac:dyDescent="0.25">
      <c r="A9290" s="22"/>
      <c r="B9290" s="23"/>
      <c r="C9290" s="23"/>
      <c r="D9290" s="23"/>
      <c r="E9290" s="23"/>
    </row>
    <row r="9291" spans="1:5" x14ac:dyDescent="0.25">
      <c r="A9291" s="22"/>
      <c r="B9291" s="23"/>
      <c r="C9291" s="23"/>
      <c r="D9291" s="23"/>
      <c r="E9291" s="23"/>
    </row>
    <row r="9292" spans="1:5" x14ac:dyDescent="0.25">
      <c r="A9292" s="22"/>
      <c r="B9292" s="23"/>
      <c r="C9292" s="23"/>
      <c r="D9292" s="23"/>
      <c r="E9292" s="23"/>
    </row>
    <row r="9293" spans="1:5" x14ac:dyDescent="0.25">
      <c r="A9293" s="22"/>
      <c r="B9293" s="23"/>
      <c r="C9293" s="23"/>
      <c r="D9293" s="23"/>
      <c r="E9293" s="23"/>
    </row>
    <row r="9294" spans="1:5" x14ac:dyDescent="0.25">
      <c r="A9294" s="22"/>
      <c r="B9294" s="23"/>
      <c r="C9294" s="23"/>
      <c r="D9294" s="23"/>
      <c r="E9294" s="23"/>
    </row>
    <row r="9295" spans="1:5" x14ac:dyDescent="0.25">
      <c r="A9295" s="22"/>
      <c r="B9295" s="23"/>
      <c r="C9295" s="23"/>
      <c r="D9295" s="23"/>
      <c r="E9295" s="23"/>
    </row>
    <row r="9296" spans="1:5" x14ac:dyDescent="0.25">
      <c r="A9296" s="22"/>
      <c r="B9296" s="23"/>
      <c r="C9296" s="23"/>
      <c r="D9296" s="23"/>
      <c r="E9296" s="23"/>
    </row>
    <row r="9297" spans="1:5" x14ac:dyDescent="0.25">
      <c r="A9297" s="22"/>
      <c r="B9297" s="23"/>
      <c r="C9297" s="23"/>
      <c r="D9297" s="23"/>
      <c r="E9297" s="23"/>
    </row>
    <row r="9298" spans="1:5" x14ac:dyDescent="0.25">
      <c r="A9298" s="22"/>
      <c r="B9298" s="23"/>
      <c r="C9298" s="23"/>
      <c r="D9298" s="23"/>
      <c r="E9298" s="23"/>
    </row>
    <row r="9299" spans="1:5" x14ac:dyDescent="0.25">
      <c r="A9299" s="22"/>
      <c r="B9299" s="23"/>
      <c r="C9299" s="23"/>
      <c r="D9299" s="23"/>
      <c r="E9299" s="23"/>
    </row>
    <row r="9300" spans="1:5" x14ac:dyDescent="0.25">
      <c r="A9300" s="22"/>
      <c r="B9300" s="23"/>
      <c r="C9300" s="23"/>
      <c r="D9300" s="23"/>
      <c r="E9300" s="23"/>
    </row>
    <row r="9301" spans="1:5" x14ac:dyDescent="0.25">
      <c r="A9301" s="22"/>
      <c r="B9301" s="23"/>
      <c r="C9301" s="23"/>
      <c r="D9301" s="23"/>
      <c r="E9301" s="23"/>
    </row>
    <row r="9302" spans="1:5" x14ac:dyDescent="0.25">
      <c r="A9302" s="22"/>
      <c r="B9302" s="23"/>
      <c r="C9302" s="23"/>
      <c r="D9302" s="23"/>
      <c r="E9302" s="23"/>
    </row>
    <row r="9303" spans="1:5" x14ac:dyDescent="0.25">
      <c r="A9303" s="22"/>
      <c r="B9303" s="23"/>
      <c r="C9303" s="23"/>
      <c r="D9303" s="23"/>
      <c r="E9303" s="23"/>
    </row>
    <row r="9304" spans="1:5" x14ac:dyDescent="0.25">
      <c r="A9304" s="22"/>
      <c r="B9304" s="23"/>
      <c r="C9304" s="23"/>
      <c r="D9304" s="23"/>
      <c r="E9304" s="23"/>
    </row>
    <row r="9305" spans="1:5" x14ac:dyDescent="0.25">
      <c r="A9305" s="22"/>
      <c r="B9305" s="23"/>
      <c r="C9305" s="23"/>
      <c r="D9305" s="23"/>
      <c r="E9305" s="23"/>
    </row>
    <row r="9306" spans="1:5" x14ac:dyDescent="0.25">
      <c r="A9306" s="22"/>
      <c r="B9306" s="23"/>
      <c r="C9306" s="23"/>
      <c r="D9306" s="23"/>
      <c r="E9306" s="23"/>
    </row>
    <row r="9307" spans="1:5" x14ac:dyDescent="0.25">
      <c r="A9307" s="22"/>
      <c r="B9307" s="23"/>
      <c r="C9307" s="23"/>
      <c r="D9307" s="23"/>
      <c r="E9307" s="23"/>
    </row>
    <row r="9308" spans="1:5" x14ac:dyDescent="0.25">
      <c r="A9308" s="22"/>
      <c r="B9308" s="23"/>
      <c r="C9308" s="23"/>
      <c r="D9308" s="23"/>
      <c r="E9308" s="23"/>
    </row>
    <row r="9309" spans="1:5" x14ac:dyDescent="0.25">
      <c r="A9309" s="22"/>
      <c r="B9309" s="23"/>
      <c r="C9309" s="23"/>
      <c r="D9309" s="23"/>
      <c r="E9309" s="23"/>
    </row>
    <row r="9310" spans="1:5" x14ac:dyDescent="0.25">
      <c r="A9310" s="22"/>
      <c r="B9310" s="23"/>
      <c r="C9310" s="23"/>
      <c r="D9310" s="23"/>
      <c r="E9310" s="23"/>
    </row>
    <row r="9311" spans="1:5" x14ac:dyDescent="0.25">
      <c r="A9311" s="22"/>
      <c r="B9311" s="23"/>
      <c r="C9311" s="23"/>
      <c r="D9311" s="23"/>
      <c r="E9311" s="23"/>
    </row>
    <row r="9312" spans="1:5" x14ac:dyDescent="0.25">
      <c r="A9312" s="22"/>
      <c r="B9312" s="23"/>
      <c r="C9312" s="23"/>
      <c r="D9312" s="23"/>
      <c r="E9312" s="23"/>
    </row>
    <row r="9313" spans="1:5" x14ac:dyDescent="0.25">
      <c r="A9313" s="22"/>
      <c r="B9313" s="23"/>
      <c r="C9313" s="23"/>
      <c r="D9313" s="23"/>
      <c r="E9313" s="23"/>
    </row>
    <row r="9314" spans="1:5" x14ac:dyDescent="0.25">
      <c r="A9314" s="22"/>
      <c r="B9314" s="23"/>
      <c r="C9314" s="23"/>
      <c r="D9314" s="23"/>
      <c r="E9314" s="23"/>
    </row>
    <row r="9315" spans="1:5" x14ac:dyDescent="0.25">
      <c r="A9315" s="22"/>
      <c r="B9315" s="23"/>
      <c r="C9315" s="23"/>
      <c r="D9315" s="23"/>
      <c r="E9315" s="23"/>
    </row>
    <row r="9316" spans="1:5" x14ac:dyDescent="0.25">
      <c r="A9316" s="22"/>
      <c r="B9316" s="23"/>
      <c r="C9316" s="23"/>
      <c r="D9316" s="23"/>
      <c r="E9316" s="23"/>
    </row>
    <row r="9317" spans="1:5" x14ac:dyDescent="0.25">
      <c r="A9317" s="22"/>
      <c r="B9317" s="23"/>
      <c r="C9317" s="23"/>
      <c r="D9317" s="23"/>
      <c r="E9317" s="23"/>
    </row>
    <row r="9318" spans="1:5" x14ac:dyDescent="0.25">
      <c r="A9318" s="22"/>
      <c r="B9318" s="23"/>
      <c r="C9318" s="23"/>
      <c r="D9318" s="23"/>
      <c r="E9318" s="23"/>
    </row>
    <row r="9319" spans="1:5" x14ac:dyDescent="0.25">
      <c r="A9319" s="22"/>
      <c r="B9319" s="23"/>
      <c r="C9319" s="23"/>
      <c r="D9319" s="23"/>
      <c r="E9319" s="23"/>
    </row>
    <row r="9320" spans="1:5" x14ac:dyDescent="0.25">
      <c r="A9320" s="22"/>
      <c r="B9320" s="23"/>
      <c r="C9320" s="23"/>
      <c r="D9320" s="23"/>
      <c r="E9320" s="23"/>
    </row>
    <row r="9321" spans="1:5" x14ac:dyDescent="0.25">
      <c r="A9321" s="22"/>
      <c r="B9321" s="23"/>
      <c r="C9321" s="23"/>
      <c r="D9321" s="23"/>
      <c r="E9321" s="23"/>
    </row>
    <row r="9322" spans="1:5" x14ac:dyDescent="0.25">
      <c r="A9322" s="22"/>
      <c r="B9322" s="23"/>
      <c r="C9322" s="23"/>
      <c r="D9322" s="23"/>
      <c r="E9322" s="23"/>
    </row>
    <row r="9323" spans="1:5" x14ac:dyDescent="0.25">
      <c r="A9323" s="22"/>
      <c r="B9323" s="23"/>
      <c r="C9323" s="23"/>
      <c r="D9323" s="23"/>
      <c r="E9323" s="23"/>
    </row>
    <row r="9324" spans="1:5" x14ac:dyDescent="0.25">
      <c r="A9324" s="22"/>
      <c r="B9324" s="23"/>
      <c r="C9324" s="23"/>
      <c r="D9324" s="23"/>
      <c r="E9324" s="23"/>
    </row>
    <row r="9325" spans="1:5" x14ac:dyDescent="0.25">
      <c r="A9325" s="22"/>
      <c r="B9325" s="23"/>
      <c r="C9325" s="23"/>
      <c r="D9325" s="23"/>
      <c r="E9325" s="23"/>
    </row>
    <row r="9326" spans="1:5" x14ac:dyDescent="0.25">
      <c r="A9326" s="22"/>
      <c r="B9326" s="23"/>
      <c r="C9326" s="23"/>
      <c r="D9326" s="23"/>
      <c r="E9326" s="23"/>
    </row>
    <row r="9327" spans="1:5" x14ac:dyDescent="0.25">
      <c r="A9327" s="22"/>
      <c r="B9327" s="23"/>
      <c r="C9327" s="23"/>
      <c r="D9327" s="23"/>
      <c r="E9327" s="23"/>
    </row>
    <row r="9328" spans="1:5" x14ac:dyDescent="0.25">
      <c r="A9328" s="22"/>
      <c r="B9328" s="23"/>
      <c r="C9328" s="23"/>
      <c r="D9328" s="23"/>
      <c r="E9328" s="23"/>
    </row>
    <row r="9329" spans="1:5" x14ac:dyDescent="0.25">
      <c r="A9329" s="22"/>
      <c r="B9329" s="23"/>
      <c r="C9329" s="23"/>
      <c r="D9329" s="23"/>
      <c r="E9329" s="23"/>
    </row>
    <row r="9330" spans="1:5" x14ac:dyDescent="0.25">
      <c r="A9330" s="22"/>
      <c r="B9330" s="23"/>
      <c r="C9330" s="23"/>
      <c r="D9330" s="23"/>
      <c r="E9330" s="23"/>
    </row>
    <row r="9331" spans="1:5" x14ac:dyDescent="0.25">
      <c r="A9331" s="22"/>
      <c r="B9331" s="23"/>
      <c r="C9331" s="23"/>
      <c r="D9331" s="23"/>
      <c r="E9331" s="23"/>
    </row>
    <row r="9332" spans="1:5" x14ac:dyDescent="0.25">
      <c r="A9332" s="22"/>
      <c r="B9332" s="23"/>
      <c r="C9332" s="23"/>
      <c r="D9332" s="23"/>
      <c r="E9332" s="23"/>
    </row>
    <row r="9333" spans="1:5" x14ac:dyDescent="0.25">
      <c r="A9333" s="22"/>
      <c r="B9333" s="23"/>
      <c r="C9333" s="23"/>
      <c r="D9333" s="23"/>
      <c r="E9333" s="23"/>
    </row>
    <row r="9334" spans="1:5" x14ac:dyDescent="0.25">
      <c r="A9334" s="22"/>
      <c r="B9334" s="23"/>
      <c r="C9334" s="23"/>
      <c r="D9334" s="23"/>
      <c r="E9334" s="23"/>
    </row>
    <row r="9335" spans="1:5" x14ac:dyDescent="0.25">
      <c r="A9335" s="22"/>
      <c r="B9335" s="23"/>
      <c r="C9335" s="23"/>
      <c r="D9335" s="23"/>
      <c r="E9335" s="23"/>
    </row>
    <row r="9336" spans="1:5" x14ac:dyDescent="0.25">
      <c r="A9336" s="22"/>
      <c r="B9336" s="23"/>
      <c r="C9336" s="23"/>
      <c r="D9336" s="23"/>
      <c r="E9336" s="23"/>
    </row>
    <row r="9337" spans="1:5" x14ac:dyDescent="0.25">
      <c r="A9337" s="22"/>
      <c r="B9337" s="23"/>
      <c r="C9337" s="23"/>
      <c r="D9337" s="23"/>
      <c r="E9337" s="23"/>
    </row>
    <row r="9338" spans="1:5" x14ac:dyDescent="0.25">
      <c r="A9338" s="22"/>
      <c r="B9338" s="23"/>
      <c r="C9338" s="23"/>
      <c r="D9338" s="23"/>
      <c r="E9338" s="23"/>
    </row>
    <row r="9339" spans="1:5" x14ac:dyDescent="0.25">
      <c r="A9339" s="22"/>
      <c r="B9339" s="23"/>
      <c r="C9339" s="23"/>
      <c r="D9339" s="23"/>
      <c r="E9339" s="23"/>
    </row>
    <row r="9340" spans="1:5" x14ac:dyDescent="0.25">
      <c r="A9340" s="22"/>
      <c r="B9340" s="23"/>
      <c r="C9340" s="23"/>
      <c r="D9340" s="23"/>
      <c r="E9340" s="23"/>
    </row>
    <row r="9341" spans="1:5" x14ac:dyDescent="0.25">
      <c r="A9341" s="22"/>
      <c r="B9341" s="23"/>
      <c r="C9341" s="23"/>
      <c r="D9341" s="23"/>
      <c r="E9341" s="23"/>
    </row>
    <row r="9342" spans="1:5" x14ac:dyDescent="0.25">
      <c r="A9342" s="22"/>
      <c r="B9342" s="23"/>
      <c r="C9342" s="23"/>
      <c r="D9342" s="23"/>
      <c r="E9342" s="23"/>
    </row>
    <row r="9343" spans="1:5" x14ac:dyDescent="0.25">
      <c r="A9343" s="22"/>
      <c r="B9343" s="23"/>
      <c r="C9343" s="23"/>
      <c r="D9343" s="23"/>
      <c r="E9343" s="23"/>
    </row>
    <row r="9344" spans="1:5" x14ac:dyDescent="0.25">
      <c r="A9344" s="22"/>
      <c r="B9344" s="23"/>
      <c r="C9344" s="23"/>
      <c r="D9344" s="23"/>
      <c r="E9344" s="23"/>
    </row>
    <row r="9345" spans="1:5" x14ac:dyDescent="0.25">
      <c r="A9345" s="22"/>
      <c r="B9345" s="23"/>
      <c r="C9345" s="23"/>
      <c r="D9345" s="23"/>
      <c r="E9345" s="23"/>
    </row>
    <row r="9346" spans="1:5" x14ac:dyDescent="0.25">
      <c r="A9346" s="22"/>
      <c r="B9346" s="23"/>
      <c r="C9346" s="23"/>
      <c r="D9346" s="23"/>
      <c r="E9346" s="23"/>
    </row>
    <row r="9347" spans="1:5" x14ac:dyDescent="0.25">
      <c r="A9347" s="22"/>
      <c r="B9347" s="23"/>
      <c r="C9347" s="23"/>
      <c r="D9347" s="23"/>
      <c r="E9347" s="23"/>
    </row>
    <row r="9348" spans="1:5" x14ac:dyDescent="0.25">
      <c r="A9348" s="22"/>
      <c r="B9348" s="23"/>
      <c r="C9348" s="23"/>
      <c r="D9348" s="23"/>
      <c r="E9348" s="23"/>
    </row>
    <row r="9349" spans="1:5" x14ac:dyDescent="0.25">
      <c r="A9349" s="22"/>
      <c r="B9349" s="23"/>
      <c r="C9349" s="23"/>
      <c r="D9349" s="23"/>
      <c r="E9349" s="23"/>
    </row>
    <row r="9350" spans="1:5" x14ac:dyDescent="0.25">
      <c r="A9350" s="22"/>
      <c r="B9350" s="23"/>
      <c r="C9350" s="23"/>
      <c r="D9350" s="23"/>
      <c r="E9350" s="23"/>
    </row>
    <row r="9351" spans="1:5" x14ac:dyDescent="0.25">
      <c r="A9351" s="22"/>
      <c r="B9351" s="23"/>
      <c r="C9351" s="23"/>
      <c r="D9351" s="23"/>
      <c r="E9351" s="23"/>
    </row>
    <row r="9352" spans="1:5" x14ac:dyDescent="0.25">
      <c r="A9352" s="22"/>
      <c r="B9352" s="23"/>
      <c r="C9352" s="23"/>
      <c r="D9352" s="23"/>
      <c r="E9352" s="23"/>
    </row>
    <row r="9353" spans="1:5" x14ac:dyDescent="0.25">
      <c r="A9353" s="22"/>
      <c r="B9353" s="23"/>
      <c r="C9353" s="23"/>
      <c r="D9353" s="23"/>
      <c r="E9353" s="23"/>
    </row>
    <row r="9354" spans="1:5" x14ac:dyDescent="0.25">
      <c r="A9354" s="22"/>
      <c r="B9354" s="23"/>
      <c r="C9354" s="23"/>
      <c r="D9354" s="23"/>
      <c r="E9354" s="23"/>
    </row>
    <row r="9355" spans="1:5" x14ac:dyDescent="0.25">
      <c r="A9355" s="22"/>
      <c r="B9355" s="23"/>
      <c r="C9355" s="23"/>
      <c r="D9355" s="23"/>
      <c r="E9355" s="23"/>
    </row>
    <row r="9356" spans="1:5" x14ac:dyDescent="0.25">
      <c r="A9356" s="22"/>
      <c r="B9356" s="23"/>
      <c r="C9356" s="23"/>
      <c r="D9356" s="23"/>
      <c r="E9356" s="23"/>
    </row>
    <row r="9357" spans="1:5" x14ac:dyDescent="0.25">
      <c r="A9357" s="22"/>
      <c r="B9357" s="23"/>
      <c r="C9357" s="23"/>
      <c r="D9357" s="23"/>
      <c r="E9357" s="23"/>
    </row>
    <row r="9358" spans="1:5" x14ac:dyDescent="0.25">
      <c r="A9358" s="22"/>
      <c r="B9358" s="23"/>
      <c r="C9358" s="23"/>
      <c r="D9358" s="23"/>
      <c r="E9358" s="23"/>
    </row>
    <row r="9359" spans="1:5" x14ac:dyDescent="0.25">
      <c r="A9359" s="22"/>
      <c r="B9359" s="23"/>
      <c r="C9359" s="23"/>
      <c r="D9359" s="23"/>
      <c r="E9359" s="23"/>
    </row>
    <row r="9360" spans="1:5" x14ac:dyDescent="0.25">
      <c r="A9360" s="22"/>
      <c r="B9360" s="23"/>
      <c r="C9360" s="23"/>
      <c r="D9360" s="23"/>
      <c r="E9360" s="23"/>
    </row>
    <row r="9361" spans="1:5" x14ac:dyDescent="0.25">
      <c r="A9361" s="22"/>
      <c r="B9361" s="23"/>
      <c r="C9361" s="23"/>
      <c r="D9361" s="23"/>
      <c r="E9361" s="23"/>
    </row>
    <row r="9362" spans="1:5" x14ac:dyDescent="0.25">
      <c r="A9362" s="22"/>
      <c r="B9362" s="23"/>
      <c r="C9362" s="23"/>
      <c r="D9362" s="23"/>
      <c r="E9362" s="23"/>
    </row>
    <row r="9363" spans="1:5" x14ac:dyDescent="0.25">
      <c r="A9363" s="22"/>
      <c r="B9363" s="23"/>
      <c r="C9363" s="23"/>
      <c r="D9363" s="23"/>
      <c r="E9363" s="23"/>
    </row>
    <row r="9364" spans="1:5" x14ac:dyDescent="0.25">
      <c r="A9364" s="22"/>
      <c r="B9364" s="23"/>
      <c r="C9364" s="23"/>
      <c r="D9364" s="23"/>
      <c r="E9364" s="23"/>
    </row>
    <row r="9365" spans="1:5" x14ac:dyDescent="0.25">
      <c r="A9365" s="22"/>
      <c r="B9365" s="23"/>
      <c r="C9365" s="23"/>
      <c r="D9365" s="23"/>
      <c r="E9365" s="23"/>
    </row>
    <row r="9366" spans="1:5" x14ac:dyDescent="0.25">
      <c r="A9366" s="22"/>
      <c r="B9366" s="23"/>
      <c r="C9366" s="23"/>
      <c r="D9366" s="23"/>
      <c r="E9366" s="23"/>
    </row>
    <row r="9367" spans="1:5" x14ac:dyDescent="0.25">
      <c r="A9367" s="22"/>
      <c r="B9367" s="23"/>
      <c r="C9367" s="23"/>
      <c r="D9367" s="23"/>
      <c r="E9367" s="23"/>
    </row>
    <row r="9368" spans="1:5" x14ac:dyDescent="0.25">
      <c r="A9368" s="22"/>
      <c r="B9368" s="23"/>
      <c r="C9368" s="23"/>
      <c r="D9368" s="23"/>
      <c r="E9368" s="23"/>
    </row>
    <row r="9369" spans="1:5" x14ac:dyDescent="0.25">
      <c r="A9369" s="22"/>
      <c r="B9369" s="23"/>
      <c r="C9369" s="23"/>
      <c r="D9369" s="23"/>
      <c r="E9369" s="23"/>
    </row>
    <row r="9370" spans="1:5" x14ac:dyDescent="0.25">
      <c r="A9370" s="22"/>
      <c r="B9370" s="23"/>
      <c r="C9370" s="23"/>
      <c r="D9370" s="23"/>
      <c r="E9370" s="23"/>
    </row>
    <row r="9371" spans="1:5" x14ac:dyDescent="0.25">
      <c r="A9371" s="22"/>
      <c r="B9371" s="23"/>
      <c r="C9371" s="23"/>
      <c r="D9371" s="23"/>
      <c r="E9371" s="23"/>
    </row>
    <row r="9372" spans="1:5" x14ac:dyDescent="0.25">
      <c r="A9372" s="22"/>
      <c r="B9372" s="23"/>
      <c r="C9372" s="23"/>
      <c r="D9372" s="23"/>
      <c r="E9372" s="23"/>
    </row>
    <row r="9373" spans="1:5" x14ac:dyDescent="0.25">
      <c r="A9373" s="22"/>
      <c r="B9373" s="23"/>
      <c r="C9373" s="23"/>
      <c r="D9373" s="23"/>
      <c r="E9373" s="23"/>
    </row>
    <row r="9374" spans="1:5" x14ac:dyDescent="0.25">
      <c r="A9374" s="22"/>
      <c r="B9374" s="23"/>
      <c r="C9374" s="23"/>
      <c r="D9374" s="23"/>
      <c r="E9374" s="23"/>
    </row>
    <row r="9375" spans="1:5" x14ac:dyDescent="0.25">
      <c r="A9375" s="22"/>
      <c r="B9375" s="23"/>
      <c r="C9375" s="23"/>
      <c r="D9375" s="23"/>
      <c r="E9375" s="23"/>
    </row>
    <row r="9376" spans="1:5" x14ac:dyDescent="0.25">
      <c r="A9376" s="22"/>
      <c r="B9376" s="23"/>
      <c r="C9376" s="23"/>
      <c r="D9376" s="23"/>
      <c r="E9376" s="23"/>
    </row>
    <row r="9377" spans="1:5" x14ac:dyDescent="0.25">
      <c r="A9377" s="22"/>
      <c r="B9377" s="23"/>
      <c r="C9377" s="23"/>
      <c r="D9377" s="23"/>
      <c r="E9377" s="23"/>
    </row>
    <row r="9378" spans="1:5" x14ac:dyDescent="0.25">
      <c r="A9378" s="22"/>
      <c r="B9378" s="23"/>
      <c r="C9378" s="23"/>
      <c r="D9378" s="23"/>
      <c r="E9378" s="23"/>
    </row>
    <row r="9379" spans="1:5" x14ac:dyDescent="0.25">
      <c r="A9379" s="22"/>
      <c r="B9379" s="23"/>
      <c r="C9379" s="23"/>
      <c r="D9379" s="23"/>
      <c r="E9379" s="23"/>
    </row>
    <row r="9380" spans="1:5" x14ac:dyDescent="0.25">
      <c r="A9380" s="22"/>
      <c r="B9380" s="23"/>
      <c r="C9380" s="23"/>
      <c r="D9380" s="23"/>
      <c r="E9380" s="23"/>
    </row>
    <row r="9381" spans="1:5" x14ac:dyDescent="0.25">
      <c r="A9381" s="22"/>
      <c r="B9381" s="23"/>
      <c r="C9381" s="23"/>
      <c r="D9381" s="23"/>
      <c r="E9381" s="23"/>
    </row>
    <row r="9382" spans="1:5" x14ac:dyDescent="0.25">
      <c r="A9382" s="22"/>
      <c r="B9382" s="23"/>
      <c r="C9382" s="23"/>
      <c r="D9382" s="23"/>
      <c r="E9382" s="23"/>
    </row>
    <row r="9383" spans="1:5" x14ac:dyDescent="0.25">
      <c r="A9383" s="22"/>
      <c r="B9383" s="23"/>
      <c r="C9383" s="23"/>
      <c r="D9383" s="23"/>
      <c r="E9383" s="23"/>
    </row>
    <row r="9384" spans="1:5" x14ac:dyDescent="0.25">
      <c r="A9384" s="22"/>
      <c r="B9384" s="23"/>
      <c r="C9384" s="23"/>
      <c r="D9384" s="23"/>
      <c r="E9384" s="23"/>
    </row>
    <row r="9385" spans="1:5" x14ac:dyDescent="0.25">
      <c r="A9385" s="22"/>
      <c r="B9385" s="23"/>
      <c r="C9385" s="23"/>
      <c r="D9385" s="23"/>
      <c r="E9385" s="23"/>
    </row>
    <row r="9386" spans="1:5" x14ac:dyDescent="0.25">
      <c r="A9386" s="22"/>
      <c r="B9386" s="23"/>
      <c r="C9386" s="23"/>
      <c r="D9386" s="23"/>
      <c r="E9386" s="23"/>
    </row>
    <row r="9387" spans="1:5" x14ac:dyDescent="0.25">
      <c r="A9387" s="22"/>
      <c r="B9387" s="23"/>
      <c r="C9387" s="23"/>
      <c r="D9387" s="23"/>
      <c r="E9387" s="23"/>
    </row>
    <row r="9388" spans="1:5" x14ac:dyDescent="0.25">
      <c r="A9388" s="22"/>
      <c r="B9388" s="23"/>
      <c r="C9388" s="23"/>
      <c r="D9388" s="23"/>
      <c r="E9388" s="23"/>
    </row>
    <row r="9389" spans="1:5" x14ac:dyDescent="0.25">
      <c r="A9389" s="22"/>
      <c r="B9389" s="23"/>
      <c r="C9389" s="23"/>
      <c r="D9389" s="23"/>
      <c r="E9389" s="23"/>
    </row>
    <row r="9390" spans="1:5" x14ac:dyDescent="0.25">
      <c r="A9390" s="22"/>
      <c r="B9390" s="23"/>
      <c r="C9390" s="23"/>
      <c r="D9390" s="23"/>
      <c r="E9390" s="23"/>
    </row>
    <row r="9391" spans="1:5" x14ac:dyDescent="0.25">
      <c r="A9391" s="22"/>
      <c r="B9391" s="23"/>
      <c r="C9391" s="23"/>
      <c r="D9391" s="23"/>
      <c r="E9391" s="23"/>
    </row>
    <row r="9392" spans="1:5" x14ac:dyDescent="0.25">
      <c r="A9392" s="22"/>
      <c r="B9392" s="23"/>
      <c r="C9392" s="23"/>
      <c r="D9392" s="23"/>
      <c r="E9392" s="23"/>
    </row>
    <row r="9393" spans="1:5" x14ac:dyDescent="0.25">
      <c r="A9393" s="22"/>
      <c r="B9393" s="23"/>
      <c r="C9393" s="23"/>
      <c r="D9393" s="23"/>
      <c r="E9393" s="23"/>
    </row>
    <row r="9394" spans="1:5" x14ac:dyDescent="0.25">
      <c r="A9394" s="22"/>
      <c r="B9394" s="23"/>
      <c r="C9394" s="23"/>
      <c r="D9394" s="23"/>
      <c r="E9394" s="23"/>
    </row>
    <row r="9395" spans="1:5" x14ac:dyDescent="0.25">
      <c r="A9395" s="22"/>
      <c r="B9395" s="23"/>
      <c r="C9395" s="23"/>
      <c r="D9395" s="23"/>
      <c r="E9395" s="23"/>
    </row>
    <row r="9396" spans="1:5" x14ac:dyDescent="0.25">
      <c r="A9396" s="22"/>
      <c r="B9396" s="23"/>
      <c r="C9396" s="23"/>
      <c r="D9396" s="23"/>
      <c r="E9396" s="23"/>
    </row>
    <row r="9397" spans="1:5" x14ac:dyDescent="0.25">
      <c r="A9397" s="22"/>
      <c r="B9397" s="23"/>
      <c r="C9397" s="23"/>
      <c r="D9397" s="23"/>
      <c r="E9397" s="23"/>
    </row>
    <row r="9398" spans="1:5" x14ac:dyDescent="0.25">
      <c r="A9398" s="22"/>
      <c r="B9398" s="23"/>
      <c r="C9398" s="23"/>
      <c r="D9398" s="23"/>
      <c r="E9398" s="23"/>
    </row>
    <row r="9399" spans="1:5" x14ac:dyDescent="0.25">
      <c r="A9399" s="22"/>
      <c r="B9399" s="23"/>
      <c r="C9399" s="23"/>
      <c r="D9399" s="23"/>
      <c r="E9399" s="23"/>
    </row>
    <row r="9400" spans="1:5" x14ac:dyDescent="0.25">
      <c r="A9400" s="22"/>
      <c r="B9400" s="23"/>
      <c r="C9400" s="23"/>
      <c r="D9400" s="23"/>
      <c r="E9400" s="23"/>
    </row>
    <row r="9401" spans="1:5" x14ac:dyDescent="0.25">
      <c r="A9401" s="22"/>
      <c r="B9401" s="23"/>
      <c r="C9401" s="23"/>
      <c r="D9401" s="23"/>
      <c r="E9401" s="23"/>
    </row>
    <row r="9402" spans="1:5" x14ac:dyDescent="0.25">
      <c r="A9402" s="22"/>
      <c r="B9402" s="23"/>
      <c r="C9402" s="23"/>
      <c r="D9402" s="23"/>
      <c r="E9402" s="23"/>
    </row>
    <row r="9403" spans="1:5" x14ac:dyDescent="0.25">
      <c r="A9403" s="22"/>
      <c r="B9403" s="23"/>
      <c r="C9403" s="23"/>
      <c r="D9403" s="23"/>
      <c r="E9403" s="23"/>
    </row>
    <row r="9404" spans="1:5" x14ac:dyDescent="0.25">
      <c r="A9404" s="22"/>
      <c r="B9404" s="23"/>
      <c r="C9404" s="23"/>
      <c r="D9404" s="23"/>
      <c r="E9404" s="23"/>
    </row>
    <row r="9405" spans="1:5" x14ac:dyDescent="0.25">
      <c r="A9405" s="22"/>
      <c r="B9405" s="23"/>
      <c r="C9405" s="23"/>
      <c r="D9405" s="23"/>
      <c r="E9405" s="23"/>
    </row>
    <row r="9406" spans="1:5" x14ac:dyDescent="0.25">
      <c r="A9406" s="22"/>
      <c r="B9406" s="23"/>
      <c r="C9406" s="23"/>
      <c r="D9406" s="23"/>
      <c r="E9406" s="23"/>
    </row>
    <row r="9407" spans="1:5" x14ac:dyDescent="0.25">
      <c r="A9407" s="22"/>
      <c r="B9407" s="23"/>
      <c r="C9407" s="23"/>
      <c r="D9407" s="23"/>
      <c r="E9407" s="23"/>
    </row>
    <row r="9408" spans="1:5" x14ac:dyDescent="0.25">
      <c r="A9408" s="22"/>
      <c r="B9408" s="23"/>
      <c r="C9408" s="23"/>
      <c r="D9408" s="23"/>
      <c r="E9408" s="23"/>
    </row>
    <row r="9409" spans="1:5" x14ac:dyDescent="0.25">
      <c r="A9409" s="22"/>
      <c r="B9409" s="23"/>
      <c r="C9409" s="23"/>
      <c r="D9409" s="23"/>
      <c r="E9409" s="23"/>
    </row>
    <row r="9410" spans="1:5" x14ac:dyDescent="0.25">
      <c r="A9410" s="22"/>
      <c r="B9410" s="23"/>
      <c r="C9410" s="23"/>
      <c r="D9410" s="23"/>
      <c r="E9410" s="23"/>
    </row>
    <row r="9411" spans="1:5" x14ac:dyDescent="0.25">
      <c r="A9411" s="22"/>
      <c r="B9411" s="23"/>
      <c r="C9411" s="23"/>
      <c r="D9411" s="23"/>
      <c r="E9411" s="23"/>
    </row>
    <row r="9412" spans="1:5" x14ac:dyDescent="0.25">
      <c r="A9412" s="22"/>
      <c r="B9412" s="23"/>
      <c r="C9412" s="23"/>
      <c r="D9412" s="23"/>
      <c r="E9412" s="23"/>
    </row>
    <row r="9413" spans="1:5" x14ac:dyDescent="0.25">
      <c r="A9413" s="22"/>
      <c r="B9413" s="23"/>
      <c r="C9413" s="23"/>
      <c r="D9413" s="23"/>
      <c r="E9413" s="23"/>
    </row>
    <row r="9414" spans="1:5" x14ac:dyDescent="0.25">
      <c r="A9414" s="22"/>
      <c r="B9414" s="23"/>
      <c r="C9414" s="23"/>
      <c r="D9414" s="23"/>
      <c r="E9414" s="23"/>
    </row>
    <row r="9415" spans="1:5" x14ac:dyDescent="0.25">
      <c r="A9415" s="22"/>
      <c r="B9415" s="23"/>
      <c r="C9415" s="23"/>
      <c r="D9415" s="23"/>
      <c r="E9415" s="23"/>
    </row>
    <row r="9416" spans="1:5" x14ac:dyDescent="0.25">
      <c r="A9416" s="22"/>
      <c r="B9416" s="23"/>
      <c r="C9416" s="23"/>
      <c r="D9416" s="23"/>
      <c r="E9416" s="23"/>
    </row>
    <row r="9417" spans="1:5" x14ac:dyDescent="0.25">
      <c r="A9417" s="22"/>
      <c r="B9417" s="23"/>
      <c r="C9417" s="23"/>
      <c r="D9417" s="23"/>
      <c r="E9417" s="23"/>
    </row>
    <row r="9418" spans="1:5" x14ac:dyDescent="0.25">
      <c r="A9418" s="22"/>
      <c r="B9418" s="23"/>
      <c r="C9418" s="23"/>
      <c r="D9418" s="23"/>
      <c r="E9418" s="23"/>
    </row>
    <row r="9419" spans="1:5" x14ac:dyDescent="0.25">
      <c r="A9419" s="22"/>
      <c r="B9419" s="23"/>
      <c r="C9419" s="23"/>
      <c r="D9419" s="23"/>
      <c r="E9419" s="23"/>
    </row>
    <row r="9420" spans="1:5" x14ac:dyDescent="0.25">
      <c r="A9420" s="22"/>
      <c r="B9420" s="23"/>
      <c r="C9420" s="23"/>
      <c r="D9420" s="23"/>
      <c r="E9420" s="23"/>
    </row>
    <row r="9421" spans="1:5" x14ac:dyDescent="0.25">
      <c r="A9421" s="22"/>
      <c r="B9421" s="23"/>
      <c r="C9421" s="23"/>
      <c r="D9421" s="23"/>
      <c r="E9421" s="23"/>
    </row>
    <row r="9422" spans="1:5" x14ac:dyDescent="0.25">
      <c r="A9422" s="22"/>
      <c r="B9422" s="23"/>
      <c r="C9422" s="23"/>
      <c r="D9422" s="23"/>
      <c r="E9422" s="23"/>
    </row>
    <row r="9423" spans="1:5" x14ac:dyDescent="0.25">
      <c r="A9423" s="22"/>
      <c r="B9423" s="23"/>
      <c r="C9423" s="23"/>
      <c r="D9423" s="23"/>
      <c r="E9423" s="23"/>
    </row>
    <row r="9424" spans="1:5" x14ac:dyDescent="0.25">
      <c r="A9424" s="22"/>
      <c r="B9424" s="23"/>
      <c r="C9424" s="23"/>
      <c r="D9424" s="23"/>
      <c r="E9424" s="23"/>
    </row>
    <row r="9425" spans="1:5" x14ac:dyDescent="0.25">
      <c r="A9425" s="22"/>
      <c r="B9425" s="23"/>
      <c r="C9425" s="23"/>
      <c r="D9425" s="23"/>
      <c r="E9425" s="23"/>
    </row>
    <row r="9426" spans="1:5" x14ac:dyDescent="0.25">
      <c r="A9426" s="22"/>
      <c r="B9426" s="23"/>
      <c r="C9426" s="23"/>
      <c r="D9426" s="23"/>
      <c r="E9426" s="23"/>
    </row>
    <row r="9427" spans="1:5" x14ac:dyDescent="0.25">
      <c r="A9427" s="22"/>
      <c r="B9427" s="23"/>
      <c r="C9427" s="23"/>
      <c r="D9427" s="23"/>
      <c r="E9427" s="23"/>
    </row>
    <row r="9428" spans="1:5" x14ac:dyDescent="0.25">
      <c r="A9428" s="22"/>
      <c r="B9428" s="23"/>
      <c r="C9428" s="23"/>
      <c r="D9428" s="23"/>
      <c r="E9428" s="23"/>
    </row>
    <row r="9429" spans="1:5" x14ac:dyDescent="0.25">
      <c r="A9429" s="22"/>
      <c r="B9429" s="23"/>
      <c r="C9429" s="23"/>
      <c r="D9429" s="23"/>
      <c r="E9429" s="23"/>
    </row>
    <row r="9430" spans="1:5" x14ac:dyDescent="0.25">
      <c r="A9430" s="22"/>
      <c r="B9430" s="23"/>
      <c r="C9430" s="23"/>
      <c r="D9430" s="23"/>
      <c r="E9430" s="23"/>
    </row>
    <row r="9431" spans="1:5" x14ac:dyDescent="0.25">
      <c r="A9431" s="22"/>
      <c r="B9431" s="23"/>
      <c r="C9431" s="23"/>
      <c r="D9431" s="23"/>
      <c r="E9431" s="23"/>
    </row>
    <row r="9432" spans="1:5" x14ac:dyDescent="0.25">
      <c r="A9432" s="22"/>
      <c r="B9432" s="23"/>
      <c r="C9432" s="23"/>
      <c r="D9432" s="23"/>
      <c r="E9432" s="23"/>
    </row>
    <row r="9433" spans="1:5" x14ac:dyDescent="0.25">
      <c r="A9433" s="22"/>
      <c r="B9433" s="23"/>
      <c r="C9433" s="23"/>
      <c r="D9433" s="23"/>
      <c r="E9433" s="23"/>
    </row>
    <row r="9434" spans="1:5" x14ac:dyDescent="0.25">
      <c r="A9434" s="22"/>
      <c r="B9434" s="23"/>
      <c r="C9434" s="23"/>
      <c r="D9434" s="23"/>
      <c r="E9434" s="23"/>
    </row>
    <row r="9435" spans="1:5" x14ac:dyDescent="0.25">
      <c r="A9435" s="22"/>
      <c r="B9435" s="23"/>
      <c r="C9435" s="23"/>
      <c r="D9435" s="23"/>
      <c r="E9435" s="23"/>
    </row>
    <row r="9436" spans="1:5" x14ac:dyDescent="0.25">
      <c r="A9436" s="22"/>
      <c r="B9436" s="23"/>
      <c r="C9436" s="23"/>
      <c r="D9436" s="23"/>
      <c r="E9436" s="23"/>
    </row>
    <row r="9437" spans="1:5" x14ac:dyDescent="0.25">
      <c r="A9437" s="22"/>
      <c r="B9437" s="23"/>
      <c r="C9437" s="23"/>
      <c r="D9437" s="23"/>
      <c r="E9437" s="23"/>
    </row>
    <row r="9438" spans="1:5" x14ac:dyDescent="0.25">
      <c r="A9438" s="22"/>
      <c r="B9438" s="23"/>
      <c r="C9438" s="23"/>
      <c r="D9438" s="23"/>
      <c r="E9438" s="23"/>
    </row>
    <row r="9439" spans="1:5" x14ac:dyDescent="0.25">
      <c r="A9439" s="22"/>
      <c r="B9439" s="23"/>
      <c r="C9439" s="23"/>
      <c r="D9439" s="23"/>
      <c r="E9439" s="23"/>
    </row>
    <row r="9440" spans="1:5" x14ac:dyDescent="0.25">
      <c r="A9440" s="22"/>
      <c r="B9440" s="23"/>
      <c r="C9440" s="23"/>
      <c r="D9440" s="23"/>
      <c r="E9440" s="23"/>
    </row>
    <row r="9441" spans="1:5" x14ac:dyDescent="0.25">
      <c r="A9441" s="22"/>
      <c r="B9441" s="23"/>
      <c r="C9441" s="23"/>
      <c r="D9441" s="23"/>
      <c r="E9441" s="23"/>
    </row>
    <row r="9442" spans="1:5" x14ac:dyDescent="0.25">
      <c r="A9442" s="22"/>
      <c r="B9442" s="23"/>
      <c r="C9442" s="23"/>
      <c r="D9442" s="23"/>
      <c r="E9442" s="23"/>
    </row>
    <row r="9443" spans="1:5" x14ac:dyDescent="0.25">
      <c r="A9443" s="22"/>
      <c r="B9443" s="23"/>
      <c r="C9443" s="23"/>
      <c r="D9443" s="23"/>
      <c r="E9443" s="23"/>
    </row>
    <row r="9444" spans="1:5" x14ac:dyDescent="0.25">
      <c r="A9444" s="22"/>
      <c r="B9444" s="23"/>
      <c r="C9444" s="23"/>
      <c r="D9444" s="23"/>
      <c r="E9444" s="23"/>
    </row>
    <row r="9445" spans="1:5" x14ac:dyDescent="0.25">
      <c r="A9445" s="22"/>
      <c r="B9445" s="23"/>
      <c r="C9445" s="23"/>
      <c r="D9445" s="23"/>
      <c r="E9445" s="23"/>
    </row>
    <row r="9446" spans="1:5" x14ac:dyDescent="0.25">
      <c r="A9446" s="22"/>
      <c r="B9446" s="23"/>
      <c r="C9446" s="23"/>
      <c r="D9446" s="23"/>
      <c r="E9446" s="23"/>
    </row>
    <row r="9447" spans="1:5" x14ac:dyDescent="0.25">
      <c r="A9447" s="22"/>
      <c r="B9447" s="23"/>
      <c r="C9447" s="23"/>
      <c r="D9447" s="23"/>
      <c r="E9447" s="23"/>
    </row>
    <row r="9448" spans="1:5" x14ac:dyDescent="0.25">
      <c r="A9448" s="22"/>
      <c r="B9448" s="23"/>
      <c r="C9448" s="23"/>
      <c r="D9448" s="23"/>
      <c r="E9448" s="23"/>
    </row>
    <row r="9449" spans="1:5" x14ac:dyDescent="0.25">
      <c r="A9449" s="22"/>
      <c r="B9449" s="23"/>
      <c r="C9449" s="23"/>
      <c r="D9449" s="23"/>
      <c r="E9449" s="23"/>
    </row>
    <row r="9450" spans="1:5" x14ac:dyDescent="0.25">
      <c r="A9450" s="22"/>
      <c r="B9450" s="23"/>
      <c r="C9450" s="23"/>
      <c r="D9450" s="23"/>
      <c r="E9450" s="23"/>
    </row>
    <row r="9451" spans="1:5" x14ac:dyDescent="0.25">
      <c r="A9451" s="22"/>
      <c r="B9451" s="23"/>
      <c r="C9451" s="23"/>
      <c r="D9451" s="23"/>
      <c r="E9451" s="23"/>
    </row>
    <row r="9452" spans="1:5" x14ac:dyDescent="0.25">
      <c r="A9452" s="22"/>
      <c r="B9452" s="23"/>
      <c r="C9452" s="23"/>
      <c r="D9452" s="23"/>
      <c r="E9452" s="23"/>
    </row>
    <row r="9453" spans="1:5" x14ac:dyDescent="0.25">
      <c r="A9453" s="22"/>
      <c r="B9453" s="23"/>
      <c r="C9453" s="23"/>
      <c r="D9453" s="23"/>
      <c r="E9453" s="23"/>
    </row>
    <row r="9454" spans="1:5" x14ac:dyDescent="0.25">
      <c r="A9454" s="22"/>
      <c r="B9454" s="23"/>
      <c r="C9454" s="23"/>
      <c r="D9454" s="23"/>
      <c r="E9454" s="23"/>
    </row>
    <row r="9455" spans="1:5" x14ac:dyDescent="0.25">
      <c r="A9455" s="22"/>
      <c r="B9455" s="23"/>
      <c r="C9455" s="23"/>
      <c r="D9455" s="23"/>
      <c r="E9455" s="23"/>
    </row>
    <row r="9456" spans="1:5" x14ac:dyDescent="0.25">
      <c r="A9456" s="22"/>
      <c r="B9456" s="23"/>
      <c r="C9456" s="23"/>
      <c r="D9456" s="23"/>
      <c r="E9456" s="23"/>
    </row>
    <row r="9457" spans="1:5" x14ac:dyDescent="0.25">
      <c r="A9457" s="22"/>
      <c r="B9457" s="23"/>
      <c r="C9457" s="23"/>
      <c r="D9457" s="23"/>
      <c r="E9457" s="23"/>
    </row>
    <row r="9458" spans="1:5" x14ac:dyDescent="0.25">
      <c r="A9458" s="22"/>
      <c r="B9458" s="23"/>
      <c r="C9458" s="23"/>
      <c r="D9458" s="23"/>
      <c r="E9458" s="23"/>
    </row>
    <row r="9459" spans="1:5" x14ac:dyDescent="0.25">
      <c r="A9459" s="22"/>
      <c r="B9459" s="23"/>
      <c r="C9459" s="23"/>
      <c r="D9459" s="23"/>
      <c r="E9459" s="23"/>
    </row>
    <row r="9460" spans="1:5" x14ac:dyDescent="0.25">
      <c r="A9460" s="22"/>
      <c r="B9460" s="23"/>
      <c r="C9460" s="23"/>
      <c r="D9460" s="23"/>
      <c r="E9460" s="23"/>
    </row>
    <row r="9461" spans="1:5" x14ac:dyDescent="0.25">
      <c r="A9461" s="22"/>
      <c r="B9461" s="23"/>
      <c r="C9461" s="23"/>
      <c r="D9461" s="23"/>
      <c r="E9461" s="23"/>
    </row>
    <row r="9462" spans="1:5" x14ac:dyDescent="0.25">
      <c r="A9462" s="22"/>
      <c r="B9462" s="23"/>
      <c r="C9462" s="23"/>
      <c r="D9462" s="23"/>
      <c r="E9462" s="23"/>
    </row>
    <row r="9463" spans="1:5" x14ac:dyDescent="0.25">
      <c r="A9463" s="22"/>
      <c r="B9463" s="23"/>
      <c r="C9463" s="23"/>
      <c r="D9463" s="23"/>
      <c r="E9463" s="23"/>
    </row>
    <row r="9464" spans="1:5" x14ac:dyDescent="0.25">
      <c r="A9464" s="22"/>
      <c r="B9464" s="23"/>
      <c r="C9464" s="23"/>
      <c r="D9464" s="23"/>
      <c r="E9464" s="23"/>
    </row>
    <row r="9465" spans="1:5" x14ac:dyDescent="0.25">
      <c r="A9465" s="22"/>
      <c r="B9465" s="23"/>
      <c r="C9465" s="23"/>
      <c r="D9465" s="23"/>
      <c r="E9465" s="23"/>
    </row>
    <row r="9466" spans="1:5" x14ac:dyDescent="0.25">
      <c r="A9466" s="22"/>
      <c r="B9466" s="23"/>
      <c r="C9466" s="23"/>
      <c r="D9466" s="23"/>
      <c r="E9466" s="23"/>
    </row>
    <row r="9467" spans="1:5" x14ac:dyDescent="0.25">
      <c r="A9467" s="22"/>
      <c r="B9467" s="23"/>
      <c r="C9467" s="23"/>
      <c r="D9467" s="23"/>
      <c r="E9467" s="23"/>
    </row>
    <row r="9468" spans="1:5" x14ac:dyDescent="0.25">
      <c r="A9468" s="22"/>
      <c r="B9468" s="23"/>
      <c r="C9468" s="23"/>
      <c r="D9468" s="23"/>
      <c r="E9468" s="23"/>
    </row>
    <row r="9469" spans="1:5" x14ac:dyDescent="0.25">
      <c r="A9469" s="22"/>
      <c r="B9469" s="23"/>
      <c r="C9469" s="23"/>
      <c r="D9469" s="23"/>
      <c r="E9469" s="23"/>
    </row>
    <row r="9470" spans="1:5" x14ac:dyDescent="0.25">
      <c r="A9470" s="22"/>
      <c r="B9470" s="23"/>
      <c r="C9470" s="23"/>
      <c r="D9470" s="23"/>
      <c r="E9470" s="23"/>
    </row>
    <row r="9471" spans="1:5" x14ac:dyDescent="0.25">
      <c r="A9471" s="22"/>
      <c r="B9471" s="23"/>
      <c r="C9471" s="23"/>
      <c r="D9471" s="23"/>
      <c r="E9471" s="23"/>
    </row>
    <row r="9472" spans="1:5" x14ac:dyDescent="0.25">
      <c r="A9472" s="22"/>
      <c r="B9472" s="23"/>
      <c r="C9472" s="23"/>
      <c r="D9472" s="23"/>
      <c r="E9472" s="23"/>
    </row>
    <row r="9473" spans="1:5" x14ac:dyDescent="0.25">
      <c r="A9473" s="22"/>
      <c r="B9473" s="23"/>
      <c r="C9473" s="23"/>
      <c r="D9473" s="23"/>
      <c r="E9473" s="23"/>
    </row>
    <row r="9474" spans="1:5" x14ac:dyDescent="0.25">
      <c r="A9474" s="22"/>
      <c r="B9474" s="23"/>
      <c r="C9474" s="23"/>
      <c r="D9474" s="23"/>
      <c r="E9474" s="23"/>
    </row>
    <row r="9475" spans="1:5" x14ac:dyDescent="0.25">
      <c r="A9475" s="22"/>
      <c r="B9475" s="23"/>
      <c r="C9475" s="23"/>
      <c r="D9475" s="23"/>
      <c r="E9475" s="23"/>
    </row>
    <row r="9476" spans="1:5" x14ac:dyDescent="0.25">
      <c r="A9476" s="22"/>
      <c r="B9476" s="23"/>
      <c r="C9476" s="23"/>
      <c r="D9476" s="23"/>
      <c r="E9476" s="23"/>
    </row>
    <row r="9477" spans="1:5" x14ac:dyDescent="0.25">
      <c r="A9477" s="22"/>
      <c r="B9477" s="23"/>
      <c r="C9477" s="23"/>
      <c r="D9477" s="23"/>
      <c r="E9477" s="23"/>
    </row>
    <row r="9478" spans="1:5" x14ac:dyDescent="0.25">
      <c r="A9478" s="22"/>
      <c r="B9478" s="23"/>
      <c r="C9478" s="23"/>
      <c r="D9478" s="23"/>
      <c r="E9478" s="23"/>
    </row>
    <row r="9479" spans="1:5" x14ac:dyDescent="0.25">
      <c r="A9479" s="22"/>
      <c r="B9479" s="23"/>
      <c r="C9479" s="23"/>
      <c r="D9479" s="23"/>
      <c r="E9479" s="23"/>
    </row>
    <row r="9480" spans="1:5" x14ac:dyDescent="0.25">
      <c r="A9480" s="22"/>
      <c r="B9480" s="23"/>
      <c r="C9480" s="23"/>
      <c r="D9480" s="23"/>
      <c r="E9480" s="23"/>
    </row>
    <row r="9481" spans="1:5" x14ac:dyDescent="0.25">
      <c r="A9481" s="22"/>
      <c r="B9481" s="23"/>
      <c r="C9481" s="23"/>
      <c r="D9481" s="23"/>
      <c r="E9481" s="23"/>
    </row>
    <row r="9482" spans="1:5" x14ac:dyDescent="0.25">
      <c r="A9482" s="22"/>
      <c r="B9482" s="23"/>
      <c r="C9482" s="23"/>
      <c r="D9482" s="23"/>
      <c r="E9482" s="23"/>
    </row>
    <row r="9483" spans="1:5" x14ac:dyDescent="0.25">
      <c r="A9483" s="22"/>
      <c r="B9483" s="23"/>
      <c r="C9483" s="23"/>
      <c r="D9483" s="23"/>
      <c r="E9483" s="23"/>
    </row>
    <row r="9484" spans="1:5" x14ac:dyDescent="0.25">
      <c r="A9484" s="22"/>
      <c r="B9484" s="23"/>
      <c r="C9484" s="23"/>
      <c r="D9484" s="23"/>
      <c r="E9484" s="23"/>
    </row>
    <row r="9485" spans="1:5" x14ac:dyDescent="0.25">
      <c r="A9485" s="22"/>
      <c r="B9485" s="23"/>
      <c r="C9485" s="23"/>
      <c r="D9485" s="23"/>
      <c r="E9485" s="23"/>
    </row>
    <row r="9486" spans="1:5" x14ac:dyDescent="0.25">
      <c r="A9486" s="22"/>
      <c r="B9486" s="23"/>
      <c r="C9486" s="23"/>
      <c r="D9486" s="23"/>
      <c r="E9486" s="23"/>
    </row>
    <row r="9487" spans="1:5" x14ac:dyDescent="0.25">
      <c r="A9487" s="22"/>
      <c r="B9487" s="23"/>
      <c r="C9487" s="23"/>
      <c r="D9487" s="23"/>
      <c r="E9487" s="23"/>
    </row>
    <row r="9488" spans="1:5" x14ac:dyDescent="0.25">
      <c r="A9488" s="22"/>
      <c r="B9488" s="23"/>
      <c r="C9488" s="23"/>
      <c r="D9488" s="23"/>
      <c r="E9488" s="23"/>
    </row>
    <row r="9489" spans="1:5" x14ac:dyDescent="0.25">
      <c r="A9489" s="22"/>
      <c r="B9489" s="23"/>
      <c r="C9489" s="23"/>
      <c r="D9489" s="23"/>
      <c r="E9489" s="23"/>
    </row>
    <row r="9490" spans="1:5" x14ac:dyDescent="0.25">
      <c r="A9490" s="22"/>
      <c r="B9490" s="23"/>
      <c r="C9490" s="23"/>
      <c r="D9490" s="23"/>
      <c r="E9490" s="23"/>
    </row>
    <row r="9491" spans="1:5" x14ac:dyDescent="0.25">
      <c r="A9491" s="22"/>
      <c r="B9491" s="23"/>
      <c r="C9491" s="23"/>
      <c r="D9491" s="23"/>
      <c r="E9491" s="23"/>
    </row>
    <row r="9492" spans="1:5" x14ac:dyDescent="0.25">
      <c r="A9492" s="22"/>
      <c r="B9492" s="23"/>
      <c r="C9492" s="23"/>
      <c r="D9492" s="23"/>
      <c r="E9492" s="23"/>
    </row>
    <row r="9493" spans="1:5" x14ac:dyDescent="0.25">
      <c r="A9493" s="22"/>
      <c r="B9493" s="23"/>
      <c r="C9493" s="23"/>
      <c r="D9493" s="23"/>
      <c r="E9493" s="23"/>
    </row>
    <row r="9494" spans="1:5" x14ac:dyDescent="0.25">
      <c r="A9494" s="22"/>
      <c r="B9494" s="23"/>
      <c r="C9494" s="23"/>
      <c r="D9494" s="23"/>
      <c r="E9494" s="23"/>
    </row>
    <row r="9495" spans="1:5" x14ac:dyDescent="0.25">
      <c r="A9495" s="22"/>
      <c r="B9495" s="23"/>
      <c r="C9495" s="23"/>
      <c r="D9495" s="23"/>
      <c r="E9495" s="23"/>
    </row>
    <row r="9496" spans="1:5" x14ac:dyDescent="0.25">
      <c r="A9496" s="22"/>
      <c r="B9496" s="23"/>
      <c r="C9496" s="23"/>
      <c r="D9496" s="23"/>
      <c r="E9496" s="23"/>
    </row>
    <row r="9497" spans="1:5" x14ac:dyDescent="0.25">
      <c r="A9497" s="22"/>
      <c r="B9497" s="23"/>
      <c r="C9497" s="23"/>
      <c r="D9497" s="23"/>
      <c r="E9497" s="23"/>
    </row>
    <row r="9498" spans="1:5" x14ac:dyDescent="0.25">
      <c r="A9498" s="22"/>
      <c r="B9498" s="23"/>
      <c r="C9498" s="23"/>
      <c r="D9498" s="23"/>
      <c r="E9498" s="23"/>
    </row>
    <row r="9499" spans="1:5" x14ac:dyDescent="0.25">
      <c r="A9499" s="22"/>
      <c r="B9499" s="23"/>
      <c r="C9499" s="23"/>
      <c r="D9499" s="23"/>
      <c r="E9499" s="23"/>
    </row>
    <row r="9500" spans="1:5" x14ac:dyDescent="0.25">
      <c r="A9500" s="22"/>
      <c r="B9500" s="23"/>
      <c r="C9500" s="23"/>
      <c r="D9500" s="23"/>
      <c r="E9500" s="23"/>
    </row>
    <row r="9501" spans="1:5" x14ac:dyDescent="0.25">
      <c r="A9501" s="22"/>
      <c r="B9501" s="23"/>
      <c r="C9501" s="23"/>
      <c r="D9501" s="23"/>
      <c r="E9501" s="23"/>
    </row>
    <row r="9502" spans="1:5" x14ac:dyDescent="0.25">
      <c r="A9502" s="22"/>
      <c r="B9502" s="23"/>
      <c r="C9502" s="23"/>
      <c r="D9502" s="23"/>
      <c r="E9502" s="23"/>
    </row>
    <row r="9503" spans="1:5" x14ac:dyDescent="0.25">
      <c r="A9503" s="22"/>
      <c r="B9503" s="23"/>
      <c r="C9503" s="23"/>
      <c r="D9503" s="23"/>
      <c r="E9503" s="23"/>
    </row>
    <row r="9504" spans="1:5" x14ac:dyDescent="0.25">
      <c r="A9504" s="22"/>
      <c r="B9504" s="23"/>
      <c r="C9504" s="23"/>
      <c r="D9504" s="23"/>
      <c r="E9504" s="23"/>
    </row>
    <row r="9505" spans="1:5" x14ac:dyDescent="0.25">
      <c r="A9505" s="22"/>
      <c r="B9505" s="23"/>
      <c r="C9505" s="23"/>
      <c r="D9505" s="23"/>
      <c r="E9505" s="23"/>
    </row>
    <row r="9506" spans="1:5" x14ac:dyDescent="0.25">
      <c r="A9506" s="22"/>
      <c r="B9506" s="23"/>
      <c r="C9506" s="23"/>
      <c r="D9506" s="23"/>
      <c r="E9506" s="23"/>
    </row>
    <row r="9507" spans="1:5" x14ac:dyDescent="0.25">
      <c r="A9507" s="22"/>
      <c r="B9507" s="23"/>
      <c r="C9507" s="23"/>
      <c r="D9507" s="23"/>
      <c r="E9507" s="23"/>
    </row>
    <row r="9508" spans="1:5" x14ac:dyDescent="0.25">
      <c r="A9508" s="22"/>
      <c r="B9508" s="23"/>
      <c r="C9508" s="23"/>
      <c r="D9508" s="23"/>
      <c r="E9508" s="23"/>
    </row>
    <row r="9509" spans="1:5" x14ac:dyDescent="0.25">
      <c r="A9509" s="22"/>
      <c r="B9509" s="23"/>
      <c r="C9509" s="23"/>
      <c r="D9509" s="23"/>
      <c r="E9509" s="23"/>
    </row>
    <row r="9510" spans="1:5" x14ac:dyDescent="0.25">
      <c r="A9510" s="22"/>
      <c r="B9510" s="23"/>
      <c r="C9510" s="23"/>
      <c r="D9510" s="23"/>
      <c r="E9510" s="23"/>
    </row>
    <row r="9511" spans="1:5" x14ac:dyDescent="0.25">
      <c r="A9511" s="22"/>
      <c r="B9511" s="23"/>
      <c r="C9511" s="23"/>
      <c r="D9511" s="23"/>
      <c r="E9511" s="23"/>
    </row>
    <row r="9512" spans="1:5" x14ac:dyDescent="0.25">
      <c r="A9512" s="22"/>
      <c r="B9512" s="23"/>
      <c r="C9512" s="23"/>
      <c r="D9512" s="23"/>
      <c r="E9512" s="23"/>
    </row>
    <row r="9513" spans="1:5" x14ac:dyDescent="0.25">
      <c r="A9513" s="22"/>
      <c r="B9513" s="23"/>
      <c r="C9513" s="23"/>
      <c r="D9513" s="23"/>
      <c r="E9513" s="23"/>
    </row>
    <row r="9514" spans="1:5" x14ac:dyDescent="0.25">
      <c r="A9514" s="22"/>
      <c r="B9514" s="23"/>
      <c r="C9514" s="23"/>
      <c r="D9514" s="23"/>
      <c r="E9514" s="23"/>
    </row>
    <row r="9515" spans="1:5" x14ac:dyDescent="0.25">
      <c r="A9515" s="22"/>
      <c r="B9515" s="23"/>
      <c r="C9515" s="23"/>
      <c r="D9515" s="23"/>
      <c r="E9515" s="23"/>
    </row>
    <row r="9516" spans="1:5" x14ac:dyDescent="0.25">
      <c r="A9516" s="22"/>
      <c r="B9516" s="23"/>
      <c r="C9516" s="23"/>
      <c r="D9516" s="23"/>
      <c r="E9516" s="23"/>
    </row>
    <row r="9517" spans="1:5" x14ac:dyDescent="0.25">
      <c r="A9517" s="22"/>
      <c r="B9517" s="23"/>
      <c r="C9517" s="23"/>
      <c r="D9517" s="23"/>
      <c r="E9517" s="23"/>
    </row>
    <row r="9518" spans="1:5" x14ac:dyDescent="0.25">
      <c r="A9518" s="22"/>
      <c r="B9518" s="23"/>
      <c r="C9518" s="23"/>
      <c r="D9518" s="23"/>
      <c r="E9518" s="23"/>
    </row>
    <row r="9519" spans="1:5" x14ac:dyDescent="0.25">
      <c r="A9519" s="22"/>
      <c r="B9519" s="23"/>
      <c r="C9519" s="23"/>
      <c r="D9519" s="23"/>
      <c r="E9519" s="23"/>
    </row>
    <row r="9520" spans="1:5" x14ac:dyDescent="0.25">
      <c r="A9520" s="22"/>
      <c r="B9520" s="23"/>
      <c r="C9520" s="23"/>
      <c r="D9520" s="23"/>
      <c r="E9520" s="23"/>
    </row>
    <row r="9521" spans="1:5" x14ac:dyDescent="0.25">
      <c r="A9521" s="22"/>
      <c r="B9521" s="23"/>
      <c r="C9521" s="23"/>
      <c r="D9521" s="23"/>
      <c r="E9521" s="23"/>
    </row>
    <row r="9522" spans="1:5" x14ac:dyDescent="0.25">
      <c r="A9522" s="22"/>
      <c r="B9522" s="23"/>
      <c r="C9522" s="23"/>
      <c r="D9522" s="23"/>
      <c r="E9522" s="23"/>
    </row>
    <row r="9523" spans="1:5" x14ac:dyDescent="0.25">
      <c r="A9523" s="22"/>
      <c r="B9523" s="23"/>
      <c r="C9523" s="23"/>
      <c r="D9523" s="23"/>
      <c r="E9523" s="23"/>
    </row>
    <row r="9524" spans="1:5" x14ac:dyDescent="0.25">
      <c r="A9524" s="22"/>
      <c r="B9524" s="23"/>
      <c r="C9524" s="23"/>
      <c r="D9524" s="23"/>
      <c r="E9524" s="23"/>
    </row>
    <row r="9525" spans="1:5" x14ac:dyDescent="0.25">
      <c r="A9525" s="22"/>
      <c r="B9525" s="23"/>
      <c r="C9525" s="23"/>
      <c r="D9525" s="23"/>
      <c r="E9525" s="23"/>
    </row>
    <row r="9526" spans="1:5" x14ac:dyDescent="0.25">
      <c r="A9526" s="22"/>
      <c r="B9526" s="23"/>
      <c r="C9526" s="23"/>
      <c r="D9526" s="23"/>
      <c r="E9526" s="23"/>
    </row>
    <row r="9527" spans="1:5" x14ac:dyDescent="0.25">
      <c r="A9527" s="22"/>
      <c r="B9527" s="23"/>
      <c r="C9527" s="23"/>
      <c r="D9527" s="23"/>
      <c r="E9527" s="23"/>
    </row>
    <row r="9528" spans="1:5" x14ac:dyDescent="0.25">
      <c r="A9528" s="22"/>
      <c r="B9528" s="23"/>
      <c r="C9528" s="23"/>
      <c r="D9528" s="23"/>
      <c r="E9528" s="23"/>
    </row>
    <row r="9529" spans="1:5" x14ac:dyDescent="0.25">
      <c r="A9529" s="22"/>
      <c r="B9529" s="23"/>
      <c r="C9529" s="23"/>
      <c r="D9529" s="23"/>
      <c r="E9529" s="23"/>
    </row>
    <row r="9530" spans="1:5" x14ac:dyDescent="0.25">
      <c r="A9530" s="22"/>
      <c r="B9530" s="23"/>
      <c r="C9530" s="23"/>
      <c r="D9530" s="23"/>
      <c r="E9530" s="23"/>
    </row>
    <row r="9531" spans="1:5" x14ac:dyDescent="0.25">
      <c r="A9531" s="22"/>
      <c r="B9531" s="23"/>
      <c r="C9531" s="23"/>
      <c r="D9531" s="23"/>
      <c r="E9531" s="23"/>
    </row>
    <row r="9532" spans="1:5" x14ac:dyDescent="0.25">
      <c r="A9532" s="22"/>
      <c r="B9532" s="23"/>
      <c r="C9532" s="23"/>
      <c r="D9532" s="23"/>
      <c r="E9532" s="23"/>
    </row>
    <row r="9533" spans="1:5" x14ac:dyDescent="0.25">
      <c r="A9533" s="22"/>
      <c r="B9533" s="23"/>
      <c r="C9533" s="23"/>
      <c r="D9533" s="23"/>
      <c r="E9533" s="23"/>
    </row>
    <row r="9534" spans="1:5" x14ac:dyDescent="0.25">
      <c r="A9534" s="22"/>
      <c r="B9534" s="23"/>
      <c r="C9534" s="23"/>
      <c r="D9534" s="23"/>
      <c r="E9534" s="23"/>
    </row>
    <row r="9535" spans="1:5" x14ac:dyDescent="0.25">
      <c r="A9535" s="22"/>
      <c r="B9535" s="23"/>
      <c r="C9535" s="23"/>
      <c r="D9535" s="23"/>
      <c r="E9535" s="23"/>
    </row>
    <row r="9536" spans="1:5" x14ac:dyDescent="0.25">
      <c r="A9536" s="22"/>
      <c r="B9536" s="23"/>
      <c r="C9536" s="23"/>
      <c r="D9536" s="23"/>
      <c r="E9536" s="23"/>
    </row>
    <row r="9537" spans="1:5" x14ac:dyDescent="0.25">
      <c r="A9537" s="22"/>
      <c r="B9537" s="23"/>
      <c r="C9537" s="23"/>
      <c r="D9537" s="23"/>
      <c r="E9537" s="23"/>
    </row>
    <row r="9538" spans="1:5" x14ac:dyDescent="0.25">
      <c r="A9538" s="22"/>
      <c r="B9538" s="23"/>
      <c r="C9538" s="23"/>
      <c r="D9538" s="23"/>
      <c r="E9538" s="23"/>
    </row>
    <row r="9539" spans="1:5" x14ac:dyDescent="0.25">
      <c r="A9539" s="22"/>
      <c r="B9539" s="23"/>
      <c r="C9539" s="23"/>
      <c r="D9539" s="23"/>
      <c r="E9539" s="23"/>
    </row>
    <row r="9540" spans="1:5" x14ac:dyDescent="0.25">
      <c r="A9540" s="22"/>
      <c r="B9540" s="23"/>
      <c r="C9540" s="23"/>
      <c r="D9540" s="23"/>
      <c r="E9540" s="23"/>
    </row>
    <row r="9541" spans="1:5" x14ac:dyDescent="0.25">
      <c r="A9541" s="22"/>
      <c r="B9541" s="23"/>
      <c r="C9541" s="23"/>
      <c r="D9541" s="23"/>
      <c r="E9541" s="23"/>
    </row>
    <row r="9542" spans="1:5" x14ac:dyDescent="0.25">
      <c r="A9542" s="22"/>
      <c r="B9542" s="23"/>
      <c r="C9542" s="23"/>
      <c r="D9542" s="23"/>
      <c r="E9542" s="23"/>
    </row>
    <row r="9543" spans="1:5" x14ac:dyDescent="0.25">
      <c r="A9543" s="22"/>
      <c r="B9543" s="23"/>
      <c r="C9543" s="23"/>
      <c r="D9543" s="23"/>
      <c r="E9543" s="23"/>
    </row>
    <row r="9544" spans="1:5" x14ac:dyDescent="0.25">
      <c r="A9544" s="22"/>
      <c r="B9544" s="23"/>
      <c r="C9544" s="23"/>
      <c r="D9544" s="23"/>
      <c r="E9544" s="23"/>
    </row>
    <row r="9545" spans="1:5" x14ac:dyDescent="0.25">
      <c r="A9545" s="22"/>
      <c r="B9545" s="23"/>
      <c r="C9545" s="23"/>
      <c r="D9545" s="23"/>
      <c r="E9545" s="23"/>
    </row>
    <row r="9546" spans="1:5" x14ac:dyDescent="0.25">
      <c r="A9546" s="22"/>
      <c r="B9546" s="23"/>
      <c r="C9546" s="23"/>
      <c r="D9546" s="23"/>
      <c r="E9546" s="23"/>
    </row>
    <row r="9547" spans="1:5" x14ac:dyDescent="0.25">
      <c r="A9547" s="22"/>
      <c r="B9547" s="23"/>
      <c r="C9547" s="23"/>
      <c r="D9547" s="23"/>
      <c r="E9547" s="23"/>
    </row>
    <row r="9548" spans="1:5" x14ac:dyDescent="0.25">
      <c r="A9548" s="22"/>
      <c r="B9548" s="23"/>
      <c r="C9548" s="23"/>
      <c r="D9548" s="23"/>
      <c r="E9548" s="23"/>
    </row>
    <row r="9549" spans="1:5" x14ac:dyDescent="0.25">
      <c r="A9549" s="22"/>
      <c r="B9549" s="23"/>
      <c r="C9549" s="23"/>
      <c r="D9549" s="23"/>
      <c r="E9549" s="23"/>
    </row>
    <row r="9550" spans="1:5" x14ac:dyDescent="0.25">
      <c r="A9550" s="22"/>
      <c r="B9550" s="23"/>
      <c r="C9550" s="23"/>
      <c r="D9550" s="23"/>
      <c r="E9550" s="23"/>
    </row>
    <row r="9551" spans="1:5" x14ac:dyDescent="0.25">
      <c r="A9551" s="22"/>
      <c r="B9551" s="23"/>
      <c r="C9551" s="23"/>
      <c r="D9551" s="23"/>
      <c r="E9551" s="23"/>
    </row>
    <row r="9552" spans="1:5" x14ac:dyDescent="0.25">
      <c r="A9552" s="22"/>
      <c r="B9552" s="23"/>
      <c r="C9552" s="23"/>
      <c r="D9552" s="23"/>
      <c r="E9552" s="23"/>
    </row>
    <row r="9553" spans="1:5" x14ac:dyDescent="0.25">
      <c r="A9553" s="22"/>
      <c r="B9553" s="23"/>
      <c r="C9553" s="23"/>
      <c r="D9553" s="23"/>
      <c r="E9553" s="23"/>
    </row>
    <row r="9554" spans="1:5" x14ac:dyDescent="0.25">
      <c r="A9554" s="22"/>
      <c r="B9554" s="23"/>
      <c r="C9554" s="23"/>
      <c r="D9554" s="23"/>
      <c r="E9554" s="23"/>
    </row>
    <row r="9555" spans="1:5" x14ac:dyDescent="0.25">
      <c r="A9555" s="22"/>
      <c r="B9555" s="23"/>
      <c r="C9555" s="23"/>
      <c r="D9555" s="23"/>
      <c r="E9555" s="23"/>
    </row>
    <row r="9556" spans="1:5" x14ac:dyDescent="0.25">
      <c r="A9556" s="22"/>
      <c r="B9556" s="23"/>
      <c r="C9556" s="23"/>
      <c r="D9556" s="23"/>
      <c r="E9556" s="23"/>
    </row>
    <row r="9557" spans="1:5" x14ac:dyDescent="0.25">
      <c r="A9557" s="22"/>
      <c r="B9557" s="23"/>
      <c r="C9557" s="23"/>
      <c r="D9557" s="23"/>
      <c r="E9557" s="23"/>
    </row>
    <row r="9558" spans="1:5" x14ac:dyDescent="0.25">
      <c r="A9558" s="22"/>
      <c r="B9558" s="23"/>
      <c r="C9558" s="23"/>
      <c r="D9558" s="23"/>
      <c r="E9558" s="23"/>
    </row>
    <row r="9559" spans="1:5" x14ac:dyDescent="0.25">
      <c r="A9559" s="22"/>
      <c r="B9559" s="23"/>
      <c r="C9559" s="23"/>
      <c r="D9559" s="23"/>
      <c r="E9559" s="23"/>
    </row>
    <row r="9560" spans="1:5" x14ac:dyDescent="0.25">
      <c r="A9560" s="22"/>
      <c r="B9560" s="23"/>
      <c r="C9560" s="23"/>
      <c r="D9560" s="23"/>
      <c r="E9560" s="23"/>
    </row>
    <row r="9561" spans="1:5" x14ac:dyDescent="0.25">
      <c r="A9561" s="22"/>
      <c r="B9561" s="23"/>
      <c r="C9561" s="23"/>
      <c r="D9561" s="23"/>
      <c r="E9561" s="23"/>
    </row>
    <row r="9562" spans="1:5" x14ac:dyDescent="0.25">
      <c r="A9562" s="22"/>
      <c r="B9562" s="23"/>
      <c r="C9562" s="23"/>
      <c r="D9562" s="23"/>
      <c r="E9562" s="23"/>
    </row>
    <row r="9563" spans="1:5" x14ac:dyDescent="0.25">
      <c r="A9563" s="22"/>
      <c r="B9563" s="23"/>
      <c r="C9563" s="23"/>
      <c r="D9563" s="23"/>
      <c r="E9563" s="23"/>
    </row>
    <row r="9564" spans="1:5" x14ac:dyDescent="0.25">
      <c r="A9564" s="22"/>
      <c r="B9564" s="23"/>
      <c r="C9564" s="23"/>
      <c r="D9564" s="23"/>
      <c r="E9564" s="23"/>
    </row>
    <row r="9565" spans="1:5" x14ac:dyDescent="0.25">
      <c r="A9565" s="22"/>
      <c r="B9565" s="23"/>
      <c r="C9565" s="23"/>
      <c r="D9565" s="23"/>
      <c r="E9565" s="23"/>
    </row>
    <row r="9566" spans="1:5" x14ac:dyDescent="0.25">
      <c r="A9566" s="22"/>
      <c r="B9566" s="23"/>
      <c r="C9566" s="23"/>
      <c r="D9566" s="23"/>
      <c r="E9566" s="23"/>
    </row>
    <row r="9567" spans="1:5" x14ac:dyDescent="0.25">
      <c r="A9567" s="22"/>
      <c r="B9567" s="23"/>
      <c r="C9567" s="23"/>
      <c r="D9567" s="23"/>
      <c r="E9567" s="23"/>
    </row>
    <row r="9568" spans="1:5" x14ac:dyDescent="0.25">
      <c r="A9568" s="22"/>
      <c r="B9568" s="23"/>
      <c r="C9568" s="23"/>
      <c r="D9568" s="23"/>
      <c r="E9568" s="23"/>
    </row>
    <row r="9569" spans="1:5" x14ac:dyDescent="0.25">
      <c r="A9569" s="22"/>
      <c r="B9569" s="23"/>
      <c r="C9569" s="23"/>
      <c r="D9569" s="23"/>
      <c r="E9569" s="23"/>
    </row>
    <row r="9570" spans="1:5" x14ac:dyDescent="0.25">
      <c r="A9570" s="22"/>
      <c r="B9570" s="23"/>
      <c r="C9570" s="23"/>
      <c r="D9570" s="23"/>
      <c r="E9570" s="23"/>
    </row>
    <row r="9571" spans="1:5" x14ac:dyDescent="0.25">
      <c r="A9571" s="22"/>
      <c r="B9571" s="23"/>
      <c r="C9571" s="23"/>
      <c r="D9571" s="23"/>
      <c r="E9571" s="23"/>
    </row>
    <row r="9572" spans="1:5" x14ac:dyDescent="0.25">
      <c r="A9572" s="22"/>
      <c r="B9572" s="23"/>
      <c r="C9572" s="23"/>
      <c r="D9572" s="23"/>
      <c r="E9572" s="23"/>
    </row>
    <row r="9573" spans="1:5" x14ac:dyDescent="0.25">
      <c r="A9573" s="22"/>
      <c r="B9573" s="23"/>
      <c r="C9573" s="23"/>
      <c r="D9573" s="23"/>
      <c r="E9573" s="23"/>
    </row>
    <row r="9574" spans="1:5" x14ac:dyDescent="0.25">
      <c r="A9574" s="22"/>
      <c r="B9574" s="23"/>
      <c r="C9574" s="23"/>
      <c r="D9574" s="23"/>
      <c r="E9574" s="23"/>
    </row>
    <row r="9575" spans="1:5" x14ac:dyDescent="0.25">
      <c r="A9575" s="22"/>
      <c r="B9575" s="23"/>
      <c r="C9575" s="23"/>
      <c r="D9575" s="23"/>
      <c r="E9575" s="23"/>
    </row>
    <row r="9576" spans="1:5" x14ac:dyDescent="0.25">
      <c r="A9576" s="22"/>
      <c r="B9576" s="23"/>
      <c r="C9576" s="23"/>
      <c r="D9576" s="23"/>
      <c r="E9576" s="23"/>
    </row>
    <row r="9577" spans="1:5" x14ac:dyDescent="0.25">
      <c r="A9577" s="22"/>
      <c r="B9577" s="23"/>
      <c r="C9577" s="23"/>
      <c r="D9577" s="23"/>
      <c r="E9577" s="23"/>
    </row>
    <row r="9578" spans="1:5" x14ac:dyDescent="0.25">
      <c r="A9578" s="22"/>
      <c r="B9578" s="23"/>
      <c r="C9578" s="23"/>
      <c r="D9578" s="23"/>
      <c r="E9578" s="23"/>
    </row>
    <row r="9579" spans="1:5" x14ac:dyDescent="0.25">
      <c r="A9579" s="22"/>
      <c r="B9579" s="23"/>
      <c r="C9579" s="23"/>
      <c r="D9579" s="23"/>
      <c r="E9579" s="23"/>
    </row>
    <row r="9580" spans="1:5" x14ac:dyDescent="0.25">
      <c r="A9580" s="22"/>
      <c r="B9580" s="23"/>
      <c r="C9580" s="23"/>
      <c r="D9580" s="23"/>
      <c r="E9580" s="23"/>
    </row>
    <row r="9581" spans="1:5" x14ac:dyDescent="0.25">
      <c r="A9581" s="22"/>
      <c r="B9581" s="23"/>
      <c r="C9581" s="23"/>
      <c r="D9581" s="23"/>
      <c r="E9581" s="23"/>
    </row>
    <row r="9582" spans="1:5" x14ac:dyDescent="0.25">
      <c r="A9582" s="22"/>
      <c r="B9582" s="23"/>
      <c r="C9582" s="23"/>
      <c r="D9582" s="23"/>
      <c r="E9582" s="23"/>
    </row>
    <row r="9583" spans="1:5" x14ac:dyDescent="0.25">
      <c r="A9583" s="22"/>
      <c r="B9583" s="23"/>
      <c r="C9583" s="23"/>
      <c r="D9583" s="23"/>
      <c r="E9583" s="23"/>
    </row>
    <row r="9584" spans="1:5" x14ac:dyDescent="0.25">
      <c r="A9584" s="22"/>
      <c r="B9584" s="23"/>
      <c r="C9584" s="23"/>
      <c r="D9584" s="23"/>
      <c r="E9584" s="23"/>
    </row>
    <row r="9585" spans="1:5" x14ac:dyDescent="0.25">
      <c r="A9585" s="22"/>
      <c r="B9585" s="23"/>
      <c r="C9585" s="23"/>
      <c r="D9585" s="23"/>
      <c r="E9585" s="23"/>
    </row>
    <row r="9586" spans="1:5" x14ac:dyDescent="0.25">
      <c r="A9586" s="22"/>
      <c r="B9586" s="23"/>
      <c r="C9586" s="23"/>
      <c r="D9586" s="23"/>
      <c r="E9586" s="23"/>
    </row>
    <row r="9587" spans="1:5" x14ac:dyDescent="0.25">
      <c r="A9587" s="22"/>
      <c r="B9587" s="23"/>
      <c r="C9587" s="23"/>
      <c r="D9587" s="23"/>
      <c r="E9587" s="23"/>
    </row>
    <row r="9588" spans="1:5" x14ac:dyDescent="0.25">
      <c r="A9588" s="22"/>
      <c r="B9588" s="23"/>
      <c r="C9588" s="23"/>
      <c r="D9588" s="23"/>
      <c r="E9588" s="23"/>
    </row>
    <row r="9589" spans="1:5" x14ac:dyDescent="0.25">
      <c r="A9589" s="22"/>
      <c r="B9589" s="23"/>
      <c r="C9589" s="23"/>
      <c r="D9589" s="23"/>
      <c r="E9589" s="23"/>
    </row>
    <row r="9590" spans="1:5" x14ac:dyDescent="0.25">
      <c r="A9590" s="22"/>
      <c r="B9590" s="23"/>
      <c r="C9590" s="23"/>
      <c r="D9590" s="23"/>
      <c r="E9590" s="23"/>
    </row>
    <row r="9591" spans="1:5" x14ac:dyDescent="0.25">
      <c r="A9591" s="22"/>
      <c r="B9591" s="23"/>
      <c r="C9591" s="23"/>
      <c r="D9591" s="23"/>
      <c r="E9591" s="23"/>
    </row>
    <row r="9592" spans="1:5" x14ac:dyDescent="0.25">
      <c r="A9592" s="22"/>
      <c r="B9592" s="23"/>
      <c r="C9592" s="23"/>
      <c r="D9592" s="23"/>
      <c r="E9592" s="23"/>
    </row>
    <row r="9593" spans="1:5" x14ac:dyDescent="0.25">
      <c r="A9593" s="22"/>
      <c r="B9593" s="23"/>
      <c r="C9593" s="23"/>
      <c r="D9593" s="23"/>
      <c r="E9593" s="23"/>
    </row>
    <row r="9594" spans="1:5" x14ac:dyDescent="0.25">
      <c r="A9594" s="22"/>
      <c r="B9594" s="23"/>
      <c r="C9594" s="23"/>
      <c r="D9594" s="23"/>
      <c r="E9594" s="23"/>
    </row>
    <row r="9595" spans="1:5" x14ac:dyDescent="0.25">
      <c r="A9595" s="22"/>
      <c r="B9595" s="23"/>
      <c r="C9595" s="23"/>
      <c r="D9595" s="23"/>
      <c r="E9595" s="23"/>
    </row>
    <row r="9596" spans="1:5" x14ac:dyDescent="0.25">
      <c r="A9596" s="22"/>
      <c r="B9596" s="23"/>
      <c r="C9596" s="23"/>
      <c r="D9596" s="23"/>
      <c r="E9596" s="23"/>
    </row>
    <row r="9597" spans="1:5" x14ac:dyDescent="0.25">
      <c r="A9597" s="22"/>
      <c r="B9597" s="23"/>
      <c r="C9597" s="23"/>
      <c r="D9597" s="23"/>
      <c r="E9597" s="23"/>
    </row>
    <row r="9598" spans="1:5" x14ac:dyDescent="0.25">
      <c r="A9598" s="22"/>
      <c r="B9598" s="23"/>
      <c r="C9598" s="23"/>
      <c r="D9598" s="23"/>
      <c r="E9598" s="23"/>
    </row>
    <row r="9599" spans="1:5" x14ac:dyDescent="0.25">
      <c r="A9599" s="22"/>
      <c r="B9599" s="23"/>
      <c r="C9599" s="23"/>
      <c r="D9599" s="23"/>
      <c r="E9599" s="23"/>
    </row>
    <row r="9600" spans="1:5" x14ac:dyDescent="0.25">
      <c r="A9600" s="22"/>
      <c r="B9600" s="23"/>
      <c r="C9600" s="23"/>
      <c r="D9600" s="23"/>
      <c r="E9600" s="23"/>
    </row>
    <row r="9601" spans="1:5" x14ac:dyDescent="0.25">
      <c r="A9601" s="22"/>
      <c r="B9601" s="23"/>
      <c r="C9601" s="23"/>
      <c r="D9601" s="23"/>
      <c r="E9601" s="23"/>
    </row>
    <row r="9602" spans="1:5" x14ac:dyDescent="0.25">
      <c r="A9602" s="22"/>
      <c r="B9602" s="23"/>
      <c r="C9602" s="23"/>
      <c r="D9602" s="23"/>
      <c r="E9602" s="23"/>
    </row>
    <row r="9603" spans="1:5" x14ac:dyDescent="0.25">
      <c r="A9603" s="22"/>
      <c r="B9603" s="23"/>
      <c r="C9603" s="23"/>
      <c r="D9603" s="23"/>
      <c r="E9603" s="23"/>
    </row>
    <row r="9604" spans="1:5" x14ac:dyDescent="0.25">
      <c r="A9604" s="22"/>
      <c r="B9604" s="23"/>
      <c r="C9604" s="23"/>
      <c r="D9604" s="23"/>
      <c r="E9604" s="23"/>
    </row>
    <row r="9605" spans="1:5" x14ac:dyDescent="0.25">
      <c r="A9605" s="22"/>
      <c r="B9605" s="23"/>
      <c r="C9605" s="23"/>
      <c r="D9605" s="23"/>
      <c r="E9605" s="23"/>
    </row>
    <row r="9606" spans="1:5" x14ac:dyDescent="0.25">
      <c r="A9606" s="22"/>
      <c r="B9606" s="23"/>
      <c r="C9606" s="23"/>
      <c r="D9606" s="23"/>
      <c r="E9606" s="23"/>
    </row>
    <row r="9607" spans="1:5" x14ac:dyDescent="0.25">
      <c r="A9607" s="22"/>
      <c r="B9607" s="23"/>
      <c r="C9607" s="23"/>
      <c r="D9607" s="23"/>
      <c r="E9607" s="23"/>
    </row>
    <row r="9608" spans="1:5" x14ac:dyDescent="0.25">
      <c r="A9608" s="22"/>
      <c r="B9608" s="23"/>
      <c r="C9608" s="23"/>
      <c r="D9608" s="23"/>
      <c r="E9608" s="23"/>
    </row>
    <row r="9609" spans="1:5" x14ac:dyDescent="0.25">
      <c r="A9609" s="22"/>
      <c r="B9609" s="23"/>
      <c r="C9609" s="23"/>
      <c r="D9609" s="23"/>
      <c r="E9609" s="23"/>
    </row>
    <row r="9610" spans="1:5" x14ac:dyDescent="0.25">
      <c r="A9610" s="22"/>
      <c r="B9610" s="23"/>
      <c r="C9610" s="23"/>
      <c r="D9610" s="23"/>
      <c r="E9610" s="23"/>
    </row>
    <row r="9611" spans="1:5" x14ac:dyDescent="0.25">
      <c r="A9611" s="22"/>
      <c r="B9611" s="23"/>
      <c r="C9611" s="23"/>
      <c r="D9611" s="23"/>
      <c r="E9611" s="23"/>
    </row>
    <row r="9612" spans="1:5" x14ac:dyDescent="0.25">
      <c r="A9612" s="22"/>
      <c r="B9612" s="23"/>
      <c r="C9612" s="23"/>
      <c r="D9612" s="23"/>
      <c r="E9612" s="23"/>
    </row>
    <row r="9613" spans="1:5" x14ac:dyDescent="0.25">
      <c r="A9613" s="22"/>
      <c r="B9613" s="23"/>
      <c r="C9613" s="23"/>
      <c r="D9613" s="23"/>
      <c r="E9613" s="23"/>
    </row>
    <row r="9614" spans="1:5" x14ac:dyDescent="0.25">
      <c r="A9614" s="22"/>
      <c r="B9614" s="23"/>
      <c r="C9614" s="23"/>
      <c r="D9614" s="23"/>
      <c r="E9614" s="23"/>
    </row>
    <row r="9615" spans="1:5" x14ac:dyDescent="0.25">
      <c r="A9615" s="22"/>
      <c r="B9615" s="23"/>
      <c r="C9615" s="23"/>
      <c r="D9615" s="23"/>
      <c r="E9615" s="23"/>
    </row>
    <row r="9616" spans="1:5" x14ac:dyDescent="0.25">
      <c r="A9616" s="22"/>
      <c r="B9616" s="23"/>
      <c r="C9616" s="23"/>
      <c r="D9616" s="23"/>
      <c r="E9616" s="23"/>
    </row>
    <row r="9617" spans="1:5" x14ac:dyDescent="0.25">
      <c r="A9617" s="22"/>
      <c r="B9617" s="23"/>
      <c r="C9617" s="23"/>
      <c r="D9617" s="23"/>
      <c r="E9617" s="23"/>
    </row>
    <row r="9618" spans="1:5" x14ac:dyDescent="0.25">
      <c r="A9618" s="22"/>
      <c r="B9618" s="23"/>
      <c r="C9618" s="23"/>
      <c r="D9618" s="23"/>
      <c r="E9618" s="23"/>
    </row>
    <row r="9619" spans="1:5" x14ac:dyDescent="0.25">
      <c r="A9619" s="22"/>
      <c r="B9619" s="23"/>
      <c r="C9619" s="23"/>
      <c r="D9619" s="23"/>
      <c r="E9619" s="23"/>
    </row>
    <row r="9620" spans="1:5" x14ac:dyDescent="0.25">
      <c r="A9620" s="22"/>
      <c r="B9620" s="23"/>
      <c r="C9620" s="23"/>
      <c r="D9620" s="23"/>
      <c r="E9620" s="23"/>
    </row>
    <row r="9621" spans="1:5" x14ac:dyDescent="0.25">
      <c r="A9621" s="22"/>
      <c r="B9621" s="23"/>
      <c r="C9621" s="23"/>
      <c r="D9621" s="23"/>
      <c r="E9621" s="23"/>
    </row>
    <row r="9622" spans="1:5" x14ac:dyDescent="0.25">
      <c r="A9622" s="22"/>
      <c r="B9622" s="23"/>
      <c r="C9622" s="23"/>
      <c r="D9622" s="23"/>
      <c r="E9622" s="23"/>
    </row>
    <row r="9623" spans="1:5" x14ac:dyDescent="0.25">
      <c r="A9623" s="22"/>
      <c r="B9623" s="23"/>
      <c r="C9623" s="23"/>
      <c r="D9623" s="23"/>
      <c r="E9623" s="23"/>
    </row>
    <row r="9624" spans="1:5" x14ac:dyDescent="0.25">
      <c r="A9624" s="22"/>
      <c r="B9624" s="23"/>
      <c r="C9624" s="23"/>
      <c r="D9624" s="23"/>
      <c r="E9624" s="23"/>
    </row>
    <row r="9625" spans="1:5" x14ac:dyDescent="0.25">
      <c r="A9625" s="22"/>
      <c r="B9625" s="23"/>
      <c r="C9625" s="23"/>
      <c r="D9625" s="23"/>
      <c r="E9625" s="23"/>
    </row>
    <row r="9626" spans="1:5" x14ac:dyDescent="0.25">
      <c r="A9626" s="22"/>
      <c r="B9626" s="23"/>
      <c r="C9626" s="23"/>
      <c r="D9626" s="23"/>
      <c r="E9626" s="23"/>
    </row>
    <row r="9627" spans="1:5" x14ac:dyDescent="0.25">
      <c r="A9627" s="22"/>
      <c r="B9627" s="23"/>
      <c r="C9627" s="23"/>
      <c r="D9627" s="23"/>
      <c r="E9627" s="23"/>
    </row>
    <row r="9628" spans="1:5" x14ac:dyDescent="0.25">
      <c r="A9628" s="22"/>
      <c r="B9628" s="23"/>
      <c r="C9628" s="23"/>
      <c r="D9628" s="23"/>
      <c r="E9628" s="23"/>
    </row>
    <row r="9629" spans="1:5" x14ac:dyDescent="0.25">
      <c r="A9629" s="22"/>
      <c r="B9629" s="23"/>
      <c r="C9629" s="23"/>
      <c r="D9629" s="23"/>
      <c r="E9629" s="23"/>
    </row>
    <row r="9630" spans="1:5" x14ac:dyDescent="0.25">
      <c r="A9630" s="22"/>
      <c r="B9630" s="23"/>
      <c r="C9630" s="23"/>
      <c r="D9630" s="23"/>
      <c r="E9630" s="23"/>
    </row>
    <row r="9631" spans="1:5" x14ac:dyDescent="0.25">
      <c r="A9631" s="22"/>
      <c r="B9631" s="23"/>
      <c r="C9631" s="23"/>
      <c r="D9631" s="23"/>
      <c r="E9631" s="23"/>
    </row>
    <row r="9632" spans="1:5" x14ac:dyDescent="0.25">
      <c r="A9632" s="22"/>
      <c r="B9632" s="23"/>
      <c r="C9632" s="23"/>
      <c r="D9632" s="23"/>
      <c r="E9632" s="23"/>
    </row>
    <row r="9633" spans="1:5" x14ac:dyDescent="0.25">
      <c r="A9633" s="22"/>
      <c r="B9633" s="23"/>
      <c r="C9633" s="23"/>
      <c r="D9633" s="23"/>
      <c r="E9633" s="23"/>
    </row>
    <row r="9634" spans="1:5" x14ac:dyDescent="0.25">
      <c r="A9634" s="22"/>
      <c r="B9634" s="23"/>
      <c r="C9634" s="23"/>
      <c r="D9634" s="23"/>
      <c r="E9634" s="23"/>
    </row>
    <row r="9635" spans="1:5" x14ac:dyDescent="0.25">
      <c r="A9635" s="22"/>
      <c r="B9635" s="23"/>
      <c r="C9635" s="23"/>
      <c r="D9635" s="23"/>
      <c r="E9635" s="23"/>
    </row>
    <row r="9636" spans="1:5" x14ac:dyDescent="0.25">
      <c r="A9636" s="22"/>
      <c r="B9636" s="23"/>
      <c r="C9636" s="23"/>
      <c r="D9636" s="23"/>
      <c r="E9636" s="23"/>
    </row>
    <row r="9637" spans="1:5" x14ac:dyDescent="0.25">
      <c r="A9637" s="22"/>
      <c r="B9637" s="23"/>
      <c r="C9637" s="23"/>
      <c r="D9637" s="23"/>
      <c r="E9637" s="23"/>
    </row>
    <row r="9638" spans="1:5" x14ac:dyDescent="0.25">
      <c r="A9638" s="22"/>
      <c r="B9638" s="23"/>
      <c r="C9638" s="23"/>
      <c r="D9638" s="23"/>
      <c r="E9638" s="23"/>
    </row>
    <row r="9639" spans="1:5" x14ac:dyDescent="0.25">
      <c r="A9639" s="22"/>
      <c r="B9639" s="23"/>
      <c r="C9639" s="23"/>
      <c r="D9639" s="23"/>
      <c r="E9639" s="23"/>
    </row>
    <row r="9640" spans="1:5" x14ac:dyDescent="0.25">
      <c r="A9640" s="22"/>
      <c r="B9640" s="23"/>
      <c r="C9640" s="23"/>
      <c r="D9640" s="23"/>
      <c r="E9640" s="23"/>
    </row>
    <row r="9641" spans="1:5" x14ac:dyDescent="0.25">
      <c r="A9641" s="22"/>
      <c r="B9641" s="23"/>
      <c r="C9641" s="23"/>
      <c r="D9641" s="23"/>
      <c r="E9641" s="23"/>
    </row>
    <row r="9642" spans="1:5" x14ac:dyDescent="0.25">
      <c r="A9642" s="22"/>
      <c r="B9642" s="23"/>
      <c r="C9642" s="23"/>
      <c r="D9642" s="23"/>
      <c r="E9642" s="23"/>
    </row>
    <row r="9643" spans="1:5" x14ac:dyDescent="0.25">
      <c r="A9643" s="22"/>
      <c r="B9643" s="23"/>
      <c r="C9643" s="23"/>
      <c r="D9643" s="23"/>
      <c r="E9643" s="23"/>
    </row>
    <row r="9644" spans="1:5" x14ac:dyDescent="0.25">
      <c r="A9644" s="22"/>
      <c r="B9644" s="23"/>
      <c r="C9644" s="23"/>
      <c r="D9644" s="23"/>
      <c r="E9644" s="23"/>
    </row>
    <row r="9645" spans="1:5" x14ac:dyDescent="0.25">
      <c r="A9645" s="22"/>
      <c r="B9645" s="23"/>
      <c r="C9645" s="23"/>
      <c r="D9645" s="23"/>
      <c r="E9645" s="23"/>
    </row>
    <row r="9646" spans="1:5" x14ac:dyDescent="0.25">
      <c r="A9646" s="22"/>
      <c r="B9646" s="23"/>
      <c r="C9646" s="23"/>
      <c r="D9646" s="23"/>
      <c r="E9646" s="23"/>
    </row>
    <row r="9647" spans="1:5" x14ac:dyDescent="0.25">
      <c r="A9647" s="22"/>
      <c r="B9647" s="23"/>
      <c r="C9647" s="23"/>
      <c r="D9647" s="23"/>
      <c r="E9647" s="23"/>
    </row>
    <row r="9648" spans="1:5" x14ac:dyDescent="0.25">
      <c r="A9648" s="22"/>
      <c r="B9648" s="23"/>
      <c r="C9648" s="23"/>
      <c r="D9648" s="23"/>
      <c r="E9648" s="23"/>
    </row>
    <row r="9649" spans="1:5" x14ac:dyDescent="0.25">
      <c r="A9649" s="22"/>
      <c r="B9649" s="23"/>
      <c r="C9649" s="23"/>
      <c r="D9649" s="23"/>
      <c r="E9649" s="23"/>
    </row>
    <row r="9650" spans="1:5" x14ac:dyDescent="0.25">
      <c r="A9650" s="22"/>
      <c r="B9650" s="23"/>
      <c r="C9650" s="23"/>
      <c r="D9650" s="23"/>
      <c r="E9650" s="23"/>
    </row>
    <row r="9651" spans="1:5" x14ac:dyDescent="0.25">
      <c r="A9651" s="22"/>
      <c r="B9651" s="23"/>
      <c r="C9651" s="23"/>
      <c r="D9651" s="23"/>
      <c r="E9651" s="23"/>
    </row>
    <row r="9652" spans="1:5" x14ac:dyDescent="0.25">
      <c r="A9652" s="22"/>
      <c r="B9652" s="23"/>
      <c r="C9652" s="23"/>
      <c r="D9652" s="23"/>
      <c r="E9652" s="23"/>
    </row>
    <row r="9653" spans="1:5" x14ac:dyDescent="0.25">
      <c r="A9653" s="22"/>
      <c r="B9653" s="23"/>
      <c r="C9653" s="23"/>
      <c r="D9653" s="23"/>
      <c r="E9653" s="23"/>
    </row>
    <row r="9654" spans="1:5" x14ac:dyDescent="0.25">
      <c r="A9654" s="22"/>
      <c r="B9654" s="23"/>
      <c r="C9654" s="23"/>
      <c r="D9654" s="23"/>
      <c r="E9654" s="23"/>
    </row>
    <row r="9655" spans="1:5" x14ac:dyDescent="0.25">
      <c r="A9655" s="22"/>
      <c r="B9655" s="23"/>
      <c r="C9655" s="23"/>
      <c r="D9655" s="23"/>
      <c r="E9655" s="23"/>
    </row>
    <row r="9656" spans="1:5" x14ac:dyDescent="0.25">
      <c r="A9656" s="22"/>
      <c r="B9656" s="23"/>
      <c r="C9656" s="23"/>
      <c r="D9656" s="23"/>
      <c r="E9656" s="23"/>
    </row>
    <row r="9657" spans="1:5" x14ac:dyDescent="0.25">
      <c r="A9657" s="22"/>
      <c r="B9657" s="23"/>
      <c r="C9657" s="23"/>
      <c r="D9657" s="23"/>
      <c r="E9657" s="23"/>
    </row>
    <row r="9658" spans="1:5" x14ac:dyDescent="0.25">
      <c r="A9658" s="22"/>
      <c r="B9658" s="23"/>
      <c r="C9658" s="23"/>
      <c r="D9658" s="23"/>
      <c r="E9658" s="23"/>
    </row>
    <row r="9659" spans="1:5" x14ac:dyDescent="0.25">
      <c r="A9659" s="22"/>
      <c r="B9659" s="23"/>
      <c r="C9659" s="23"/>
      <c r="D9659" s="23"/>
      <c r="E9659" s="23"/>
    </row>
    <row r="9660" spans="1:5" x14ac:dyDescent="0.25">
      <c r="A9660" s="22"/>
      <c r="B9660" s="23"/>
      <c r="C9660" s="23"/>
      <c r="D9660" s="23"/>
      <c r="E9660" s="23"/>
    </row>
    <row r="9661" spans="1:5" x14ac:dyDescent="0.25">
      <c r="A9661" s="22"/>
      <c r="B9661" s="23"/>
      <c r="C9661" s="23"/>
      <c r="D9661" s="23"/>
      <c r="E9661" s="23"/>
    </row>
    <row r="9662" spans="1:5" x14ac:dyDescent="0.25">
      <c r="A9662" s="22"/>
      <c r="B9662" s="23"/>
      <c r="C9662" s="23"/>
      <c r="D9662" s="23"/>
      <c r="E9662" s="23"/>
    </row>
    <row r="9663" spans="1:5" x14ac:dyDescent="0.25">
      <c r="A9663" s="22"/>
      <c r="B9663" s="23"/>
      <c r="C9663" s="23"/>
      <c r="D9663" s="23"/>
      <c r="E9663" s="23"/>
    </row>
    <row r="9664" spans="1:5" x14ac:dyDescent="0.25">
      <c r="A9664" s="22"/>
      <c r="B9664" s="23"/>
      <c r="C9664" s="23"/>
      <c r="D9664" s="23"/>
      <c r="E9664" s="23"/>
    </row>
    <row r="9665" spans="1:5" x14ac:dyDescent="0.25">
      <c r="A9665" s="22"/>
      <c r="B9665" s="23"/>
      <c r="C9665" s="23"/>
      <c r="D9665" s="23"/>
      <c r="E9665" s="23"/>
    </row>
    <row r="9666" spans="1:5" x14ac:dyDescent="0.25">
      <c r="A9666" s="22"/>
      <c r="B9666" s="23"/>
      <c r="C9666" s="23"/>
      <c r="D9666" s="23"/>
      <c r="E9666" s="23"/>
    </row>
    <row r="9667" spans="1:5" x14ac:dyDescent="0.25">
      <c r="A9667" s="22"/>
      <c r="B9667" s="23"/>
      <c r="C9667" s="23"/>
      <c r="D9667" s="23"/>
      <c r="E9667" s="23"/>
    </row>
    <row r="9668" spans="1:5" x14ac:dyDescent="0.25">
      <c r="A9668" s="22"/>
      <c r="B9668" s="23"/>
      <c r="C9668" s="23"/>
      <c r="D9668" s="23"/>
      <c r="E9668" s="23"/>
    </row>
    <row r="9669" spans="1:5" x14ac:dyDescent="0.25">
      <c r="A9669" s="22"/>
      <c r="B9669" s="23"/>
      <c r="C9669" s="23"/>
      <c r="D9669" s="23"/>
      <c r="E9669" s="23"/>
    </row>
    <row r="9670" spans="1:5" x14ac:dyDescent="0.25">
      <c r="A9670" s="22"/>
      <c r="B9670" s="23"/>
      <c r="C9670" s="23"/>
      <c r="D9670" s="23"/>
      <c r="E9670" s="23"/>
    </row>
    <row r="9671" spans="1:5" x14ac:dyDescent="0.25">
      <c r="A9671" s="22"/>
      <c r="B9671" s="23"/>
      <c r="C9671" s="23"/>
      <c r="D9671" s="23"/>
      <c r="E9671" s="23"/>
    </row>
    <row r="9672" spans="1:5" x14ac:dyDescent="0.25">
      <c r="A9672" s="22"/>
      <c r="B9672" s="23"/>
      <c r="C9672" s="23"/>
      <c r="D9672" s="23"/>
      <c r="E9672" s="23"/>
    </row>
    <row r="9673" spans="1:5" x14ac:dyDescent="0.25">
      <c r="A9673" s="22"/>
      <c r="B9673" s="23"/>
      <c r="C9673" s="23"/>
      <c r="D9673" s="23"/>
      <c r="E9673" s="23"/>
    </row>
    <row r="9674" spans="1:5" x14ac:dyDescent="0.25">
      <c r="A9674" s="22"/>
      <c r="B9674" s="23"/>
      <c r="C9674" s="23"/>
      <c r="D9674" s="23"/>
      <c r="E9674" s="23"/>
    </row>
    <row r="9675" spans="1:5" x14ac:dyDescent="0.25">
      <c r="A9675" s="22"/>
      <c r="B9675" s="23"/>
      <c r="C9675" s="23"/>
      <c r="D9675" s="23"/>
      <c r="E9675" s="23"/>
    </row>
    <row r="9676" spans="1:5" x14ac:dyDescent="0.25">
      <c r="A9676" s="22"/>
      <c r="B9676" s="23"/>
      <c r="C9676" s="23"/>
      <c r="D9676" s="23"/>
      <c r="E9676" s="23"/>
    </row>
    <row r="9677" spans="1:5" x14ac:dyDescent="0.25">
      <c r="A9677" s="22"/>
      <c r="B9677" s="23"/>
      <c r="C9677" s="23"/>
      <c r="D9677" s="23"/>
      <c r="E9677" s="23"/>
    </row>
    <row r="9678" spans="1:5" x14ac:dyDescent="0.25">
      <c r="A9678" s="22"/>
      <c r="B9678" s="23"/>
      <c r="C9678" s="23"/>
      <c r="D9678" s="23"/>
      <c r="E9678" s="23"/>
    </row>
    <row r="9679" spans="1:5" x14ac:dyDescent="0.25">
      <c r="A9679" s="22"/>
      <c r="B9679" s="23"/>
      <c r="C9679" s="23"/>
      <c r="D9679" s="23"/>
      <c r="E9679" s="23"/>
    </row>
    <row r="9680" spans="1:5" x14ac:dyDescent="0.25">
      <c r="A9680" s="22"/>
      <c r="B9680" s="23"/>
      <c r="C9680" s="23"/>
      <c r="D9680" s="23"/>
      <c r="E9680" s="23"/>
    </row>
    <row r="9681" spans="1:5" x14ac:dyDescent="0.25">
      <c r="A9681" s="22"/>
      <c r="B9681" s="23"/>
      <c r="C9681" s="23"/>
      <c r="D9681" s="23"/>
      <c r="E9681" s="23"/>
    </row>
    <row r="9682" spans="1:5" x14ac:dyDescent="0.25">
      <c r="A9682" s="22"/>
      <c r="B9682" s="23"/>
      <c r="C9682" s="23"/>
      <c r="D9682" s="23"/>
      <c r="E9682" s="23"/>
    </row>
    <row r="9683" spans="1:5" x14ac:dyDescent="0.25">
      <c r="A9683" s="22"/>
      <c r="B9683" s="23"/>
      <c r="C9683" s="23"/>
      <c r="D9683" s="23"/>
      <c r="E9683" s="23"/>
    </row>
    <row r="9684" spans="1:5" x14ac:dyDescent="0.25">
      <c r="A9684" s="22"/>
      <c r="B9684" s="23"/>
      <c r="C9684" s="23"/>
      <c r="D9684" s="23"/>
      <c r="E9684" s="23"/>
    </row>
    <row r="9685" spans="1:5" x14ac:dyDescent="0.25">
      <c r="A9685" s="22"/>
      <c r="B9685" s="23"/>
      <c r="C9685" s="23"/>
      <c r="D9685" s="23"/>
      <c r="E9685" s="23"/>
    </row>
    <row r="9686" spans="1:5" x14ac:dyDescent="0.25">
      <c r="A9686" s="22"/>
      <c r="B9686" s="23"/>
      <c r="C9686" s="23"/>
      <c r="D9686" s="23"/>
      <c r="E9686" s="23"/>
    </row>
    <row r="9687" spans="1:5" x14ac:dyDescent="0.25">
      <c r="A9687" s="22"/>
      <c r="B9687" s="23"/>
      <c r="C9687" s="23"/>
      <c r="D9687" s="23"/>
      <c r="E9687" s="23"/>
    </row>
    <row r="9688" spans="1:5" x14ac:dyDescent="0.25">
      <c r="A9688" s="22"/>
      <c r="B9688" s="23"/>
      <c r="C9688" s="23"/>
      <c r="D9688" s="23"/>
      <c r="E9688" s="23"/>
    </row>
    <row r="9689" spans="1:5" x14ac:dyDescent="0.25">
      <c r="A9689" s="22"/>
      <c r="B9689" s="23"/>
      <c r="C9689" s="23"/>
      <c r="D9689" s="23"/>
      <c r="E9689" s="23"/>
    </row>
    <row r="9690" spans="1:5" x14ac:dyDescent="0.25">
      <c r="A9690" s="22"/>
      <c r="B9690" s="23"/>
      <c r="C9690" s="23"/>
      <c r="D9690" s="23"/>
      <c r="E9690" s="23"/>
    </row>
    <row r="9691" spans="1:5" x14ac:dyDescent="0.25">
      <c r="A9691" s="22"/>
      <c r="B9691" s="23"/>
      <c r="C9691" s="23"/>
      <c r="D9691" s="23"/>
      <c r="E9691" s="23"/>
    </row>
    <row r="9692" spans="1:5" x14ac:dyDescent="0.25">
      <c r="A9692" s="22"/>
      <c r="B9692" s="23"/>
      <c r="C9692" s="23"/>
      <c r="D9692" s="23"/>
      <c r="E9692" s="23"/>
    </row>
    <row r="9693" spans="1:5" x14ac:dyDescent="0.25">
      <c r="A9693" s="22"/>
      <c r="B9693" s="23"/>
      <c r="C9693" s="23"/>
      <c r="D9693" s="23"/>
      <c r="E9693" s="23"/>
    </row>
    <row r="9694" spans="1:5" x14ac:dyDescent="0.25">
      <c r="A9694" s="22"/>
      <c r="B9694" s="23"/>
      <c r="C9694" s="23"/>
      <c r="D9694" s="23"/>
      <c r="E9694" s="23"/>
    </row>
    <row r="9695" spans="1:5" x14ac:dyDescent="0.25">
      <c r="A9695" s="22"/>
      <c r="B9695" s="23"/>
      <c r="C9695" s="23"/>
      <c r="D9695" s="23"/>
      <c r="E9695" s="23"/>
    </row>
    <row r="9696" spans="1:5" x14ac:dyDescent="0.25">
      <c r="A9696" s="22"/>
      <c r="B9696" s="23"/>
      <c r="C9696" s="23"/>
      <c r="D9696" s="23"/>
      <c r="E9696" s="23"/>
    </row>
    <row r="9697" spans="1:5" x14ac:dyDescent="0.25">
      <c r="A9697" s="22"/>
      <c r="B9697" s="23"/>
      <c r="C9697" s="23"/>
      <c r="D9697" s="23"/>
      <c r="E9697" s="23"/>
    </row>
    <row r="9698" spans="1:5" x14ac:dyDescent="0.25">
      <c r="A9698" s="22"/>
      <c r="B9698" s="23"/>
      <c r="C9698" s="23"/>
      <c r="D9698" s="23"/>
      <c r="E9698" s="23"/>
    </row>
    <row r="9699" spans="1:5" x14ac:dyDescent="0.25">
      <c r="A9699" s="22"/>
      <c r="B9699" s="23"/>
      <c r="C9699" s="23"/>
      <c r="D9699" s="23"/>
      <c r="E9699" s="23"/>
    </row>
    <row r="9700" spans="1:5" x14ac:dyDescent="0.25">
      <c r="A9700" s="22"/>
      <c r="B9700" s="23"/>
      <c r="C9700" s="23"/>
      <c r="D9700" s="23"/>
      <c r="E9700" s="23"/>
    </row>
    <row r="9701" spans="1:5" x14ac:dyDescent="0.25">
      <c r="A9701" s="22"/>
      <c r="B9701" s="23"/>
      <c r="C9701" s="23"/>
      <c r="D9701" s="23"/>
      <c r="E9701" s="23"/>
    </row>
    <row r="9702" spans="1:5" x14ac:dyDescent="0.25">
      <c r="A9702" s="22"/>
      <c r="B9702" s="23"/>
      <c r="C9702" s="23"/>
      <c r="D9702" s="23"/>
      <c r="E9702" s="23"/>
    </row>
    <row r="9703" spans="1:5" x14ac:dyDescent="0.25">
      <c r="A9703" s="22"/>
      <c r="B9703" s="23"/>
      <c r="C9703" s="23"/>
      <c r="D9703" s="23"/>
      <c r="E9703" s="23"/>
    </row>
    <row r="9704" spans="1:5" x14ac:dyDescent="0.25">
      <c r="A9704" s="22"/>
      <c r="B9704" s="23"/>
      <c r="C9704" s="23"/>
      <c r="D9704" s="23"/>
      <c r="E9704" s="23"/>
    </row>
    <row r="9705" spans="1:5" x14ac:dyDescent="0.25">
      <c r="A9705" s="22"/>
      <c r="B9705" s="23"/>
      <c r="C9705" s="23"/>
      <c r="D9705" s="23"/>
      <c r="E9705" s="23"/>
    </row>
    <row r="9706" spans="1:5" x14ac:dyDescent="0.25">
      <c r="A9706" s="22"/>
      <c r="B9706" s="23"/>
      <c r="C9706" s="23"/>
      <c r="D9706" s="23"/>
      <c r="E9706" s="23"/>
    </row>
    <row r="9707" spans="1:5" x14ac:dyDescent="0.25">
      <c r="A9707" s="22"/>
      <c r="B9707" s="23"/>
      <c r="C9707" s="23"/>
      <c r="D9707" s="23"/>
      <c r="E9707" s="23"/>
    </row>
    <row r="9708" spans="1:5" x14ac:dyDescent="0.25">
      <c r="A9708" s="22"/>
      <c r="B9708" s="23"/>
      <c r="C9708" s="23"/>
      <c r="D9708" s="23"/>
      <c r="E9708" s="23"/>
    </row>
    <row r="9709" spans="1:5" x14ac:dyDescent="0.25">
      <c r="A9709" s="22"/>
      <c r="B9709" s="23"/>
      <c r="C9709" s="23"/>
      <c r="D9709" s="23"/>
      <c r="E9709" s="23"/>
    </row>
    <row r="9710" spans="1:5" x14ac:dyDescent="0.25">
      <c r="A9710" s="22"/>
      <c r="B9710" s="23"/>
      <c r="C9710" s="23"/>
      <c r="D9710" s="23"/>
      <c r="E9710" s="23"/>
    </row>
    <row r="9711" spans="1:5" x14ac:dyDescent="0.25">
      <c r="A9711" s="22"/>
      <c r="B9711" s="23"/>
      <c r="C9711" s="23"/>
      <c r="D9711" s="23"/>
      <c r="E9711" s="23"/>
    </row>
    <row r="9712" spans="1:5" x14ac:dyDescent="0.25">
      <c r="A9712" s="22"/>
      <c r="B9712" s="23"/>
      <c r="C9712" s="23"/>
      <c r="D9712" s="23"/>
      <c r="E9712" s="23"/>
    </row>
    <row r="9713" spans="1:5" x14ac:dyDescent="0.25">
      <c r="A9713" s="22"/>
      <c r="B9713" s="23"/>
      <c r="C9713" s="23"/>
      <c r="D9713" s="23"/>
      <c r="E9713" s="23"/>
    </row>
    <row r="9714" spans="1:5" x14ac:dyDescent="0.25">
      <c r="A9714" s="22"/>
      <c r="B9714" s="23"/>
      <c r="C9714" s="23"/>
      <c r="D9714" s="23"/>
      <c r="E9714" s="23"/>
    </row>
    <row r="9715" spans="1:5" x14ac:dyDescent="0.25">
      <c r="A9715" s="22"/>
      <c r="B9715" s="23"/>
      <c r="C9715" s="23"/>
      <c r="D9715" s="23"/>
      <c r="E9715" s="23"/>
    </row>
    <row r="9716" spans="1:5" x14ac:dyDescent="0.25">
      <c r="A9716" s="22"/>
      <c r="B9716" s="23"/>
      <c r="C9716" s="23"/>
      <c r="D9716" s="23"/>
      <c r="E9716" s="23"/>
    </row>
    <row r="9717" spans="1:5" x14ac:dyDescent="0.25">
      <c r="A9717" s="22"/>
      <c r="B9717" s="23"/>
      <c r="C9717" s="23"/>
      <c r="D9717" s="23"/>
      <c r="E9717" s="23"/>
    </row>
    <row r="9718" spans="1:5" x14ac:dyDescent="0.25">
      <c r="A9718" s="22"/>
      <c r="B9718" s="23"/>
      <c r="C9718" s="23"/>
      <c r="D9718" s="23"/>
      <c r="E9718" s="23"/>
    </row>
    <row r="9719" spans="1:5" x14ac:dyDescent="0.25">
      <c r="A9719" s="22"/>
      <c r="B9719" s="23"/>
      <c r="C9719" s="23"/>
      <c r="D9719" s="23"/>
      <c r="E9719" s="23"/>
    </row>
    <row r="9720" spans="1:5" x14ac:dyDescent="0.25">
      <c r="A9720" s="22"/>
      <c r="B9720" s="23"/>
      <c r="C9720" s="23"/>
      <c r="D9720" s="23"/>
      <c r="E9720" s="23"/>
    </row>
    <row r="9721" spans="1:5" x14ac:dyDescent="0.25">
      <c r="A9721" s="22"/>
      <c r="B9721" s="23"/>
      <c r="C9721" s="23"/>
      <c r="D9721" s="23"/>
      <c r="E9721" s="23"/>
    </row>
    <row r="9722" spans="1:5" x14ac:dyDescent="0.25">
      <c r="A9722" s="22"/>
      <c r="B9722" s="23"/>
      <c r="C9722" s="23"/>
      <c r="D9722" s="23"/>
      <c r="E9722" s="23"/>
    </row>
    <row r="9723" spans="1:5" x14ac:dyDescent="0.25">
      <c r="A9723" s="22"/>
      <c r="B9723" s="23"/>
      <c r="C9723" s="23"/>
      <c r="D9723" s="23"/>
      <c r="E9723" s="23"/>
    </row>
    <row r="9724" spans="1:5" x14ac:dyDescent="0.25">
      <c r="A9724" s="22"/>
      <c r="B9724" s="23"/>
      <c r="C9724" s="23"/>
      <c r="D9724" s="23"/>
      <c r="E9724" s="23"/>
    </row>
    <row r="9725" spans="1:5" x14ac:dyDescent="0.25">
      <c r="A9725" s="22"/>
      <c r="B9725" s="23"/>
      <c r="C9725" s="23"/>
      <c r="D9725" s="23"/>
      <c r="E9725" s="23"/>
    </row>
    <row r="9726" spans="1:5" x14ac:dyDescent="0.25">
      <c r="A9726" s="22"/>
      <c r="B9726" s="23"/>
      <c r="C9726" s="23"/>
      <c r="D9726" s="23"/>
      <c r="E9726" s="23"/>
    </row>
    <row r="9727" spans="1:5" x14ac:dyDescent="0.25">
      <c r="A9727" s="22"/>
      <c r="B9727" s="23"/>
      <c r="C9727" s="23"/>
      <c r="D9727" s="23"/>
      <c r="E9727" s="23"/>
    </row>
    <row r="9728" spans="1:5" x14ac:dyDescent="0.25">
      <c r="A9728" s="22"/>
      <c r="B9728" s="23"/>
      <c r="C9728" s="23"/>
      <c r="D9728" s="23"/>
      <c r="E9728" s="23"/>
    </row>
    <row r="9729" spans="1:5" x14ac:dyDescent="0.25">
      <c r="A9729" s="22"/>
      <c r="B9729" s="23"/>
      <c r="C9729" s="23"/>
      <c r="D9729" s="23"/>
      <c r="E9729" s="23"/>
    </row>
    <row r="9730" spans="1:5" x14ac:dyDescent="0.25">
      <c r="A9730" s="22"/>
      <c r="B9730" s="23"/>
      <c r="C9730" s="23"/>
      <c r="D9730" s="23"/>
      <c r="E9730" s="23"/>
    </row>
    <row r="9731" spans="1:5" x14ac:dyDescent="0.25">
      <c r="A9731" s="22"/>
      <c r="B9731" s="23"/>
      <c r="C9731" s="23"/>
      <c r="D9731" s="23"/>
      <c r="E9731" s="23"/>
    </row>
    <row r="9732" spans="1:5" x14ac:dyDescent="0.25">
      <c r="A9732" s="22"/>
      <c r="B9732" s="23"/>
      <c r="C9732" s="23"/>
      <c r="D9732" s="23"/>
      <c r="E9732" s="23"/>
    </row>
    <row r="9733" spans="1:5" x14ac:dyDescent="0.25">
      <c r="A9733" s="22"/>
      <c r="B9733" s="23"/>
      <c r="C9733" s="23"/>
      <c r="D9733" s="23"/>
      <c r="E9733" s="23"/>
    </row>
    <row r="9734" spans="1:5" x14ac:dyDescent="0.25">
      <c r="A9734" s="22"/>
      <c r="B9734" s="23"/>
      <c r="C9734" s="23"/>
      <c r="D9734" s="23"/>
      <c r="E9734" s="23"/>
    </row>
    <row r="9735" spans="1:5" x14ac:dyDescent="0.25">
      <c r="A9735" s="22"/>
      <c r="B9735" s="23"/>
      <c r="C9735" s="23"/>
      <c r="D9735" s="23"/>
      <c r="E9735" s="23"/>
    </row>
    <row r="9736" spans="1:5" x14ac:dyDescent="0.25">
      <c r="A9736" s="22"/>
      <c r="B9736" s="23"/>
      <c r="C9736" s="23"/>
      <c r="D9736" s="23"/>
      <c r="E9736" s="23"/>
    </row>
    <row r="9737" spans="1:5" x14ac:dyDescent="0.25">
      <c r="A9737" s="22"/>
      <c r="B9737" s="23"/>
      <c r="C9737" s="23"/>
      <c r="D9737" s="23"/>
      <c r="E9737" s="23"/>
    </row>
    <row r="9738" spans="1:5" x14ac:dyDescent="0.25">
      <c r="A9738" s="22"/>
      <c r="B9738" s="23"/>
      <c r="C9738" s="23"/>
      <c r="D9738" s="23"/>
      <c r="E9738" s="23"/>
    </row>
    <row r="9739" spans="1:5" x14ac:dyDescent="0.25">
      <c r="A9739" s="22"/>
      <c r="B9739" s="23"/>
      <c r="C9739" s="23"/>
      <c r="D9739" s="23"/>
      <c r="E9739" s="23"/>
    </row>
    <row r="9740" spans="1:5" x14ac:dyDescent="0.25">
      <c r="A9740" s="22"/>
      <c r="B9740" s="23"/>
      <c r="C9740" s="23"/>
      <c r="D9740" s="23"/>
      <c r="E9740" s="23"/>
    </row>
    <row r="9741" spans="1:5" x14ac:dyDescent="0.25">
      <c r="A9741" s="22"/>
      <c r="B9741" s="23"/>
      <c r="C9741" s="23"/>
      <c r="D9741" s="23"/>
      <c r="E9741" s="23"/>
    </row>
    <row r="9742" spans="1:5" x14ac:dyDescent="0.25">
      <c r="A9742" s="22"/>
      <c r="B9742" s="23"/>
      <c r="C9742" s="23"/>
      <c r="D9742" s="23"/>
      <c r="E9742" s="23"/>
    </row>
    <row r="9743" spans="1:5" x14ac:dyDescent="0.25">
      <c r="A9743" s="22"/>
      <c r="B9743" s="23"/>
      <c r="C9743" s="23"/>
      <c r="D9743" s="23"/>
      <c r="E9743" s="23"/>
    </row>
    <row r="9744" spans="1:5" x14ac:dyDescent="0.25">
      <c r="A9744" s="22"/>
      <c r="B9744" s="23"/>
      <c r="C9744" s="23"/>
      <c r="D9744" s="23"/>
      <c r="E9744" s="23"/>
    </row>
    <row r="9745" spans="1:5" x14ac:dyDescent="0.25">
      <c r="A9745" s="22"/>
      <c r="B9745" s="23"/>
      <c r="C9745" s="23"/>
      <c r="D9745" s="23"/>
      <c r="E9745" s="23"/>
    </row>
    <row r="9746" spans="1:5" x14ac:dyDescent="0.25">
      <c r="A9746" s="22"/>
      <c r="B9746" s="23"/>
      <c r="C9746" s="23"/>
      <c r="D9746" s="23"/>
      <c r="E9746" s="23"/>
    </row>
    <row r="9747" spans="1:5" x14ac:dyDescent="0.25">
      <c r="A9747" s="22"/>
      <c r="B9747" s="23"/>
      <c r="C9747" s="23"/>
      <c r="D9747" s="23"/>
      <c r="E9747" s="23"/>
    </row>
    <row r="9748" spans="1:5" x14ac:dyDescent="0.25">
      <c r="A9748" s="22"/>
      <c r="B9748" s="23"/>
      <c r="C9748" s="23"/>
      <c r="D9748" s="23"/>
      <c r="E9748" s="23"/>
    </row>
    <row r="9749" spans="1:5" x14ac:dyDescent="0.25">
      <c r="A9749" s="22"/>
      <c r="B9749" s="23"/>
      <c r="C9749" s="23"/>
      <c r="D9749" s="23"/>
      <c r="E9749" s="23"/>
    </row>
    <row r="9750" spans="1:5" x14ac:dyDescent="0.25">
      <c r="A9750" s="22"/>
      <c r="B9750" s="23"/>
      <c r="C9750" s="23"/>
      <c r="D9750" s="23"/>
      <c r="E9750" s="23"/>
    </row>
    <row r="9751" spans="1:5" x14ac:dyDescent="0.25">
      <c r="A9751" s="22"/>
      <c r="B9751" s="23"/>
      <c r="C9751" s="23"/>
      <c r="D9751" s="23"/>
      <c r="E9751" s="23"/>
    </row>
    <row r="9752" spans="1:5" x14ac:dyDescent="0.25">
      <c r="A9752" s="22"/>
      <c r="B9752" s="23"/>
      <c r="C9752" s="23"/>
      <c r="D9752" s="23"/>
      <c r="E9752" s="23"/>
    </row>
    <row r="9753" spans="1:5" x14ac:dyDescent="0.25">
      <c r="A9753" s="22"/>
      <c r="B9753" s="23"/>
      <c r="C9753" s="23"/>
      <c r="D9753" s="23"/>
      <c r="E9753" s="23"/>
    </row>
    <row r="9754" spans="1:5" x14ac:dyDescent="0.25">
      <c r="A9754" s="22"/>
      <c r="B9754" s="23"/>
      <c r="C9754" s="23"/>
      <c r="D9754" s="23"/>
      <c r="E9754" s="23"/>
    </row>
    <row r="9755" spans="1:5" x14ac:dyDescent="0.25">
      <c r="A9755" s="22"/>
      <c r="B9755" s="23"/>
      <c r="C9755" s="23"/>
      <c r="D9755" s="23"/>
      <c r="E9755" s="23"/>
    </row>
    <row r="9756" spans="1:5" x14ac:dyDescent="0.25">
      <c r="A9756" s="22"/>
      <c r="B9756" s="23"/>
      <c r="C9756" s="23"/>
      <c r="D9756" s="23"/>
      <c r="E9756" s="23"/>
    </row>
    <row r="9757" spans="1:5" x14ac:dyDescent="0.25">
      <c r="A9757" s="22"/>
      <c r="B9757" s="23"/>
      <c r="C9757" s="23"/>
      <c r="D9757" s="23"/>
      <c r="E9757" s="23"/>
    </row>
    <row r="9758" spans="1:5" x14ac:dyDescent="0.25">
      <c r="A9758" s="22"/>
      <c r="B9758" s="23"/>
      <c r="C9758" s="23"/>
      <c r="D9758" s="23"/>
      <c r="E9758" s="23"/>
    </row>
    <row r="9759" spans="1:5" x14ac:dyDescent="0.25">
      <c r="A9759" s="22"/>
      <c r="B9759" s="23"/>
      <c r="C9759" s="23"/>
      <c r="D9759" s="23"/>
      <c r="E9759" s="23"/>
    </row>
    <row r="9760" spans="1:5" x14ac:dyDescent="0.25">
      <c r="A9760" s="22"/>
      <c r="B9760" s="23"/>
      <c r="C9760" s="23"/>
      <c r="D9760" s="23"/>
      <c r="E9760" s="23"/>
    </row>
    <row r="9761" spans="1:5" x14ac:dyDescent="0.25">
      <c r="A9761" s="22"/>
      <c r="B9761" s="23"/>
      <c r="C9761" s="23"/>
      <c r="D9761" s="23"/>
      <c r="E9761" s="23"/>
    </row>
    <row r="9762" spans="1:5" x14ac:dyDescent="0.25">
      <c r="A9762" s="22"/>
      <c r="B9762" s="23"/>
      <c r="C9762" s="23"/>
      <c r="D9762" s="23"/>
      <c r="E9762" s="23"/>
    </row>
    <row r="9763" spans="1:5" x14ac:dyDescent="0.25">
      <c r="A9763" s="22"/>
      <c r="B9763" s="23"/>
      <c r="C9763" s="23"/>
      <c r="D9763" s="23"/>
      <c r="E9763" s="23"/>
    </row>
    <row r="9764" spans="1:5" x14ac:dyDescent="0.25">
      <c r="A9764" s="22"/>
      <c r="B9764" s="23"/>
      <c r="C9764" s="23"/>
      <c r="D9764" s="23"/>
      <c r="E9764" s="23"/>
    </row>
    <row r="9765" spans="1:5" x14ac:dyDescent="0.25">
      <c r="A9765" s="22"/>
      <c r="B9765" s="23"/>
      <c r="C9765" s="23"/>
      <c r="D9765" s="23"/>
      <c r="E9765" s="23"/>
    </row>
    <row r="9766" spans="1:5" x14ac:dyDescent="0.25">
      <c r="A9766" s="22"/>
      <c r="B9766" s="23"/>
      <c r="C9766" s="23"/>
      <c r="D9766" s="23"/>
      <c r="E9766" s="23"/>
    </row>
    <row r="9767" spans="1:5" x14ac:dyDescent="0.25">
      <c r="A9767" s="22"/>
      <c r="B9767" s="23"/>
      <c r="C9767" s="23"/>
      <c r="D9767" s="23"/>
      <c r="E9767" s="23"/>
    </row>
    <row r="9768" spans="1:5" x14ac:dyDescent="0.25">
      <c r="A9768" s="22"/>
      <c r="B9768" s="23"/>
      <c r="C9768" s="23"/>
      <c r="D9768" s="23"/>
      <c r="E9768" s="23"/>
    </row>
    <row r="9769" spans="1:5" x14ac:dyDescent="0.25">
      <c r="A9769" s="22"/>
      <c r="B9769" s="23"/>
      <c r="C9769" s="23"/>
      <c r="D9769" s="23"/>
      <c r="E9769" s="23"/>
    </row>
    <row r="9770" spans="1:5" x14ac:dyDescent="0.25">
      <c r="A9770" s="22"/>
      <c r="B9770" s="23"/>
      <c r="C9770" s="23"/>
      <c r="D9770" s="23"/>
      <c r="E9770" s="23"/>
    </row>
    <row r="9771" spans="1:5" x14ac:dyDescent="0.25">
      <c r="A9771" s="22"/>
      <c r="B9771" s="23"/>
      <c r="C9771" s="23"/>
      <c r="D9771" s="23"/>
      <c r="E9771" s="23"/>
    </row>
    <row r="9772" spans="1:5" x14ac:dyDescent="0.25">
      <c r="A9772" s="22"/>
      <c r="B9772" s="23"/>
      <c r="C9772" s="23"/>
      <c r="D9772" s="23"/>
      <c r="E9772" s="23"/>
    </row>
    <row r="9773" spans="1:5" x14ac:dyDescent="0.25">
      <c r="A9773" s="22"/>
      <c r="B9773" s="23"/>
      <c r="C9773" s="23"/>
      <c r="D9773" s="23"/>
      <c r="E9773" s="23"/>
    </row>
    <row r="9774" spans="1:5" x14ac:dyDescent="0.25">
      <c r="A9774" s="22"/>
      <c r="B9774" s="23"/>
      <c r="C9774" s="23"/>
      <c r="D9774" s="23"/>
      <c r="E9774" s="23"/>
    </row>
    <row r="9775" spans="1:5" x14ac:dyDescent="0.25">
      <c r="A9775" s="22"/>
      <c r="B9775" s="23"/>
      <c r="C9775" s="23"/>
      <c r="D9775" s="23"/>
      <c r="E9775" s="23"/>
    </row>
    <row r="9776" spans="1:5" x14ac:dyDescent="0.25">
      <c r="A9776" s="22"/>
      <c r="B9776" s="23"/>
      <c r="C9776" s="23"/>
      <c r="D9776" s="23"/>
      <c r="E9776" s="23"/>
    </row>
    <row r="9777" spans="1:5" x14ac:dyDescent="0.25">
      <c r="A9777" s="22"/>
      <c r="B9777" s="23"/>
      <c r="C9777" s="23"/>
      <c r="D9777" s="23"/>
      <c r="E9777" s="23"/>
    </row>
    <row r="9778" spans="1:5" x14ac:dyDescent="0.25">
      <c r="A9778" s="22"/>
      <c r="B9778" s="23"/>
      <c r="C9778" s="23"/>
      <c r="D9778" s="23"/>
      <c r="E9778" s="23"/>
    </row>
    <row r="9779" spans="1:5" x14ac:dyDescent="0.25">
      <c r="A9779" s="22"/>
      <c r="B9779" s="23"/>
      <c r="C9779" s="23"/>
      <c r="D9779" s="23"/>
      <c r="E9779" s="23"/>
    </row>
    <row r="9780" spans="1:5" x14ac:dyDescent="0.25">
      <c r="A9780" s="22"/>
      <c r="B9780" s="23"/>
      <c r="C9780" s="23"/>
      <c r="D9780" s="23"/>
      <c r="E9780" s="23"/>
    </row>
    <row r="9781" spans="1:5" x14ac:dyDescent="0.25">
      <c r="A9781" s="22"/>
      <c r="B9781" s="23"/>
      <c r="C9781" s="23"/>
      <c r="D9781" s="23"/>
      <c r="E9781" s="23"/>
    </row>
    <row r="9782" spans="1:5" x14ac:dyDescent="0.25">
      <c r="A9782" s="22"/>
      <c r="B9782" s="23"/>
      <c r="C9782" s="23"/>
      <c r="D9782" s="23"/>
      <c r="E9782" s="23"/>
    </row>
    <row r="9783" spans="1:5" x14ac:dyDescent="0.25">
      <c r="A9783" s="22"/>
      <c r="B9783" s="23"/>
      <c r="C9783" s="23"/>
      <c r="D9783" s="23"/>
      <c r="E9783" s="23"/>
    </row>
    <row r="9784" spans="1:5" x14ac:dyDescent="0.25">
      <c r="A9784" s="22"/>
      <c r="B9784" s="23"/>
      <c r="C9784" s="23"/>
      <c r="D9784" s="23"/>
      <c r="E9784" s="23"/>
    </row>
    <row r="9785" spans="1:5" x14ac:dyDescent="0.25">
      <c r="A9785" s="22"/>
      <c r="B9785" s="23"/>
      <c r="C9785" s="23"/>
      <c r="D9785" s="23"/>
      <c r="E9785" s="23"/>
    </row>
    <row r="9786" spans="1:5" x14ac:dyDescent="0.25">
      <c r="A9786" s="22"/>
      <c r="B9786" s="23"/>
      <c r="C9786" s="23"/>
      <c r="D9786" s="23"/>
      <c r="E9786" s="23"/>
    </row>
    <row r="9787" spans="1:5" x14ac:dyDescent="0.25">
      <c r="A9787" s="22"/>
      <c r="B9787" s="23"/>
      <c r="C9787" s="23"/>
      <c r="D9787" s="23"/>
      <c r="E9787" s="23"/>
    </row>
    <row r="9788" spans="1:5" x14ac:dyDescent="0.25">
      <c r="A9788" s="22"/>
      <c r="B9788" s="23"/>
      <c r="C9788" s="23"/>
      <c r="D9788" s="23"/>
      <c r="E9788" s="23"/>
    </row>
    <row r="9789" spans="1:5" x14ac:dyDescent="0.25">
      <c r="A9789" s="22"/>
      <c r="B9789" s="23"/>
      <c r="C9789" s="23"/>
      <c r="D9789" s="23"/>
      <c r="E9789" s="23"/>
    </row>
    <row r="9790" spans="1:5" x14ac:dyDescent="0.25">
      <c r="A9790" s="22"/>
      <c r="B9790" s="23"/>
      <c r="C9790" s="23"/>
      <c r="D9790" s="23"/>
      <c r="E9790" s="23"/>
    </row>
    <row r="9791" spans="1:5" x14ac:dyDescent="0.25">
      <c r="A9791" s="22"/>
      <c r="B9791" s="23"/>
      <c r="C9791" s="23"/>
      <c r="D9791" s="23"/>
      <c r="E9791" s="23"/>
    </row>
    <row r="9792" spans="1:5" x14ac:dyDescent="0.25">
      <c r="A9792" s="22"/>
      <c r="B9792" s="23"/>
      <c r="C9792" s="23"/>
      <c r="D9792" s="23"/>
      <c r="E9792" s="23"/>
    </row>
    <row r="9793" spans="1:5" x14ac:dyDescent="0.25">
      <c r="A9793" s="22"/>
      <c r="B9793" s="23"/>
      <c r="C9793" s="23"/>
      <c r="D9793" s="23"/>
      <c r="E9793" s="23"/>
    </row>
    <row r="9794" spans="1:5" x14ac:dyDescent="0.25">
      <c r="A9794" s="22"/>
      <c r="B9794" s="23"/>
      <c r="C9794" s="23"/>
      <c r="D9794" s="23"/>
      <c r="E9794" s="23"/>
    </row>
    <row r="9795" spans="1:5" x14ac:dyDescent="0.25">
      <c r="A9795" s="22"/>
      <c r="B9795" s="23"/>
      <c r="C9795" s="23"/>
      <c r="D9795" s="23"/>
      <c r="E9795" s="23"/>
    </row>
    <row r="9796" spans="1:5" x14ac:dyDescent="0.25">
      <c r="A9796" s="22"/>
      <c r="B9796" s="23"/>
      <c r="C9796" s="23"/>
      <c r="D9796" s="23"/>
      <c r="E9796" s="23"/>
    </row>
    <row r="9797" spans="1:5" x14ac:dyDescent="0.25">
      <c r="A9797" s="22"/>
      <c r="B9797" s="23"/>
      <c r="C9797" s="23"/>
      <c r="D9797" s="23"/>
      <c r="E9797" s="23"/>
    </row>
    <row r="9798" spans="1:5" x14ac:dyDescent="0.25">
      <c r="A9798" s="22"/>
      <c r="B9798" s="23"/>
      <c r="C9798" s="23"/>
      <c r="D9798" s="23"/>
      <c r="E9798" s="23"/>
    </row>
    <row r="9799" spans="1:5" x14ac:dyDescent="0.25">
      <c r="A9799" s="22"/>
      <c r="B9799" s="23"/>
      <c r="C9799" s="23"/>
      <c r="D9799" s="23"/>
      <c r="E9799" s="23"/>
    </row>
    <row r="9800" spans="1:5" x14ac:dyDescent="0.25">
      <c r="A9800" s="22"/>
      <c r="B9800" s="23"/>
      <c r="C9800" s="23"/>
      <c r="D9800" s="23"/>
      <c r="E9800" s="23"/>
    </row>
    <row r="9801" spans="1:5" x14ac:dyDescent="0.25">
      <c r="A9801" s="22"/>
      <c r="B9801" s="23"/>
      <c r="C9801" s="23"/>
      <c r="D9801" s="23"/>
      <c r="E9801" s="23"/>
    </row>
    <row r="9802" spans="1:5" x14ac:dyDescent="0.25">
      <c r="A9802" s="22"/>
      <c r="B9802" s="23"/>
      <c r="C9802" s="23"/>
      <c r="D9802" s="23"/>
      <c r="E9802" s="23"/>
    </row>
    <row r="9803" spans="1:5" x14ac:dyDescent="0.25">
      <c r="A9803" s="22"/>
      <c r="B9803" s="23"/>
      <c r="C9803" s="23"/>
      <c r="D9803" s="23"/>
      <c r="E9803" s="23"/>
    </row>
    <row r="9804" spans="1:5" x14ac:dyDescent="0.25">
      <c r="A9804" s="22"/>
      <c r="B9804" s="23"/>
      <c r="C9804" s="23"/>
      <c r="D9804" s="23"/>
      <c r="E9804" s="23"/>
    </row>
    <row r="9805" spans="1:5" x14ac:dyDescent="0.25">
      <c r="A9805" s="22"/>
      <c r="B9805" s="23"/>
      <c r="C9805" s="23"/>
      <c r="D9805" s="23"/>
      <c r="E9805" s="23"/>
    </row>
    <row r="9806" spans="1:5" x14ac:dyDescent="0.25">
      <c r="A9806" s="22"/>
      <c r="B9806" s="23"/>
      <c r="C9806" s="23"/>
      <c r="D9806" s="23"/>
      <c r="E9806" s="23"/>
    </row>
    <row r="9807" spans="1:5" x14ac:dyDescent="0.25">
      <c r="A9807" s="22"/>
      <c r="B9807" s="23"/>
      <c r="C9807" s="23"/>
      <c r="D9807" s="23"/>
      <c r="E9807" s="23"/>
    </row>
    <row r="9808" spans="1:5" x14ac:dyDescent="0.25">
      <c r="A9808" s="22"/>
      <c r="B9808" s="23"/>
      <c r="C9808" s="23"/>
      <c r="D9808" s="23"/>
      <c r="E9808" s="23"/>
    </row>
    <row r="9809" spans="1:5" x14ac:dyDescent="0.25">
      <c r="A9809" s="22"/>
      <c r="B9809" s="23"/>
      <c r="C9809" s="23"/>
      <c r="D9809" s="23"/>
      <c r="E9809" s="23"/>
    </row>
    <row r="9810" spans="1:5" x14ac:dyDescent="0.25">
      <c r="A9810" s="22"/>
      <c r="B9810" s="23"/>
      <c r="C9810" s="23"/>
      <c r="D9810" s="23"/>
      <c r="E9810" s="23"/>
    </row>
    <row r="9811" spans="1:5" x14ac:dyDescent="0.25">
      <c r="A9811" s="22"/>
      <c r="B9811" s="23"/>
      <c r="C9811" s="23"/>
      <c r="D9811" s="23"/>
      <c r="E9811" s="23"/>
    </row>
    <row r="9812" spans="1:5" x14ac:dyDescent="0.25">
      <c r="A9812" s="22"/>
      <c r="B9812" s="23"/>
      <c r="C9812" s="23"/>
      <c r="D9812" s="23"/>
      <c r="E9812" s="23"/>
    </row>
    <row r="9813" spans="1:5" x14ac:dyDescent="0.25">
      <c r="A9813" s="22"/>
      <c r="B9813" s="23"/>
      <c r="C9813" s="23"/>
      <c r="D9813" s="23"/>
      <c r="E9813" s="23"/>
    </row>
    <row r="9814" spans="1:5" x14ac:dyDescent="0.25">
      <c r="A9814" s="22"/>
      <c r="B9814" s="23"/>
      <c r="C9814" s="23"/>
      <c r="D9814" s="23"/>
      <c r="E9814" s="23"/>
    </row>
    <row r="9815" spans="1:5" x14ac:dyDescent="0.25">
      <c r="A9815" s="22"/>
      <c r="B9815" s="23"/>
      <c r="C9815" s="23"/>
      <c r="D9815" s="23"/>
      <c r="E9815" s="23"/>
    </row>
    <row r="9816" spans="1:5" x14ac:dyDescent="0.25">
      <c r="A9816" s="22"/>
      <c r="B9816" s="23"/>
      <c r="C9816" s="23"/>
      <c r="D9816" s="23"/>
      <c r="E9816" s="23"/>
    </row>
    <row r="9817" spans="1:5" x14ac:dyDescent="0.25">
      <c r="A9817" s="22"/>
      <c r="B9817" s="23"/>
      <c r="C9817" s="23"/>
      <c r="D9817" s="23"/>
      <c r="E9817" s="23"/>
    </row>
    <row r="9818" spans="1:5" x14ac:dyDescent="0.25">
      <c r="A9818" s="22"/>
      <c r="B9818" s="23"/>
      <c r="C9818" s="23"/>
      <c r="D9818" s="23"/>
      <c r="E9818" s="23"/>
    </row>
    <row r="9819" spans="1:5" x14ac:dyDescent="0.25">
      <c r="A9819" s="22"/>
      <c r="B9819" s="23"/>
      <c r="C9819" s="23"/>
      <c r="D9819" s="23"/>
      <c r="E9819" s="23"/>
    </row>
    <row r="9820" spans="1:5" x14ac:dyDescent="0.25">
      <c r="A9820" s="22"/>
      <c r="B9820" s="23"/>
      <c r="C9820" s="23"/>
      <c r="D9820" s="23"/>
      <c r="E9820" s="23"/>
    </row>
    <row r="9821" spans="1:5" x14ac:dyDescent="0.25">
      <c r="A9821" s="22"/>
      <c r="B9821" s="23"/>
      <c r="C9821" s="23"/>
      <c r="D9821" s="23"/>
      <c r="E9821" s="23"/>
    </row>
    <row r="9822" spans="1:5" x14ac:dyDescent="0.25">
      <c r="A9822" s="22"/>
      <c r="B9822" s="23"/>
      <c r="C9822" s="23"/>
      <c r="D9822" s="23"/>
      <c r="E9822" s="23"/>
    </row>
    <row r="9823" spans="1:5" x14ac:dyDescent="0.25">
      <c r="A9823" s="22"/>
      <c r="B9823" s="23"/>
      <c r="C9823" s="23"/>
      <c r="D9823" s="23"/>
      <c r="E9823" s="23"/>
    </row>
    <row r="9824" spans="1:5" x14ac:dyDescent="0.25">
      <c r="A9824" s="22"/>
      <c r="B9824" s="23"/>
      <c r="C9824" s="23"/>
      <c r="D9824" s="23"/>
      <c r="E9824" s="23"/>
    </row>
    <row r="9825" spans="1:5" x14ac:dyDescent="0.25">
      <c r="A9825" s="22"/>
      <c r="B9825" s="23"/>
      <c r="C9825" s="23"/>
      <c r="D9825" s="23"/>
      <c r="E9825" s="23"/>
    </row>
    <row r="9826" spans="1:5" x14ac:dyDescent="0.25">
      <c r="A9826" s="22"/>
      <c r="B9826" s="23"/>
      <c r="C9826" s="23"/>
      <c r="D9826" s="23"/>
      <c r="E9826" s="23"/>
    </row>
    <row r="9827" spans="1:5" x14ac:dyDescent="0.25">
      <c r="A9827" s="22"/>
      <c r="B9827" s="23"/>
      <c r="C9827" s="23"/>
      <c r="D9827" s="23"/>
      <c r="E9827" s="23"/>
    </row>
    <row r="9828" spans="1:5" x14ac:dyDescent="0.25">
      <c r="A9828" s="22"/>
      <c r="B9828" s="23"/>
      <c r="C9828" s="23"/>
      <c r="D9828" s="23"/>
      <c r="E9828" s="23"/>
    </row>
    <row r="9829" spans="1:5" x14ac:dyDescent="0.25">
      <c r="A9829" s="22"/>
      <c r="B9829" s="23"/>
      <c r="C9829" s="23"/>
      <c r="D9829" s="23"/>
      <c r="E9829" s="23"/>
    </row>
    <row r="9830" spans="1:5" x14ac:dyDescent="0.25">
      <c r="A9830" s="22"/>
      <c r="B9830" s="23"/>
      <c r="C9830" s="23"/>
      <c r="D9830" s="23"/>
      <c r="E9830" s="23"/>
    </row>
    <row r="9831" spans="1:5" x14ac:dyDescent="0.25">
      <c r="A9831" s="22"/>
      <c r="B9831" s="23"/>
      <c r="C9831" s="23"/>
      <c r="D9831" s="23"/>
      <c r="E9831" s="23"/>
    </row>
    <row r="9832" spans="1:5" x14ac:dyDescent="0.25">
      <c r="A9832" s="22"/>
      <c r="B9832" s="23"/>
      <c r="C9832" s="23"/>
      <c r="D9832" s="23"/>
      <c r="E9832" s="23"/>
    </row>
    <row r="9833" spans="1:5" x14ac:dyDescent="0.25">
      <c r="A9833" s="22"/>
      <c r="B9833" s="23"/>
      <c r="C9833" s="23"/>
      <c r="D9833" s="23"/>
      <c r="E9833" s="23"/>
    </row>
    <row r="9834" spans="1:5" x14ac:dyDescent="0.25">
      <c r="A9834" s="22"/>
      <c r="B9834" s="23"/>
      <c r="C9834" s="23"/>
      <c r="D9834" s="23"/>
      <c r="E9834" s="23"/>
    </row>
    <row r="9835" spans="1:5" x14ac:dyDescent="0.25">
      <c r="A9835" s="22"/>
      <c r="B9835" s="23"/>
      <c r="C9835" s="23"/>
      <c r="D9835" s="23"/>
      <c r="E9835" s="23"/>
    </row>
    <row r="9836" spans="1:5" x14ac:dyDescent="0.25">
      <c r="A9836" s="22"/>
      <c r="B9836" s="23"/>
      <c r="C9836" s="23"/>
      <c r="D9836" s="23"/>
      <c r="E9836" s="23"/>
    </row>
    <row r="9837" spans="1:5" x14ac:dyDescent="0.25">
      <c r="A9837" s="22"/>
      <c r="B9837" s="23"/>
      <c r="C9837" s="23"/>
      <c r="D9837" s="23"/>
      <c r="E9837" s="23"/>
    </row>
    <row r="9838" spans="1:5" x14ac:dyDescent="0.25">
      <c r="A9838" s="22"/>
      <c r="B9838" s="23"/>
      <c r="C9838" s="23"/>
      <c r="D9838" s="23"/>
      <c r="E9838" s="23"/>
    </row>
    <row r="9839" spans="1:5" x14ac:dyDescent="0.25">
      <c r="A9839" s="22"/>
      <c r="B9839" s="23"/>
      <c r="C9839" s="23"/>
      <c r="D9839" s="23"/>
      <c r="E9839" s="23"/>
    </row>
    <row r="9840" spans="1:5" x14ac:dyDescent="0.25">
      <c r="A9840" s="22"/>
      <c r="B9840" s="23"/>
      <c r="C9840" s="23"/>
      <c r="D9840" s="23"/>
      <c r="E9840" s="23"/>
    </row>
    <row r="9841" spans="1:5" x14ac:dyDescent="0.25">
      <c r="A9841" s="22"/>
      <c r="B9841" s="23"/>
      <c r="C9841" s="23"/>
      <c r="D9841" s="23"/>
      <c r="E9841" s="23"/>
    </row>
    <row r="9842" spans="1:5" x14ac:dyDescent="0.25">
      <c r="A9842" s="22"/>
      <c r="B9842" s="23"/>
      <c r="C9842" s="23"/>
      <c r="D9842" s="23"/>
      <c r="E9842" s="23"/>
    </row>
    <row r="9843" spans="1:5" x14ac:dyDescent="0.25">
      <c r="A9843" s="22"/>
      <c r="B9843" s="23"/>
      <c r="C9843" s="23"/>
      <c r="D9843" s="23"/>
      <c r="E9843" s="23"/>
    </row>
    <row r="9844" spans="1:5" x14ac:dyDescent="0.25">
      <c r="A9844" s="22"/>
      <c r="B9844" s="23"/>
      <c r="C9844" s="23"/>
      <c r="D9844" s="23"/>
      <c r="E9844" s="23"/>
    </row>
    <row r="9845" spans="1:5" x14ac:dyDescent="0.25">
      <c r="A9845" s="22"/>
      <c r="B9845" s="23"/>
      <c r="C9845" s="23"/>
      <c r="D9845" s="23"/>
      <c r="E9845" s="23"/>
    </row>
    <row r="9846" spans="1:5" x14ac:dyDescent="0.25">
      <c r="A9846" s="22"/>
      <c r="B9846" s="23"/>
      <c r="C9846" s="23"/>
      <c r="D9846" s="23"/>
      <c r="E9846" s="23"/>
    </row>
    <row r="9847" spans="1:5" x14ac:dyDescent="0.25">
      <c r="A9847" s="22"/>
      <c r="B9847" s="23"/>
      <c r="C9847" s="23"/>
      <c r="D9847" s="23"/>
      <c r="E9847" s="23"/>
    </row>
    <row r="9848" spans="1:5" x14ac:dyDescent="0.25">
      <c r="A9848" s="22"/>
      <c r="B9848" s="23"/>
      <c r="C9848" s="23"/>
      <c r="D9848" s="23"/>
      <c r="E9848" s="23"/>
    </row>
    <row r="9849" spans="1:5" x14ac:dyDescent="0.25">
      <c r="A9849" s="22"/>
      <c r="B9849" s="23"/>
      <c r="C9849" s="23"/>
      <c r="D9849" s="23"/>
      <c r="E9849" s="23"/>
    </row>
    <row r="9850" spans="1:5" x14ac:dyDescent="0.25">
      <c r="A9850" s="22"/>
      <c r="B9850" s="23"/>
      <c r="C9850" s="23"/>
      <c r="D9850" s="23"/>
      <c r="E9850" s="23"/>
    </row>
    <row r="9851" spans="1:5" x14ac:dyDescent="0.25">
      <c r="A9851" s="22"/>
      <c r="B9851" s="23"/>
      <c r="C9851" s="23"/>
      <c r="D9851" s="23"/>
      <c r="E9851" s="23"/>
    </row>
    <row r="9852" spans="1:5" x14ac:dyDescent="0.25">
      <c r="A9852" s="22"/>
      <c r="B9852" s="23"/>
      <c r="C9852" s="23"/>
      <c r="D9852" s="23"/>
      <c r="E9852" s="23"/>
    </row>
    <row r="9853" spans="1:5" x14ac:dyDescent="0.25">
      <c r="A9853" s="22"/>
      <c r="B9853" s="23"/>
      <c r="C9853" s="23"/>
      <c r="D9853" s="23"/>
      <c r="E9853" s="23"/>
    </row>
    <row r="9854" spans="1:5" x14ac:dyDescent="0.25">
      <c r="A9854" s="22"/>
      <c r="B9854" s="23"/>
      <c r="C9854" s="23"/>
      <c r="D9854" s="23"/>
      <c r="E9854" s="23"/>
    </row>
    <row r="9855" spans="1:5" x14ac:dyDescent="0.25">
      <c r="A9855" s="22"/>
      <c r="B9855" s="23"/>
      <c r="C9855" s="23"/>
      <c r="D9855" s="23"/>
      <c r="E9855" s="23"/>
    </row>
    <row r="9856" spans="1:5" x14ac:dyDescent="0.25">
      <c r="A9856" s="22"/>
      <c r="B9856" s="23"/>
      <c r="C9856" s="23"/>
      <c r="D9856" s="23"/>
      <c r="E9856" s="23"/>
    </row>
    <row r="9857" spans="1:5" x14ac:dyDescent="0.25">
      <c r="A9857" s="22"/>
      <c r="B9857" s="23"/>
      <c r="C9857" s="23"/>
      <c r="D9857" s="23"/>
      <c r="E9857" s="23"/>
    </row>
    <row r="9858" spans="1:5" x14ac:dyDescent="0.25">
      <c r="A9858" s="22"/>
      <c r="B9858" s="23"/>
      <c r="C9858" s="23"/>
      <c r="D9858" s="23"/>
      <c r="E9858" s="23"/>
    </row>
    <row r="9859" spans="1:5" x14ac:dyDescent="0.25">
      <c r="A9859" s="22"/>
      <c r="B9859" s="23"/>
      <c r="C9859" s="23"/>
      <c r="D9859" s="23"/>
      <c r="E9859" s="23"/>
    </row>
    <row r="9860" spans="1:5" x14ac:dyDescent="0.25">
      <c r="A9860" s="22"/>
      <c r="B9860" s="23"/>
      <c r="C9860" s="23"/>
      <c r="D9860" s="23"/>
      <c r="E9860" s="23"/>
    </row>
    <row r="9861" spans="1:5" x14ac:dyDescent="0.25">
      <c r="A9861" s="22"/>
      <c r="B9861" s="23"/>
      <c r="C9861" s="23"/>
      <c r="D9861" s="23"/>
      <c r="E9861" s="23"/>
    </row>
    <row r="9862" spans="1:5" x14ac:dyDescent="0.25">
      <c r="A9862" s="22"/>
      <c r="B9862" s="23"/>
      <c r="C9862" s="23"/>
      <c r="D9862" s="23"/>
      <c r="E9862" s="23"/>
    </row>
    <row r="9863" spans="1:5" x14ac:dyDescent="0.25">
      <c r="A9863" s="22"/>
      <c r="B9863" s="23"/>
      <c r="C9863" s="23"/>
      <c r="D9863" s="23"/>
      <c r="E9863" s="23"/>
    </row>
    <row r="9864" spans="1:5" x14ac:dyDescent="0.25">
      <c r="A9864" s="22"/>
      <c r="B9864" s="23"/>
      <c r="C9864" s="23"/>
      <c r="D9864" s="23"/>
      <c r="E9864" s="23"/>
    </row>
    <row r="9865" spans="1:5" x14ac:dyDescent="0.25">
      <c r="A9865" s="22"/>
      <c r="B9865" s="23"/>
      <c r="C9865" s="23"/>
      <c r="D9865" s="23"/>
      <c r="E9865" s="23"/>
    </row>
    <row r="9866" spans="1:5" x14ac:dyDescent="0.25">
      <c r="A9866" s="22"/>
      <c r="B9866" s="23"/>
      <c r="C9866" s="23"/>
      <c r="D9866" s="23"/>
      <c r="E9866" s="23"/>
    </row>
    <row r="9867" spans="1:5" x14ac:dyDescent="0.25">
      <c r="A9867" s="22"/>
      <c r="B9867" s="23"/>
      <c r="C9867" s="23"/>
      <c r="D9867" s="23"/>
      <c r="E9867" s="23"/>
    </row>
    <row r="9868" spans="1:5" x14ac:dyDescent="0.25">
      <c r="A9868" s="22"/>
      <c r="B9868" s="23"/>
      <c r="C9868" s="23"/>
      <c r="D9868" s="23"/>
      <c r="E9868" s="23"/>
    </row>
    <row r="9869" spans="1:5" x14ac:dyDescent="0.25">
      <c r="A9869" s="22"/>
      <c r="B9869" s="23"/>
      <c r="C9869" s="23"/>
      <c r="D9869" s="23"/>
      <c r="E9869" s="23"/>
    </row>
    <row r="9870" spans="1:5" x14ac:dyDescent="0.25">
      <c r="A9870" s="22"/>
      <c r="B9870" s="23"/>
      <c r="C9870" s="23"/>
      <c r="D9870" s="23"/>
      <c r="E9870" s="23"/>
    </row>
    <row r="9871" spans="1:5" x14ac:dyDescent="0.25">
      <c r="A9871" s="22"/>
      <c r="B9871" s="23"/>
      <c r="C9871" s="23"/>
      <c r="D9871" s="23"/>
      <c r="E9871" s="23"/>
    </row>
    <row r="9872" spans="1:5" x14ac:dyDescent="0.25">
      <c r="A9872" s="22"/>
      <c r="B9872" s="23"/>
      <c r="C9872" s="23"/>
      <c r="D9872" s="23"/>
      <c r="E9872" s="23"/>
    </row>
    <row r="9873" spans="1:5" x14ac:dyDescent="0.25">
      <c r="A9873" s="22"/>
      <c r="B9873" s="23"/>
      <c r="C9873" s="23"/>
      <c r="D9873" s="23"/>
      <c r="E9873" s="23"/>
    </row>
    <row r="9874" spans="1:5" x14ac:dyDescent="0.25">
      <c r="A9874" s="22"/>
      <c r="B9874" s="23"/>
      <c r="C9874" s="23"/>
      <c r="D9874" s="23"/>
      <c r="E9874" s="23"/>
    </row>
    <row r="9875" spans="1:5" x14ac:dyDescent="0.25">
      <c r="A9875" s="22"/>
      <c r="B9875" s="23"/>
      <c r="C9875" s="23"/>
      <c r="D9875" s="23"/>
      <c r="E9875" s="23"/>
    </row>
    <row r="9876" spans="1:5" x14ac:dyDescent="0.25">
      <c r="A9876" s="22"/>
      <c r="B9876" s="23"/>
      <c r="C9876" s="23"/>
      <c r="D9876" s="23"/>
      <c r="E9876" s="23"/>
    </row>
    <row r="9877" spans="1:5" x14ac:dyDescent="0.25">
      <c r="A9877" s="22"/>
      <c r="B9877" s="23"/>
      <c r="C9877" s="23"/>
      <c r="D9877" s="23"/>
      <c r="E9877" s="23"/>
    </row>
    <row r="9878" spans="1:5" x14ac:dyDescent="0.25">
      <c r="A9878" s="22"/>
      <c r="B9878" s="23"/>
      <c r="C9878" s="23"/>
      <c r="D9878" s="23"/>
      <c r="E9878" s="23"/>
    </row>
    <row r="9879" spans="1:5" x14ac:dyDescent="0.25">
      <c r="A9879" s="22"/>
      <c r="B9879" s="23"/>
      <c r="C9879" s="23"/>
      <c r="D9879" s="23"/>
      <c r="E9879" s="23"/>
    </row>
    <row r="9880" spans="1:5" x14ac:dyDescent="0.25">
      <c r="A9880" s="22"/>
      <c r="B9880" s="23"/>
      <c r="C9880" s="23"/>
      <c r="D9880" s="23"/>
      <c r="E9880" s="23"/>
    </row>
    <row r="9881" spans="1:5" x14ac:dyDescent="0.25">
      <c r="A9881" s="22"/>
      <c r="B9881" s="23"/>
      <c r="C9881" s="23"/>
      <c r="D9881" s="23"/>
      <c r="E9881" s="23"/>
    </row>
    <row r="9882" spans="1:5" x14ac:dyDescent="0.25">
      <c r="A9882" s="22"/>
      <c r="B9882" s="23"/>
      <c r="C9882" s="23"/>
      <c r="D9882" s="23"/>
      <c r="E9882" s="23"/>
    </row>
    <row r="9883" spans="1:5" x14ac:dyDescent="0.25">
      <c r="A9883" s="22"/>
      <c r="B9883" s="23"/>
      <c r="C9883" s="23"/>
      <c r="D9883" s="23"/>
      <c r="E9883" s="23"/>
    </row>
    <row r="9884" spans="1:5" x14ac:dyDescent="0.25">
      <c r="A9884" s="22"/>
      <c r="B9884" s="23"/>
      <c r="C9884" s="23"/>
      <c r="D9884" s="23"/>
      <c r="E9884" s="23"/>
    </row>
    <row r="9885" spans="1:5" x14ac:dyDescent="0.25">
      <c r="A9885" s="22"/>
      <c r="B9885" s="23"/>
      <c r="C9885" s="23"/>
      <c r="D9885" s="23"/>
      <c r="E9885" s="23"/>
    </row>
    <row r="9886" spans="1:5" x14ac:dyDescent="0.25">
      <c r="A9886" s="22"/>
      <c r="B9886" s="23"/>
      <c r="C9886" s="23"/>
      <c r="D9886" s="23"/>
      <c r="E9886" s="23"/>
    </row>
    <row r="9887" spans="1:5" x14ac:dyDescent="0.25">
      <c r="A9887" s="22"/>
      <c r="B9887" s="23"/>
      <c r="C9887" s="23"/>
      <c r="D9887" s="23"/>
      <c r="E9887" s="23"/>
    </row>
    <row r="9888" spans="1:5" x14ac:dyDescent="0.25">
      <c r="A9888" s="22"/>
      <c r="B9888" s="23"/>
      <c r="C9888" s="23"/>
      <c r="D9888" s="23"/>
      <c r="E9888" s="23"/>
    </row>
    <row r="9889" spans="1:5" x14ac:dyDescent="0.25">
      <c r="A9889" s="22"/>
      <c r="B9889" s="23"/>
      <c r="C9889" s="23"/>
      <c r="D9889" s="23"/>
      <c r="E9889" s="23"/>
    </row>
    <row r="9890" spans="1:5" x14ac:dyDescent="0.25">
      <c r="A9890" s="22"/>
      <c r="B9890" s="23"/>
      <c r="C9890" s="23"/>
      <c r="D9890" s="23"/>
      <c r="E9890" s="23"/>
    </row>
    <row r="9891" spans="1:5" x14ac:dyDescent="0.25">
      <c r="A9891" s="22"/>
      <c r="B9891" s="23"/>
      <c r="C9891" s="23"/>
      <c r="D9891" s="23"/>
      <c r="E9891" s="23"/>
    </row>
    <row r="9892" spans="1:5" x14ac:dyDescent="0.25">
      <c r="A9892" s="22"/>
      <c r="B9892" s="23"/>
      <c r="C9892" s="23"/>
      <c r="D9892" s="23"/>
      <c r="E9892" s="23"/>
    </row>
    <row r="9893" spans="1:5" x14ac:dyDescent="0.25">
      <c r="A9893" s="22"/>
      <c r="B9893" s="23"/>
      <c r="C9893" s="23"/>
      <c r="D9893" s="23"/>
      <c r="E9893" s="23"/>
    </row>
    <row r="9894" spans="1:5" x14ac:dyDescent="0.25">
      <c r="A9894" s="22"/>
      <c r="B9894" s="23"/>
      <c r="C9894" s="23"/>
      <c r="D9894" s="23"/>
      <c r="E9894" s="23"/>
    </row>
    <row r="9895" spans="1:5" x14ac:dyDescent="0.25">
      <c r="A9895" s="22"/>
      <c r="B9895" s="23"/>
      <c r="C9895" s="23"/>
      <c r="D9895" s="23"/>
      <c r="E9895" s="23"/>
    </row>
    <row r="9896" spans="1:5" x14ac:dyDescent="0.25">
      <c r="A9896" s="22"/>
      <c r="B9896" s="23"/>
      <c r="C9896" s="23"/>
      <c r="D9896" s="23"/>
      <c r="E9896" s="23"/>
    </row>
    <row r="9897" spans="1:5" x14ac:dyDescent="0.25">
      <c r="A9897" s="22"/>
      <c r="B9897" s="23"/>
      <c r="C9897" s="23"/>
      <c r="D9897" s="23"/>
      <c r="E9897" s="23"/>
    </row>
    <row r="9898" spans="1:5" x14ac:dyDescent="0.25">
      <c r="A9898" s="22"/>
      <c r="B9898" s="23"/>
      <c r="C9898" s="23"/>
      <c r="D9898" s="23"/>
      <c r="E9898" s="23"/>
    </row>
    <row r="9899" spans="1:5" x14ac:dyDescent="0.25">
      <c r="A9899" s="22"/>
      <c r="B9899" s="23"/>
      <c r="C9899" s="23"/>
      <c r="D9899" s="23"/>
      <c r="E9899" s="23"/>
    </row>
    <row r="9900" spans="1:5" x14ac:dyDescent="0.25">
      <c r="A9900" s="22"/>
      <c r="B9900" s="23"/>
      <c r="C9900" s="23"/>
      <c r="D9900" s="23"/>
      <c r="E9900" s="23"/>
    </row>
    <row r="9901" spans="1:5" x14ac:dyDescent="0.25">
      <c r="A9901" s="22"/>
      <c r="B9901" s="23"/>
      <c r="C9901" s="23"/>
      <c r="D9901" s="23"/>
      <c r="E9901" s="23"/>
    </row>
    <row r="9902" spans="1:5" x14ac:dyDescent="0.25">
      <c r="A9902" s="22"/>
      <c r="B9902" s="23"/>
      <c r="C9902" s="23"/>
      <c r="D9902" s="23"/>
      <c r="E9902" s="23"/>
    </row>
    <row r="9903" spans="1:5" x14ac:dyDescent="0.25">
      <c r="A9903" s="22"/>
      <c r="B9903" s="23"/>
      <c r="C9903" s="23"/>
      <c r="D9903" s="23"/>
      <c r="E9903" s="23"/>
    </row>
    <row r="9904" spans="1:5" x14ac:dyDescent="0.25">
      <c r="A9904" s="22"/>
      <c r="B9904" s="23"/>
      <c r="C9904" s="23"/>
      <c r="D9904" s="23"/>
      <c r="E9904" s="23"/>
    </row>
    <row r="9905" spans="1:5" x14ac:dyDescent="0.25">
      <c r="A9905" s="22"/>
      <c r="B9905" s="23"/>
      <c r="C9905" s="23"/>
      <c r="D9905" s="23"/>
      <c r="E9905" s="23"/>
    </row>
    <row r="9906" spans="1:5" x14ac:dyDescent="0.25">
      <c r="A9906" s="22"/>
      <c r="B9906" s="23"/>
      <c r="C9906" s="23"/>
      <c r="D9906" s="23"/>
      <c r="E9906" s="23"/>
    </row>
    <row r="9907" spans="1:5" x14ac:dyDescent="0.25">
      <c r="A9907" s="22"/>
      <c r="B9907" s="23"/>
      <c r="C9907" s="23"/>
      <c r="D9907" s="23"/>
      <c r="E9907" s="23"/>
    </row>
    <row r="9908" spans="1:5" x14ac:dyDescent="0.25">
      <c r="A9908" s="22"/>
      <c r="B9908" s="23"/>
      <c r="C9908" s="23"/>
      <c r="D9908" s="23"/>
      <c r="E9908" s="23"/>
    </row>
    <row r="9909" spans="1:5" x14ac:dyDescent="0.25">
      <c r="A9909" s="22"/>
      <c r="B9909" s="23"/>
      <c r="C9909" s="23"/>
      <c r="D9909" s="23"/>
      <c r="E9909" s="23"/>
    </row>
    <row r="9910" spans="1:5" x14ac:dyDescent="0.25">
      <c r="A9910" s="22"/>
      <c r="B9910" s="23"/>
      <c r="C9910" s="23"/>
      <c r="D9910" s="23"/>
      <c r="E9910" s="23"/>
    </row>
    <row r="9911" spans="1:5" x14ac:dyDescent="0.25">
      <c r="A9911" s="22"/>
      <c r="B9911" s="23"/>
      <c r="C9911" s="23"/>
      <c r="D9911" s="23"/>
      <c r="E9911" s="23"/>
    </row>
    <row r="9912" spans="1:5" x14ac:dyDescent="0.25">
      <c r="A9912" s="22"/>
      <c r="B9912" s="23"/>
      <c r="C9912" s="23"/>
      <c r="D9912" s="23"/>
      <c r="E9912" s="23"/>
    </row>
    <row r="9913" spans="1:5" x14ac:dyDescent="0.25">
      <c r="A9913" s="22"/>
      <c r="B9913" s="23"/>
      <c r="C9913" s="23"/>
      <c r="D9913" s="23"/>
      <c r="E9913" s="23"/>
    </row>
    <row r="9914" spans="1:5" x14ac:dyDescent="0.25">
      <c r="A9914" s="22"/>
      <c r="B9914" s="23"/>
      <c r="C9914" s="23"/>
      <c r="D9914" s="23"/>
      <c r="E9914" s="23"/>
    </row>
    <row r="9915" spans="1:5" x14ac:dyDescent="0.25">
      <c r="A9915" s="22"/>
      <c r="B9915" s="23"/>
      <c r="C9915" s="23"/>
      <c r="D9915" s="23"/>
      <c r="E9915" s="23"/>
    </row>
    <row r="9916" spans="1:5" x14ac:dyDescent="0.25">
      <c r="A9916" s="22"/>
      <c r="B9916" s="23"/>
      <c r="C9916" s="23"/>
      <c r="D9916" s="23"/>
      <c r="E9916" s="23"/>
    </row>
    <row r="9917" spans="1:5" x14ac:dyDescent="0.25">
      <c r="A9917" s="22"/>
      <c r="B9917" s="23"/>
      <c r="C9917" s="23"/>
      <c r="D9917" s="23"/>
      <c r="E9917" s="23"/>
    </row>
    <row r="9918" spans="1:5" x14ac:dyDescent="0.25">
      <c r="A9918" s="22"/>
      <c r="B9918" s="23"/>
      <c r="C9918" s="23"/>
      <c r="D9918" s="23"/>
      <c r="E9918" s="23"/>
    </row>
    <row r="9919" spans="1:5" x14ac:dyDescent="0.25">
      <c r="A9919" s="22"/>
      <c r="B9919" s="23"/>
      <c r="C9919" s="23"/>
      <c r="D9919" s="23"/>
      <c r="E9919" s="23"/>
    </row>
    <row r="9920" spans="1:5" x14ac:dyDescent="0.25">
      <c r="A9920" s="22"/>
      <c r="B9920" s="23"/>
      <c r="C9920" s="23"/>
      <c r="D9920" s="23"/>
      <c r="E9920" s="23"/>
    </row>
    <row r="9921" spans="1:5" x14ac:dyDescent="0.25">
      <c r="A9921" s="22"/>
      <c r="B9921" s="23"/>
      <c r="C9921" s="23"/>
      <c r="D9921" s="23"/>
      <c r="E9921" s="23"/>
    </row>
    <row r="9922" spans="1:5" x14ac:dyDescent="0.25">
      <c r="A9922" s="22"/>
      <c r="B9922" s="23"/>
      <c r="C9922" s="23"/>
      <c r="D9922" s="23"/>
      <c r="E9922" s="23"/>
    </row>
    <row r="9923" spans="1:5" x14ac:dyDescent="0.25">
      <c r="A9923" s="22"/>
      <c r="B9923" s="23"/>
      <c r="C9923" s="23"/>
      <c r="D9923" s="23"/>
      <c r="E9923" s="23"/>
    </row>
    <row r="9924" spans="1:5" x14ac:dyDescent="0.25">
      <c r="A9924" s="22"/>
      <c r="B9924" s="23"/>
      <c r="C9924" s="23"/>
      <c r="D9924" s="23"/>
      <c r="E9924" s="23"/>
    </row>
    <row r="9925" spans="1:5" x14ac:dyDescent="0.25">
      <c r="A9925" s="22"/>
      <c r="B9925" s="23"/>
      <c r="C9925" s="23"/>
      <c r="D9925" s="23"/>
      <c r="E9925" s="23"/>
    </row>
    <row r="9926" spans="1:5" x14ac:dyDescent="0.25">
      <c r="A9926" s="22"/>
      <c r="B9926" s="23"/>
      <c r="C9926" s="23"/>
      <c r="D9926" s="23"/>
      <c r="E9926" s="23"/>
    </row>
    <row r="9927" spans="1:5" x14ac:dyDescent="0.25">
      <c r="A9927" s="22"/>
      <c r="B9927" s="23"/>
      <c r="C9927" s="23"/>
      <c r="D9927" s="23"/>
      <c r="E9927" s="23"/>
    </row>
    <row r="9928" spans="1:5" x14ac:dyDescent="0.25">
      <c r="A9928" s="22"/>
      <c r="B9928" s="23"/>
      <c r="C9928" s="23"/>
      <c r="D9928" s="23"/>
      <c r="E9928" s="23"/>
    </row>
    <row r="9929" spans="1:5" x14ac:dyDescent="0.25">
      <c r="A9929" s="22"/>
      <c r="B9929" s="23"/>
      <c r="C9929" s="23"/>
      <c r="D9929" s="23"/>
      <c r="E9929" s="23"/>
    </row>
    <row r="9930" spans="1:5" x14ac:dyDescent="0.25">
      <c r="A9930" s="22"/>
      <c r="B9930" s="23"/>
      <c r="C9930" s="23"/>
      <c r="D9930" s="23"/>
      <c r="E9930" s="23"/>
    </row>
    <row r="9931" spans="1:5" x14ac:dyDescent="0.25">
      <c r="A9931" s="22"/>
      <c r="B9931" s="23"/>
      <c r="C9931" s="23"/>
      <c r="D9931" s="23"/>
      <c r="E9931" s="23"/>
    </row>
    <row r="9932" spans="1:5" x14ac:dyDescent="0.25">
      <c r="A9932" s="22"/>
      <c r="B9932" s="23"/>
      <c r="C9932" s="23"/>
      <c r="D9932" s="23"/>
      <c r="E9932" s="23"/>
    </row>
    <row r="9933" spans="1:5" x14ac:dyDescent="0.25">
      <c r="A9933" s="22"/>
      <c r="B9933" s="23"/>
      <c r="C9933" s="23"/>
      <c r="D9933" s="23"/>
      <c r="E9933" s="23"/>
    </row>
    <row r="9934" spans="1:5" x14ac:dyDescent="0.25">
      <c r="A9934" s="22"/>
      <c r="B9934" s="23"/>
      <c r="C9934" s="23"/>
      <c r="D9934" s="23"/>
      <c r="E9934" s="23"/>
    </row>
    <row r="9935" spans="1:5" x14ac:dyDescent="0.25">
      <c r="A9935" s="22"/>
      <c r="B9935" s="23"/>
      <c r="C9935" s="23"/>
      <c r="D9935" s="23"/>
      <c r="E9935" s="23"/>
    </row>
    <row r="9936" spans="1:5" x14ac:dyDescent="0.25">
      <c r="A9936" s="22"/>
      <c r="B9936" s="23"/>
      <c r="C9936" s="23"/>
      <c r="D9936" s="23"/>
      <c r="E9936" s="23"/>
    </row>
    <row r="9937" spans="1:5" x14ac:dyDescent="0.25">
      <c r="A9937" s="22"/>
      <c r="B9937" s="23"/>
      <c r="C9937" s="23"/>
      <c r="D9937" s="23"/>
      <c r="E9937" s="23"/>
    </row>
    <row r="9938" spans="1:5" x14ac:dyDescent="0.25">
      <c r="A9938" s="22"/>
      <c r="B9938" s="23"/>
      <c r="C9938" s="23"/>
      <c r="D9938" s="23"/>
      <c r="E9938" s="23"/>
    </row>
    <row r="9939" spans="1:5" x14ac:dyDescent="0.25">
      <c r="A9939" s="22"/>
      <c r="B9939" s="23"/>
      <c r="C9939" s="23"/>
      <c r="D9939" s="23"/>
      <c r="E9939" s="23"/>
    </row>
    <row r="9940" spans="1:5" x14ac:dyDescent="0.25">
      <c r="A9940" s="22"/>
      <c r="B9940" s="23"/>
      <c r="C9940" s="23"/>
      <c r="D9940" s="23"/>
      <c r="E9940" s="23"/>
    </row>
    <row r="9941" spans="1:5" x14ac:dyDescent="0.25">
      <c r="A9941" s="22"/>
      <c r="B9941" s="23"/>
      <c r="C9941" s="23"/>
      <c r="D9941" s="23"/>
      <c r="E9941" s="23"/>
    </row>
    <row r="9942" spans="1:5" x14ac:dyDescent="0.25">
      <c r="A9942" s="22"/>
      <c r="B9942" s="23"/>
      <c r="C9942" s="23"/>
      <c r="D9942" s="23"/>
      <c r="E9942" s="23"/>
    </row>
    <row r="9943" spans="1:5" x14ac:dyDescent="0.25">
      <c r="A9943" s="22"/>
      <c r="B9943" s="23"/>
      <c r="C9943" s="23"/>
      <c r="D9943" s="23"/>
      <c r="E9943" s="23"/>
    </row>
    <row r="9944" spans="1:5" x14ac:dyDescent="0.25">
      <c r="A9944" s="22"/>
      <c r="B9944" s="23"/>
      <c r="C9944" s="23"/>
      <c r="D9944" s="23"/>
      <c r="E9944" s="23"/>
    </row>
    <row r="9945" spans="1:5" x14ac:dyDescent="0.25">
      <c r="A9945" s="22"/>
      <c r="B9945" s="23"/>
      <c r="C9945" s="23"/>
      <c r="D9945" s="23"/>
      <c r="E9945" s="23"/>
    </row>
    <row r="9946" spans="1:5" x14ac:dyDescent="0.25">
      <c r="A9946" s="22"/>
      <c r="B9946" s="23"/>
      <c r="C9946" s="23"/>
      <c r="D9946" s="23"/>
      <c r="E9946" s="23"/>
    </row>
    <row r="9947" spans="1:5" x14ac:dyDescent="0.25">
      <c r="A9947" s="22"/>
      <c r="B9947" s="23"/>
      <c r="C9947" s="23"/>
      <c r="D9947" s="23"/>
      <c r="E9947" s="23"/>
    </row>
    <row r="9948" spans="1:5" x14ac:dyDescent="0.25">
      <c r="A9948" s="22"/>
      <c r="B9948" s="23"/>
      <c r="C9948" s="23"/>
      <c r="D9948" s="23"/>
      <c r="E9948" s="23"/>
    </row>
    <row r="9949" spans="1:5" x14ac:dyDescent="0.25">
      <c r="A9949" s="22"/>
      <c r="B9949" s="23"/>
      <c r="C9949" s="23"/>
      <c r="D9949" s="23"/>
      <c r="E9949" s="23"/>
    </row>
    <row r="9950" spans="1:5" x14ac:dyDescent="0.25">
      <c r="A9950" s="22"/>
      <c r="B9950" s="23"/>
      <c r="C9950" s="23"/>
      <c r="D9950" s="23"/>
      <c r="E9950" s="23"/>
    </row>
    <row r="9951" spans="1:5" x14ac:dyDescent="0.25">
      <c r="A9951" s="22"/>
      <c r="B9951" s="23"/>
      <c r="C9951" s="23"/>
      <c r="D9951" s="23"/>
      <c r="E9951" s="23"/>
    </row>
    <row r="9952" spans="1:5" x14ac:dyDescent="0.25">
      <c r="A9952" s="22"/>
      <c r="B9952" s="23"/>
      <c r="C9952" s="23"/>
      <c r="D9952" s="23"/>
      <c r="E9952" s="23"/>
    </row>
    <row r="9953" spans="1:5" x14ac:dyDescent="0.25">
      <c r="A9953" s="22"/>
      <c r="B9953" s="23"/>
      <c r="C9953" s="23"/>
      <c r="D9953" s="23"/>
      <c r="E9953" s="23"/>
    </row>
    <row r="9954" spans="1:5" x14ac:dyDescent="0.25">
      <c r="A9954" s="22"/>
      <c r="B9954" s="23"/>
      <c r="C9954" s="23"/>
      <c r="D9954" s="23"/>
      <c r="E9954" s="23"/>
    </row>
    <row r="9955" spans="1:5" x14ac:dyDescent="0.25">
      <c r="A9955" s="22"/>
      <c r="B9955" s="23"/>
      <c r="C9955" s="23"/>
      <c r="D9955" s="23"/>
      <c r="E9955" s="23"/>
    </row>
    <row r="9956" spans="1:5" x14ac:dyDescent="0.25">
      <c r="A9956" s="22"/>
      <c r="B9956" s="23"/>
      <c r="C9956" s="23"/>
      <c r="D9956" s="23"/>
      <c r="E9956" s="23"/>
    </row>
    <row r="9957" spans="1:5" x14ac:dyDescent="0.25">
      <c r="A9957" s="22"/>
      <c r="B9957" s="23"/>
      <c r="C9957" s="23"/>
      <c r="D9957" s="23"/>
      <c r="E9957" s="23"/>
    </row>
    <row r="9958" spans="1:5" x14ac:dyDescent="0.25">
      <c r="A9958" s="22"/>
      <c r="B9958" s="23"/>
      <c r="C9958" s="23"/>
      <c r="D9958" s="23"/>
      <c r="E9958" s="23"/>
    </row>
    <row r="9959" spans="1:5" x14ac:dyDescent="0.25">
      <c r="A9959" s="22"/>
      <c r="B9959" s="23"/>
      <c r="C9959" s="23"/>
      <c r="D9959" s="23"/>
      <c r="E9959" s="23"/>
    </row>
    <row r="9960" spans="1:5" x14ac:dyDescent="0.25">
      <c r="A9960" s="22"/>
      <c r="B9960" s="23"/>
      <c r="C9960" s="23"/>
      <c r="D9960" s="23"/>
      <c r="E9960" s="23"/>
    </row>
    <row r="9961" spans="1:5" x14ac:dyDescent="0.25">
      <c r="A9961" s="22"/>
      <c r="B9961" s="23"/>
      <c r="C9961" s="23"/>
      <c r="D9961" s="23"/>
      <c r="E9961" s="23"/>
    </row>
    <row r="9962" spans="1:5" x14ac:dyDescent="0.25">
      <c r="A9962" s="22"/>
      <c r="B9962" s="23"/>
      <c r="C9962" s="23"/>
      <c r="D9962" s="23"/>
      <c r="E9962" s="23"/>
    </row>
    <row r="9963" spans="1:5" x14ac:dyDescent="0.25">
      <c r="A9963" s="22"/>
      <c r="B9963" s="23"/>
      <c r="C9963" s="23"/>
      <c r="D9963" s="23"/>
      <c r="E9963" s="23"/>
    </row>
    <row r="9964" spans="1:5" x14ac:dyDescent="0.25">
      <c r="A9964" s="22"/>
      <c r="B9964" s="23"/>
      <c r="C9964" s="23"/>
      <c r="D9964" s="23"/>
      <c r="E9964" s="23"/>
    </row>
    <row r="9965" spans="1:5" x14ac:dyDescent="0.25">
      <c r="A9965" s="22"/>
      <c r="B9965" s="23"/>
      <c r="C9965" s="23"/>
      <c r="D9965" s="23"/>
      <c r="E9965" s="23"/>
    </row>
    <row r="9966" spans="1:5" x14ac:dyDescent="0.25">
      <c r="A9966" s="22"/>
      <c r="B9966" s="23"/>
      <c r="C9966" s="23"/>
      <c r="D9966" s="23"/>
      <c r="E9966" s="23"/>
    </row>
    <row r="9967" spans="1:5" x14ac:dyDescent="0.25">
      <c r="A9967" s="22"/>
      <c r="B9967" s="23"/>
      <c r="C9967" s="23"/>
      <c r="D9967" s="23"/>
      <c r="E9967" s="23"/>
    </row>
    <row r="9968" spans="1:5" x14ac:dyDescent="0.25">
      <c r="A9968" s="22"/>
      <c r="B9968" s="23"/>
      <c r="C9968" s="23"/>
      <c r="D9968" s="23"/>
      <c r="E9968" s="23"/>
    </row>
    <row r="9969" spans="1:5" x14ac:dyDescent="0.25">
      <c r="A9969" s="22"/>
      <c r="B9969" s="23"/>
      <c r="C9969" s="23"/>
      <c r="D9969" s="23"/>
      <c r="E9969" s="23"/>
    </row>
    <row r="9970" spans="1:5" x14ac:dyDescent="0.25">
      <c r="A9970" s="22"/>
      <c r="B9970" s="23"/>
      <c r="C9970" s="23"/>
      <c r="D9970" s="23"/>
      <c r="E9970" s="23"/>
    </row>
    <row r="9971" spans="1:5" x14ac:dyDescent="0.25">
      <c r="A9971" s="22"/>
      <c r="B9971" s="23"/>
      <c r="C9971" s="23"/>
      <c r="D9971" s="23"/>
      <c r="E9971" s="23"/>
    </row>
    <row r="9972" spans="1:5" x14ac:dyDescent="0.25">
      <c r="A9972" s="22"/>
      <c r="B9972" s="23"/>
      <c r="C9972" s="23"/>
      <c r="D9972" s="23"/>
      <c r="E9972" s="23"/>
    </row>
    <row r="9973" spans="1:5" x14ac:dyDescent="0.25">
      <c r="A9973" s="22"/>
      <c r="B9973" s="23"/>
      <c r="C9973" s="23"/>
      <c r="D9973" s="23"/>
      <c r="E9973" s="23"/>
    </row>
    <row r="9974" spans="1:5" x14ac:dyDescent="0.25">
      <c r="A9974" s="22"/>
      <c r="B9974" s="23"/>
      <c r="C9974" s="23"/>
      <c r="D9974" s="23"/>
      <c r="E9974" s="23"/>
    </row>
    <row r="9975" spans="1:5" x14ac:dyDescent="0.25">
      <c r="A9975" s="22"/>
      <c r="B9975" s="23"/>
      <c r="C9975" s="23"/>
      <c r="D9975" s="23"/>
      <c r="E9975" s="23"/>
    </row>
    <row r="9976" spans="1:5" x14ac:dyDescent="0.25">
      <c r="A9976" s="22"/>
      <c r="B9976" s="23"/>
      <c r="C9976" s="23"/>
      <c r="D9976" s="23"/>
      <c r="E9976" s="23"/>
    </row>
    <row r="9977" spans="1:5" x14ac:dyDescent="0.25">
      <c r="A9977" s="22"/>
      <c r="B9977" s="23"/>
      <c r="C9977" s="23"/>
      <c r="D9977" s="23"/>
      <c r="E9977" s="23"/>
    </row>
    <row r="9978" spans="1:5" x14ac:dyDescent="0.25">
      <c r="A9978" s="22"/>
      <c r="B9978" s="23"/>
      <c r="C9978" s="23"/>
      <c r="D9978" s="23"/>
      <c r="E9978" s="23"/>
    </row>
    <row r="9979" spans="1:5" x14ac:dyDescent="0.25">
      <c r="A9979" s="22"/>
      <c r="B9979" s="23"/>
      <c r="C9979" s="23"/>
      <c r="D9979" s="23"/>
      <c r="E9979" s="23"/>
    </row>
    <row r="9980" spans="1:5" x14ac:dyDescent="0.25">
      <c r="A9980" s="22"/>
      <c r="B9980" s="23"/>
      <c r="C9980" s="23"/>
      <c r="D9980" s="23"/>
      <c r="E9980" s="23"/>
    </row>
    <row r="9981" spans="1:5" x14ac:dyDescent="0.25">
      <c r="A9981" s="22"/>
      <c r="B9981" s="23"/>
      <c r="C9981" s="23"/>
      <c r="D9981" s="23"/>
      <c r="E9981" s="23"/>
    </row>
    <row r="9982" spans="1:5" x14ac:dyDescent="0.25">
      <c r="A9982" s="22"/>
      <c r="B9982" s="23"/>
      <c r="C9982" s="23"/>
      <c r="D9982" s="23"/>
      <c r="E9982" s="23"/>
    </row>
    <row r="9983" spans="1:5" x14ac:dyDescent="0.25">
      <c r="A9983" s="22"/>
      <c r="B9983" s="23"/>
      <c r="C9983" s="23"/>
      <c r="D9983" s="23"/>
      <c r="E9983" s="23"/>
    </row>
    <row r="9984" spans="1:5" x14ac:dyDescent="0.25">
      <c r="A9984" s="22"/>
      <c r="B9984" s="23"/>
      <c r="C9984" s="23"/>
      <c r="D9984" s="23"/>
      <c r="E9984" s="23"/>
    </row>
    <row r="9985" spans="1:5" x14ac:dyDescent="0.25">
      <c r="A9985" s="22"/>
      <c r="B9985" s="23"/>
      <c r="C9985" s="23"/>
      <c r="D9985" s="23"/>
      <c r="E9985" s="23"/>
    </row>
    <row r="9986" spans="1:5" x14ac:dyDescent="0.25">
      <c r="A9986" s="22"/>
      <c r="B9986" s="23"/>
      <c r="C9986" s="23"/>
      <c r="D9986" s="23"/>
      <c r="E9986" s="23"/>
    </row>
    <row r="9987" spans="1:5" x14ac:dyDescent="0.25">
      <c r="A9987" s="22"/>
      <c r="B9987" s="23"/>
      <c r="C9987" s="23"/>
      <c r="D9987" s="23"/>
      <c r="E9987" s="23"/>
    </row>
    <row r="9988" spans="1:5" x14ac:dyDescent="0.25">
      <c r="A9988" s="22"/>
      <c r="B9988" s="23"/>
      <c r="C9988" s="23"/>
      <c r="D9988" s="23"/>
      <c r="E9988" s="23"/>
    </row>
    <row r="9989" spans="1:5" x14ac:dyDescent="0.25">
      <c r="A9989" s="22"/>
      <c r="B9989" s="23"/>
      <c r="C9989" s="23"/>
      <c r="D9989" s="23"/>
      <c r="E9989" s="23"/>
    </row>
    <row r="9990" spans="1:5" x14ac:dyDescent="0.25">
      <c r="A9990" s="22"/>
      <c r="B9990" s="23"/>
      <c r="C9990" s="23"/>
      <c r="D9990" s="23"/>
      <c r="E9990" s="23"/>
    </row>
    <row r="9991" spans="1:5" x14ac:dyDescent="0.25">
      <c r="A9991" s="22"/>
      <c r="B9991" s="23"/>
      <c r="C9991" s="23"/>
      <c r="D9991" s="23"/>
      <c r="E9991" s="23"/>
    </row>
    <row r="9992" spans="1:5" x14ac:dyDescent="0.25">
      <c r="A9992" s="22"/>
      <c r="B9992" s="23"/>
      <c r="C9992" s="23"/>
      <c r="D9992" s="23"/>
      <c r="E9992" s="23"/>
    </row>
    <row r="9993" spans="1:5" x14ac:dyDescent="0.25">
      <c r="A9993" s="22"/>
      <c r="B9993" s="23"/>
      <c r="C9993" s="23"/>
      <c r="D9993" s="23"/>
      <c r="E9993" s="23"/>
    </row>
    <row r="9994" spans="1:5" x14ac:dyDescent="0.25">
      <c r="A9994" s="22"/>
      <c r="B9994" s="23"/>
      <c r="C9994" s="23"/>
      <c r="D9994" s="23"/>
      <c r="E9994" s="23"/>
    </row>
    <row r="9995" spans="1:5" x14ac:dyDescent="0.25">
      <c r="A9995" s="22"/>
      <c r="B9995" s="23"/>
      <c r="C9995" s="23"/>
      <c r="D9995" s="23"/>
      <c r="E9995" s="23"/>
    </row>
    <row r="9996" spans="1:5" x14ac:dyDescent="0.25">
      <c r="A9996" s="22"/>
      <c r="B9996" s="23"/>
      <c r="C9996" s="23"/>
      <c r="D9996" s="23"/>
      <c r="E9996" s="23"/>
    </row>
    <row r="9997" spans="1:5" x14ac:dyDescent="0.25">
      <c r="A9997" s="22"/>
      <c r="B9997" s="23"/>
      <c r="C9997" s="23"/>
      <c r="D9997" s="23"/>
      <c r="E9997" s="23"/>
    </row>
    <row r="9998" spans="1:5" x14ac:dyDescent="0.25">
      <c r="A9998" s="22"/>
      <c r="B9998" s="23"/>
      <c r="C9998" s="23"/>
      <c r="D9998" s="23"/>
      <c r="E9998" s="23"/>
    </row>
    <row r="9999" spans="1:5" x14ac:dyDescent="0.25">
      <c r="A9999" s="22"/>
      <c r="B9999" s="23"/>
      <c r="C9999" s="23"/>
      <c r="D9999" s="23"/>
      <c r="E9999" s="23"/>
    </row>
    <row r="10000" spans="1:5" x14ac:dyDescent="0.25">
      <c r="A10000" s="22"/>
      <c r="B10000" s="23"/>
      <c r="C10000" s="23"/>
      <c r="D10000" s="23"/>
      <c r="E10000" s="23"/>
    </row>
    <row r="10001" spans="1:5" x14ac:dyDescent="0.25">
      <c r="A10001" s="22"/>
      <c r="B10001" s="23"/>
      <c r="C10001" s="23"/>
      <c r="D10001" s="23"/>
      <c r="E10001" s="23"/>
    </row>
    <row r="10002" spans="1:5" x14ac:dyDescent="0.25">
      <c r="A10002" s="22"/>
      <c r="B10002" s="23"/>
      <c r="C10002" s="23"/>
      <c r="D10002" s="23"/>
      <c r="E10002" s="23"/>
    </row>
    <row r="10003" spans="1:5" x14ac:dyDescent="0.25">
      <c r="A10003" s="22"/>
      <c r="B10003" s="23"/>
      <c r="C10003" s="23"/>
      <c r="D10003" s="23"/>
      <c r="E10003" s="23"/>
    </row>
    <row r="10004" spans="1:5" x14ac:dyDescent="0.25">
      <c r="A10004" s="22"/>
      <c r="B10004" s="23"/>
      <c r="C10004" s="23"/>
      <c r="D10004" s="23"/>
      <c r="E10004" s="23"/>
    </row>
    <row r="10005" spans="1:5" x14ac:dyDescent="0.25">
      <c r="A10005" s="22"/>
      <c r="B10005" s="23"/>
      <c r="C10005" s="23"/>
      <c r="D10005" s="23"/>
      <c r="E10005" s="23"/>
    </row>
    <row r="10006" spans="1:5" x14ac:dyDescent="0.25">
      <c r="A10006" s="22"/>
      <c r="B10006" s="23"/>
      <c r="C10006" s="23"/>
      <c r="D10006" s="23"/>
      <c r="E10006" s="23"/>
    </row>
    <row r="10007" spans="1:5" x14ac:dyDescent="0.25">
      <c r="A10007" s="22"/>
      <c r="B10007" s="23"/>
      <c r="C10007" s="23"/>
      <c r="D10007" s="23"/>
      <c r="E10007" s="23"/>
    </row>
    <row r="10008" spans="1:5" x14ac:dyDescent="0.25">
      <c r="A10008" s="22"/>
      <c r="B10008" s="23"/>
      <c r="C10008" s="23"/>
      <c r="D10008" s="23"/>
      <c r="E10008" s="23"/>
    </row>
    <row r="10009" spans="1:5" x14ac:dyDescent="0.25">
      <c r="A10009" s="22"/>
      <c r="B10009" s="23"/>
      <c r="C10009" s="23"/>
      <c r="D10009" s="23"/>
      <c r="E10009" s="23"/>
    </row>
    <row r="10010" spans="1:5" x14ac:dyDescent="0.25">
      <c r="A10010" s="22"/>
      <c r="B10010" s="23"/>
      <c r="C10010" s="23"/>
      <c r="D10010" s="23"/>
      <c r="E10010" s="23"/>
    </row>
    <row r="10011" spans="1:5" x14ac:dyDescent="0.25">
      <c r="A10011" s="22"/>
      <c r="B10011" s="23"/>
      <c r="C10011" s="23"/>
      <c r="D10011" s="23"/>
      <c r="E10011" s="23"/>
    </row>
    <row r="10012" spans="1:5" x14ac:dyDescent="0.25">
      <c r="A10012" s="22"/>
      <c r="B10012" s="23"/>
      <c r="C10012" s="23"/>
      <c r="D10012" s="23"/>
      <c r="E10012" s="23"/>
    </row>
    <row r="10013" spans="1:5" x14ac:dyDescent="0.25">
      <c r="A10013" s="22"/>
      <c r="B10013" s="23"/>
      <c r="C10013" s="23"/>
      <c r="D10013" s="23"/>
      <c r="E10013" s="23"/>
    </row>
    <row r="10014" spans="1:5" x14ac:dyDescent="0.25">
      <c r="A10014" s="22"/>
      <c r="B10014" s="23"/>
      <c r="C10014" s="23"/>
      <c r="D10014" s="23"/>
      <c r="E10014" s="23"/>
    </row>
    <row r="10015" spans="1:5" x14ac:dyDescent="0.25">
      <c r="A10015" s="22"/>
      <c r="B10015" s="23"/>
      <c r="C10015" s="23"/>
      <c r="D10015" s="23"/>
      <c r="E10015" s="23"/>
    </row>
    <row r="10016" spans="1:5" x14ac:dyDescent="0.25">
      <c r="A10016" s="22"/>
      <c r="B10016" s="23"/>
      <c r="C10016" s="23"/>
      <c r="D10016" s="23"/>
      <c r="E10016" s="23"/>
    </row>
    <row r="10017" spans="1:5" x14ac:dyDescent="0.25">
      <c r="A10017" s="22"/>
      <c r="B10017" s="23"/>
      <c r="C10017" s="23"/>
      <c r="D10017" s="23"/>
      <c r="E10017" s="23"/>
    </row>
    <row r="10018" spans="1:5" x14ac:dyDescent="0.25">
      <c r="A10018" s="22"/>
      <c r="B10018" s="23"/>
      <c r="C10018" s="23"/>
      <c r="D10018" s="23"/>
      <c r="E10018" s="23"/>
    </row>
    <row r="10019" spans="1:5" x14ac:dyDescent="0.25">
      <c r="A10019" s="22"/>
      <c r="B10019" s="23"/>
      <c r="C10019" s="23"/>
      <c r="D10019" s="23"/>
      <c r="E10019" s="23"/>
    </row>
    <row r="10020" spans="1:5" x14ac:dyDescent="0.25">
      <c r="A10020" s="22"/>
      <c r="B10020" s="23"/>
      <c r="C10020" s="23"/>
      <c r="D10020" s="23"/>
      <c r="E10020" s="23"/>
    </row>
    <row r="10021" spans="1:5" x14ac:dyDescent="0.25">
      <c r="A10021" s="22"/>
      <c r="B10021" s="23"/>
      <c r="C10021" s="23"/>
      <c r="D10021" s="23"/>
      <c r="E10021" s="23"/>
    </row>
    <row r="10022" spans="1:5" x14ac:dyDescent="0.25">
      <c r="A10022" s="22"/>
      <c r="B10022" s="23"/>
      <c r="C10022" s="23"/>
      <c r="D10022" s="23"/>
      <c r="E10022" s="23"/>
    </row>
    <row r="10023" spans="1:5" x14ac:dyDescent="0.25">
      <c r="A10023" s="22"/>
      <c r="B10023" s="23"/>
      <c r="C10023" s="23"/>
      <c r="D10023" s="23"/>
      <c r="E10023" s="23"/>
    </row>
    <row r="10024" spans="1:5" x14ac:dyDescent="0.25">
      <c r="A10024" s="22"/>
      <c r="B10024" s="23"/>
      <c r="C10024" s="23"/>
      <c r="D10024" s="23"/>
      <c r="E10024" s="23"/>
    </row>
    <row r="10025" spans="1:5" x14ac:dyDescent="0.25">
      <c r="A10025" s="22"/>
      <c r="B10025" s="23"/>
      <c r="C10025" s="23"/>
      <c r="D10025" s="23"/>
      <c r="E10025" s="23"/>
    </row>
    <row r="10026" spans="1:5" x14ac:dyDescent="0.25">
      <c r="A10026" s="22"/>
      <c r="B10026" s="23"/>
      <c r="C10026" s="23"/>
      <c r="D10026" s="23"/>
      <c r="E10026" s="23"/>
    </row>
    <row r="10027" spans="1:5" x14ac:dyDescent="0.25">
      <c r="A10027" s="22"/>
      <c r="B10027" s="23"/>
      <c r="C10027" s="23"/>
      <c r="D10027" s="23"/>
      <c r="E10027" s="23"/>
    </row>
    <row r="10028" spans="1:5" x14ac:dyDescent="0.25">
      <c r="A10028" s="22"/>
      <c r="B10028" s="23"/>
      <c r="C10028" s="23"/>
      <c r="D10028" s="23"/>
      <c r="E10028" s="23"/>
    </row>
    <row r="10029" spans="1:5" x14ac:dyDescent="0.25">
      <c r="A10029" s="22"/>
      <c r="B10029" s="23"/>
      <c r="C10029" s="23"/>
      <c r="D10029" s="23"/>
      <c r="E10029" s="23"/>
    </row>
    <row r="10030" spans="1:5" x14ac:dyDescent="0.25">
      <c r="A10030" s="22"/>
      <c r="B10030" s="23"/>
      <c r="C10030" s="23"/>
      <c r="D10030" s="23"/>
      <c r="E10030" s="23"/>
    </row>
    <row r="10031" spans="1:5" x14ac:dyDescent="0.25">
      <c r="A10031" s="22"/>
      <c r="B10031" s="23"/>
      <c r="C10031" s="23"/>
      <c r="D10031" s="23"/>
      <c r="E10031" s="23"/>
    </row>
    <row r="10032" spans="1:5" x14ac:dyDescent="0.25">
      <c r="A10032" s="22"/>
      <c r="B10032" s="23"/>
      <c r="C10032" s="23"/>
      <c r="D10032" s="23"/>
      <c r="E10032" s="23"/>
    </row>
    <row r="10033" spans="1:5" x14ac:dyDescent="0.25">
      <c r="A10033" s="22"/>
      <c r="B10033" s="23"/>
      <c r="C10033" s="23"/>
      <c r="D10033" s="23"/>
      <c r="E10033" s="23"/>
    </row>
    <row r="10034" spans="1:5" x14ac:dyDescent="0.25">
      <c r="A10034" s="22"/>
      <c r="B10034" s="23"/>
      <c r="C10034" s="23"/>
      <c r="D10034" s="23"/>
      <c r="E10034" s="23"/>
    </row>
    <row r="10035" spans="1:5" x14ac:dyDescent="0.25">
      <c r="A10035" s="22"/>
      <c r="B10035" s="23"/>
      <c r="C10035" s="23"/>
      <c r="D10035" s="23"/>
      <c r="E10035" s="23"/>
    </row>
    <row r="10036" spans="1:5" x14ac:dyDescent="0.25">
      <c r="A10036" s="22"/>
      <c r="B10036" s="23"/>
      <c r="C10036" s="23"/>
      <c r="D10036" s="23"/>
      <c r="E10036" s="23"/>
    </row>
    <row r="10037" spans="1:5" x14ac:dyDescent="0.25">
      <c r="A10037" s="22"/>
      <c r="B10037" s="23"/>
      <c r="C10037" s="23"/>
      <c r="D10037" s="23"/>
      <c r="E10037" s="23"/>
    </row>
    <row r="10038" spans="1:5" x14ac:dyDescent="0.25">
      <c r="A10038" s="22"/>
      <c r="B10038" s="23"/>
      <c r="C10038" s="23"/>
      <c r="D10038" s="23"/>
      <c r="E10038" s="23"/>
    </row>
    <row r="10039" spans="1:5" x14ac:dyDescent="0.25">
      <c r="A10039" s="22"/>
      <c r="B10039" s="23"/>
      <c r="C10039" s="23"/>
      <c r="D10039" s="23"/>
      <c r="E10039" s="23"/>
    </row>
    <row r="10040" spans="1:5" x14ac:dyDescent="0.25">
      <c r="A10040" s="22"/>
      <c r="B10040" s="23"/>
      <c r="C10040" s="23"/>
      <c r="D10040" s="23"/>
      <c r="E10040" s="23"/>
    </row>
    <row r="10041" spans="1:5" x14ac:dyDescent="0.25">
      <c r="A10041" s="22"/>
      <c r="B10041" s="23"/>
      <c r="C10041" s="23"/>
      <c r="D10041" s="23"/>
      <c r="E10041" s="23"/>
    </row>
    <row r="10042" spans="1:5" x14ac:dyDescent="0.25">
      <c r="A10042" s="22"/>
      <c r="B10042" s="23"/>
      <c r="C10042" s="23"/>
      <c r="D10042" s="23"/>
      <c r="E10042" s="23"/>
    </row>
    <row r="10043" spans="1:5" x14ac:dyDescent="0.25">
      <c r="A10043" s="22"/>
      <c r="B10043" s="23"/>
      <c r="C10043" s="23"/>
      <c r="D10043" s="23"/>
      <c r="E10043" s="23"/>
    </row>
    <row r="10044" spans="1:5" x14ac:dyDescent="0.25">
      <c r="A10044" s="22"/>
      <c r="B10044" s="23"/>
      <c r="C10044" s="23"/>
      <c r="D10044" s="23"/>
      <c r="E10044" s="23"/>
    </row>
    <row r="10045" spans="1:5" x14ac:dyDescent="0.25">
      <c r="A10045" s="22"/>
      <c r="B10045" s="23"/>
      <c r="C10045" s="23"/>
      <c r="D10045" s="23"/>
      <c r="E10045" s="23"/>
    </row>
    <row r="10046" spans="1:5" x14ac:dyDescent="0.25">
      <c r="A10046" s="22"/>
      <c r="B10046" s="23"/>
      <c r="C10046" s="23"/>
      <c r="D10046" s="23"/>
      <c r="E10046" s="23"/>
    </row>
    <row r="10047" spans="1:5" x14ac:dyDescent="0.25">
      <c r="A10047" s="22"/>
      <c r="B10047" s="23"/>
      <c r="C10047" s="23"/>
      <c r="D10047" s="23"/>
      <c r="E10047" s="23"/>
    </row>
    <row r="10048" spans="1:5" x14ac:dyDescent="0.25">
      <c r="A10048" s="22"/>
      <c r="B10048" s="23"/>
      <c r="C10048" s="23"/>
      <c r="D10048" s="23"/>
      <c r="E10048" s="23"/>
    </row>
    <row r="10049" spans="1:5" x14ac:dyDescent="0.25">
      <c r="A10049" s="22"/>
      <c r="B10049" s="23"/>
      <c r="C10049" s="23"/>
      <c r="D10049" s="23"/>
      <c r="E10049" s="23"/>
    </row>
    <row r="10050" spans="1:5" x14ac:dyDescent="0.25">
      <c r="A10050" s="22"/>
      <c r="B10050" s="23"/>
      <c r="C10050" s="23"/>
      <c r="D10050" s="23"/>
      <c r="E10050" s="23"/>
    </row>
    <row r="10051" spans="1:5" x14ac:dyDescent="0.25">
      <c r="A10051" s="22"/>
      <c r="B10051" s="23"/>
      <c r="C10051" s="23"/>
      <c r="D10051" s="23"/>
      <c r="E10051" s="23"/>
    </row>
    <row r="10052" spans="1:5" x14ac:dyDescent="0.25">
      <c r="A10052" s="22"/>
      <c r="B10052" s="23"/>
      <c r="C10052" s="23"/>
      <c r="D10052" s="23"/>
      <c r="E10052" s="23"/>
    </row>
    <row r="10053" spans="1:5" x14ac:dyDescent="0.25">
      <c r="A10053" s="22"/>
      <c r="B10053" s="23"/>
      <c r="C10053" s="23"/>
      <c r="D10053" s="23"/>
      <c r="E10053" s="23"/>
    </row>
    <row r="10054" spans="1:5" x14ac:dyDescent="0.25">
      <c r="A10054" s="22"/>
      <c r="B10054" s="23"/>
      <c r="C10054" s="23"/>
      <c r="D10054" s="23"/>
      <c r="E10054" s="23"/>
    </row>
    <row r="10055" spans="1:5" x14ac:dyDescent="0.25">
      <c r="A10055" s="22"/>
      <c r="B10055" s="23"/>
      <c r="C10055" s="23"/>
      <c r="D10055" s="23"/>
      <c r="E10055" s="23"/>
    </row>
    <row r="10056" spans="1:5" x14ac:dyDescent="0.25">
      <c r="A10056" s="22"/>
      <c r="B10056" s="23"/>
      <c r="C10056" s="23"/>
      <c r="D10056" s="23"/>
      <c r="E10056" s="23"/>
    </row>
    <row r="10057" spans="1:5" x14ac:dyDescent="0.25">
      <c r="A10057" s="22"/>
      <c r="B10057" s="23"/>
      <c r="C10057" s="23"/>
      <c r="D10057" s="23"/>
      <c r="E10057" s="23"/>
    </row>
    <row r="10058" spans="1:5" x14ac:dyDescent="0.25">
      <c r="A10058" s="22"/>
      <c r="B10058" s="23"/>
      <c r="C10058" s="23"/>
      <c r="D10058" s="23"/>
      <c r="E10058" s="23"/>
    </row>
    <row r="10059" spans="1:5" x14ac:dyDescent="0.25">
      <c r="A10059" s="22"/>
      <c r="B10059" s="23"/>
      <c r="C10059" s="23"/>
      <c r="D10059" s="23"/>
      <c r="E10059" s="23"/>
    </row>
    <row r="10060" spans="1:5" x14ac:dyDescent="0.25">
      <c r="A10060" s="22"/>
      <c r="B10060" s="23"/>
      <c r="C10060" s="23"/>
      <c r="D10060" s="23"/>
      <c r="E10060" s="23"/>
    </row>
    <row r="10061" spans="1:5" x14ac:dyDescent="0.25">
      <c r="A10061" s="22"/>
      <c r="B10061" s="23"/>
      <c r="C10061" s="23"/>
      <c r="D10061" s="23"/>
      <c r="E10061" s="23"/>
    </row>
    <row r="10062" spans="1:5" x14ac:dyDescent="0.25">
      <c r="A10062" s="22"/>
      <c r="B10062" s="23"/>
      <c r="C10062" s="23"/>
      <c r="D10062" s="23"/>
      <c r="E10062" s="23"/>
    </row>
    <row r="10063" spans="1:5" x14ac:dyDescent="0.25">
      <c r="A10063" s="22"/>
      <c r="B10063" s="23"/>
      <c r="C10063" s="23"/>
      <c r="D10063" s="23"/>
      <c r="E10063" s="23"/>
    </row>
    <row r="10064" spans="1:5" x14ac:dyDescent="0.25">
      <c r="A10064" s="22"/>
      <c r="B10064" s="23"/>
      <c r="C10064" s="23"/>
      <c r="D10064" s="23"/>
      <c r="E10064" s="23"/>
    </row>
    <row r="10065" spans="1:5" x14ac:dyDescent="0.25">
      <c r="A10065" s="22"/>
      <c r="B10065" s="23"/>
      <c r="C10065" s="23"/>
      <c r="D10065" s="23"/>
      <c r="E10065" s="23"/>
    </row>
    <row r="10066" spans="1:5" x14ac:dyDescent="0.25">
      <c r="A10066" s="22"/>
      <c r="B10066" s="23"/>
      <c r="C10066" s="23"/>
      <c r="D10066" s="23"/>
      <c r="E10066" s="23"/>
    </row>
    <row r="10067" spans="1:5" x14ac:dyDescent="0.25">
      <c r="A10067" s="22"/>
      <c r="B10067" s="23"/>
      <c r="C10067" s="23"/>
      <c r="D10067" s="23"/>
      <c r="E10067" s="23"/>
    </row>
    <row r="10068" spans="1:5" x14ac:dyDescent="0.25">
      <c r="A10068" s="22"/>
      <c r="B10068" s="23"/>
      <c r="C10068" s="23"/>
      <c r="D10068" s="23"/>
      <c r="E10068" s="23"/>
    </row>
    <row r="10069" spans="1:5" x14ac:dyDescent="0.25">
      <c r="A10069" s="22"/>
      <c r="B10069" s="23"/>
      <c r="C10069" s="23"/>
      <c r="D10069" s="23"/>
      <c r="E10069" s="23"/>
    </row>
    <row r="10070" spans="1:5" x14ac:dyDescent="0.25">
      <c r="A10070" s="22"/>
      <c r="B10070" s="23"/>
      <c r="C10070" s="23"/>
      <c r="D10070" s="23"/>
      <c r="E10070" s="23"/>
    </row>
    <row r="10071" spans="1:5" x14ac:dyDescent="0.25">
      <c r="A10071" s="22"/>
      <c r="B10071" s="23"/>
      <c r="C10071" s="23"/>
      <c r="D10071" s="23"/>
      <c r="E10071" s="23"/>
    </row>
    <row r="10072" spans="1:5" x14ac:dyDescent="0.25">
      <c r="A10072" s="22"/>
      <c r="B10072" s="23"/>
      <c r="C10072" s="23"/>
      <c r="D10072" s="23"/>
      <c r="E10072" s="23"/>
    </row>
    <row r="10073" spans="1:5" x14ac:dyDescent="0.25">
      <c r="A10073" s="22"/>
      <c r="B10073" s="23"/>
      <c r="C10073" s="23"/>
      <c r="D10073" s="23"/>
      <c r="E10073" s="23"/>
    </row>
    <row r="10074" spans="1:5" x14ac:dyDescent="0.25">
      <c r="A10074" s="22"/>
      <c r="B10074" s="23"/>
      <c r="C10074" s="23"/>
      <c r="D10074" s="23"/>
      <c r="E10074" s="23"/>
    </row>
    <row r="10075" spans="1:5" x14ac:dyDescent="0.25">
      <c r="A10075" s="22"/>
      <c r="B10075" s="23"/>
      <c r="C10075" s="23"/>
      <c r="D10075" s="23"/>
      <c r="E10075" s="23"/>
    </row>
    <row r="10076" spans="1:5" x14ac:dyDescent="0.25">
      <c r="A10076" s="22"/>
      <c r="B10076" s="23"/>
      <c r="C10076" s="23"/>
      <c r="D10076" s="23"/>
      <c r="E10076" s="23"/>
    </row>
    <row r="10077" spans="1:5" x14ac:dyDescent="0.25">
      <c r="A10077" s="22"/>
      <c r="B10077" s="23"/>
      <c r="C10077" s="23"/>
      <c r="D10077" s="23"/>
      <c r="E10077" s="23"/>
    </row>
    <row r="10078" spans="1:5" x14ac:dyDescent="0.25">
      <c r="A10078" s="22"/>
      <c r="B10078" s="23"/>
      <c r="C10078" s="23"/>
      <c r="D10078" s="23"/>
      <c r="E10078" s="23"/>
    </row>
    <row r="10079" spans="1:5" x14ac:dyDescent="0.25">
      <c r="A10079" s="22"/>
      <c r="B10079" s="23"/>
      <c r="C10079" s="23"/>
      <c r="D10079" s="23"/>
      <c r="E10079" s="23"/>
    </row>
    <row r="10080" spans="1:5" x14ac:dyDescent="0.25">
      <c r="A10080" s="22"/>
      <c r="B10080" s="23"/>
      <c r="C10080" s="23"/>
      <c r="D10080" s="23"/>
      <c r="E10080" s="23"/>
    </row>
    <row r="10081" spans="1:5" x14ac:dyDescent="0.25">
      <c r="A10081" s="22"/>
      <c r="B10081" s="23"/>
      <c r="C10081" s="23"/>
      <c r="D10081" s="23"/>
      <c r="E10081" s="23"/>
    </row>
    <row r="10082" spans="1:5" x14ac:dyDescent="0.25">
      <c r="A10082" s="22"/>
      <c r="B10082" s="23"/>
      <c r="C10082" s="23"/>
      <c r="D10082" s="23"/>
      <c r="E10082" s="23"/>
    </row>
    <row r="10083" spans="1:5" x14ac:dyDescent="0.25">
      <c r="A10083" s="22"/>
      <c r="B10083" s="23"/>
      <c r="C10083" s="23"/>
      <c r="D10083" s="23"/>
      <c r="E10083" s="23"/>
    </row>
    <row r="10084" spans="1:5" x14ac:dyDescent="0.25">
      <c r="A10084" s="22"/>
      <c r="B10084" s="23"/>
      <c r="C10084" s="23"/>
      <c r="D10084" s="23"/>
      <c r="E10084" s="23"/>
    </row>
    <row r="10085" spans="1:5" x14ac:dyDescent="0.25">
      <c r="A10085" s="22"/>
      <c r="B10085" s="23"/>
      <c r="C10085" s="23"/>
      <c r="D10085" s="23"/>
      <c r="E10085" s="23"/>
    </row>
    <row r="10086" spans="1:5" x14ac:dyDescent="0.25">
      <c r="A10086" s="22"/>
      <c r="B10086" s="23"/>
      <c r="C10086" s="23"/>
      <c r="D10086" s="23"/>
      <c r="E10086" s="23"/>
    </row>
    <row r="10087" spans="1:5" x14ac:dyDescent="0.25">
      <c r="A10087" s="22"/>
      <c r="B10087" s="23"/>
      <c r="C10087" s="23"/>
      <c r="D10087" s="23"/>
      <c r="E10087" s="23"/>
    </row>
    <row r="10088" spans="1:5" x14ac:dyDescent="0.25">
      <c r="A10088" s="22"/>
      <c r="B10088" s="23"/>
      <c r="C10088" s="23"/>
      <c r="D10088" s="23"/>
      <c r="E10088" s="23"/>
    </row>
    <row r="10089" spans="1:5" x14ac:dyDescent="0.25">
      <c r="A10089" s="22"/>
      <c r="B10089" s="23"/>
      <c r="C10089" s="23"/>
      <c r="D10089" s="23"/>
      <c r="E10089" s="23"/>
    </row>
    <row r="10090" spans="1:5" x14ac:dyDescent="0.25">
      <c r="A10090" s="22"/>
      <c r="B10090" s="23"/>
      <c r="C10090" s="23"/>
      <c r="D10090" s="23"/>
      <c r="E10090" s="23"/>
    </row>
    <row r="10091" spans="1:5" x14ac:dyDescent="0.25">
      <c r="A10091" s="22"/>
      <c r="B10091" s="23"/>
      <c r="C10091" s="23"/>
      <c r="D10091" s="23"/>
      <c r="E10091" s="23"/>
    </row>
    <row r="10092" spans="1:5" x14ac:dyDescent="0.25">
      <c r="A10092" s="22"/>
      <c r="B10092" s="23"/>
      <c r="C10092" s="23"/>
      <c r="D10092" s="23"/>
      <c r="E10092" s="23"/>
    </row>
    <row r="10093" spans="1:5" x14ac:dyDescent="0.25">
      <c r="A10093" s="22"/>
      <c r="B10093" s="23"/>
      <c r="C10093" s="23"/>
      <c r="D10093" s="23"/>
      <c r="E10093" s="23"/>
    </row>
    <row r="10094" spans="1:5" x14ac:dyDescent="0.25">
      <c r="A10094" s="22"/>
      <c r="B10094" s="23"/>
      <c r="C10094" s="23"/>
      <c r="D10094" s="23"/>
      <c r="E10094" s="23"/>
    </row>
    <row r="10095" spans="1:5" x14ac:dyDescent="0.25">
      <c r="A10095" s="22"/>
      <c r="B10095" s="23"/>
      <c r="C10095" s="23"/>
      <c r="D10095" s="23"/>
      <c r="E10095" s="23"/>
    </row>
    <row r="10096" spans="1:5" x14ac:dyDescent="0.25">
      <c r="A10096" s="22"/>
      <c r="B10096" s="23"/>
      <c r="C10096" s="23"/>
      <c r="D10096" s="23"/>
      <c r="E10096" s="23"/>
    </row>
    <row r="10097" spans="1:5" x14ac:dyDescent="0.25">
      <c r="A10097" s="22"/>
      <c r="B10097" s="23"/>
      <c r="C10097" s="23"/>
      <c r="D10097" s="23"/>
      <c r="E10097" s="23"/>
    </row>
    <row r="10098" spans="1:5" x14ac:dyDescent="0.25">
      <c r="A10098" s="22"/>
      <c r="B10098" s="23"/>
      <c r="C10098" s="23"/>
      <c r="D10098" s="23"/>
      <c r="E10098" s="23"/>
    </row>
    <row r="10099" spans="1:5" x14ac:dyDescent="0.25">
      <c r="A10099" s="22"/>
      <c r="B10099" s="23"/>
      <c r="C10099" s="23"/>
      <c r="D10099" s="23"/>
      <c r="E10099" s="23"/>
    </row>
    <row r="10100" spans="1:5" x14ac:dyDescent="0.25">
      <c r="A10100" s="22"/>
      <c r="B10100" s="23"/>
      <c r="C10100" s="23"/>
      <c r="D10100" s="23"/>
      <c r="E10100" s="23"/>
    </row>
    <row r="10101" spans="1:5" x14ac:dyDescent="0.25">
      <c r="A10101" s="22"/>
      <c r="B10101" s="23"/>
      <c r="C10101" s="23"/>
      <c r="D10101" s="23"/>
      <c r="E10101" s="23"/>
    </row>
    <row r="10102" spans="1:5" x14ac:dyDescent="0.25">
      <c r="A10102" s="22"/>
      <c r="B10102" s="23"/>
      <c r="C10102" s="23"/>
      <c r="D10102" s="23"/>
      <c r="E10102" s="23"/>
    </row>
    <row r="10103" spans="1:5" x14ac:dyDescent="0.25">
      <c r="A10103" s="22"/>
      <c r="B10103" s="23"/>
      <c r="C10103" s="23"/>
      <c r="D10103" s="23"/>
      <c r="E10103" s="23"/>
    </row>
    <row r="10104" spans="1:5" x14ac:dyDescent="0.25">
      <c r="A10104" s="22"/>
      <c r="B10104" s="23"/>
      <c r="C10104" s="23"/>
      <c r="D10104" s="23"/>
      <c r="E10104" s="23"/>
    </row>
    <row r="10105" spans="1:5" x14ac:dyDescent="0.25">
      <c r="A10105" s="22"/>
      <c r="B10105" s="23"/>
      <c r="C10105" s="23"/>
      <c r="D10105" s="23"/>
      <c r="E10105" s="23"/>
    </row>
    <row r="10106" spans="1:5" x14ac:dyDescent="0.25">
      <c r="A10106" s="22"/>
      <c r="B10106" s="23"/>
      <c r="C10106" s="23"/>
      <c r="D10106" s="23"/>
      <c r="E10106" s="23"/>
    </row>
    <row r="10107" spans="1:5" x14ac:dyDescent="0.25">
      <c r="A10107" s="22"/>
      <c r="B10107" s="23"/>
      <c r="C10107" s="23"/>
      <c r="D10107" s="23"/>
      <c r="E10107" s="23"/>
    </row>
    <row r="10108" spans="1:5" x14ac:dyDescent="0.25">
      <c r="A10108" s="22"/>
      <c r="B10108" s="23"/>
      <c r="C10108" s="23"/>
      <c r="D10108" s="23"/>
      <c r="E10108" s="23"/>
    </row>
    <row r="10109" spans="1:5" x14ac:dyDescent="0.25">
      <c r="A10109" s="22"/>
      <c r="B10109" s="23"/>
      <c r="C10109" s="23"/>
      <c r="D10109" s="23"/>
      <c r="E10109" s="23"/>
    </row>
    <row r="10110" spans="1:5" x14ac:dyDescent="0.25">
      <c r="A10110" s="22"/>
      <c r="B10110" s="23"/>
      <c r="C10110" s="23"/>
      <c r="D10110" s="23"/>
      <c r="E10110" s="23"/>
    </row>
    <row r="10111" spans="1:5" x14ac:dyDescent="0.25">
      <c r="A10111" s="22"/>
      <c r="B10111" s="23"/>
      <c r="C10111" s="23"/>
      <c r="D10111" s="23"/>
      <c r="E10111" s="23"/>
    </row>
    <row r="10112" spans="1:5" x14ac:dyDescent="0.25">
      <c r="A10112" s="22"/>
      <c r="B10112" s="23"/>
      <c r="C10112" s="23"/>
      <c r="D10112" s="23"/>
      <c r="E10112" s="23"/>
    </row>
    <row r="10113" spans="1:5" x14ac:dyDescent="0.25">
      <c r="A10113" s="22"/>
      <c r="B10113" s="23"/>
      <c r="C10113" s="23"/>
      <c r="D10113" s="23"/>
      <c r="E10113" s="23"/>
    </row>
    <row r="10114" spans="1:5" x14ac:dyDescent="0.25">
      <c r="A10114" s="22"/>
      <c r="B10114" s="23"/>
      <c r="C10114" s="23"/>
      <c r="D10114" s="23"/>
      <c r="E10114" s="23"/>
    </row>
    <row r="10115" spans="1:5" x14ac:dyDescent="0.25">
      <c r="A10115" s="22"/>
      <c r="B10115" s="23"/>
      <c r="C10115" s="23"/>
      <c r="D10115" s="23"/>
      <c r="E10115" s="23"/>
    </row>
    <row r="10116" spans="1:5" x14ac:dyDescent="0.25">
      <c r="A10116" s="22"/>
      <c r="B10116" s="23"/>
      <c r="C10116" s="23"/>
      <c r="D10116" s="23"/>
      <c r="E10116" s="23"/>
    </row>
    <row r="10117" spans="1:5" x14ac:dyDescent="0.25">
      <c r="A10117" s="22"/>
      <c r="B10117" s="23"/>
      <c r="C10117" s="23"/>
      <c r="D10117" s="23"/>
      <c r="E10117" s="23"/>
    </row>
    <row r="10118" spans="1:5" x14ac:dyDescent="0.25">
      <c r="A10118" s="22"/>
      <c r="B10118" s="23"/>
      <c r="C10118" s="23"/>
      <c r="D10118" s="23"/>
      <c r="E10118" s="23"/>
    </row>
    <row r="10119" spans="1:5" x14ac:dyDescent="0.25">
      <c r="A10119" s="22"/>
      <c r="B10119" s="23"/>
      <c r="C10119" s="23"/>
      <c r="D10119" s="23"/>
      <c r="E10119" s="23"/>
    </row>
    <row r="10120" spans="1:5" x14ac:dyDescent="0.25">
      <c r="A10120" s="22"/>
      <c r="B10120" s="23"/>
      <c r="C10120" s="23"/>
      <c r="D10120" s="23"/>
      <c r="E10120" s="23"/>
    </row>
    <row r="10121" spans="1:5" x14ac:dyDescent="0.25">
      <c r="A10121" s="22"/>
      <c r="B10121" s="23"/>
      <c r="C10121" s="23"/>
      <c r="D10121" s="23"/>
      <c r="E10121" s="23"/>
    </row>
    <row r="10122" spans="1:5" x14ac:dyDescent="0.25">
      <c r="A10122" s="22"/>
      <c r="B10122" s="23"/>
      <c r="C10122" s="23"/>
      <c r="D10122" s="23"/>
      <c r="E10122" s="23"/>
    </row>
    <row r="10123" spans="1:5" x14ac:dyDescent="0.25">
      <c r="A10123" s="22"/>
      <c r="B10123" s="23"/>
      <c r="C10123" s="23"/>
      <c r="D10123" s="23"/>
      <c r="E10123" s="23"/>
    </row>
    <row r="10124" spans="1:5" x14ac:dyDescent="0.25">
      <c r="A10124" s="22"/>
      <c r="B10124" s="23"/>
      <c r="C10124" s="23"/>
      <c r="D10124" s="23"/>
      <c r="E10124" s="23"/>
    </row>
    <row r="10125" spans="1:5" x14ac:dyDescent="0.25">
      <c r="A10125" s="22"/>
      <c r="B10125" s="23"/>
      <c r="C10125" s="23"/>
      <c r="D10125" s="23"/>
      <c r="E10125" s="23"/>
    </row>
    <row r="10126" spans="1:5" x14ac:dyDescent="0.25">
      <c r="A10126" s="22"/>
      <c r="B10126" s="23"/>
      <c r="C10126" s="23"/>
      <c r="D10126" s="23"/>
      <c r="E10126" s="23"/>
    </row>
    <row r="10127" spans="1:5" x14ac:dyDescent="0.25">
      <c r="A10127" s="22"/>
      <c r="B10127" s="23"/>
      <c r="C10127" s="23"/>
      <c r="D10127" s="23"/>
      <c r="E10127" s="23"/>
    </row>
    <row r="10128" spans="1:5" x14ac:dyDescent="0.25">
      <c r="A10128" s="22"/>
      <c r="B10128" s="23"/>
      <c r="C10128" s="23"/>
      <c r="D10128" s="23"/>
      <c r="E10128" s="23"/>
    </row>
    <row r="10129" spans="1:5" x14ac:dyDescent="0.25">
      <c r="A10129" s="22"/>
      <c r="B10129" s="23"/>
      <c r="C10129" s="23"/>
      <c r="D10129" s="23"/>
      <c r="E10129" s="23"/>
    </row>
    <row r="10130" spans="1:5" x14ac:dyDescent="0.25">
      <c r="A10130" s="22"/>
      <c r="B10130" s="23"/>
      <c r="C10130" s="23"/>
      <c r="D10130" s="23"/>
      <c r="E10130" s="23"/>
    </row>
    <row r="10131" spans="1:5" x14ac:dyDescent="0.25">
      <c r="A10131" s="22"/>
      <c r="B10131" s="23"/>
      <c r="C10131" s="23"/>
      <c r="D10131" s="23"/>
      <c r="E10131" s="23"/>
    </row>
    <row r="10132" spans="1:5" x14ac:dyDescent="0.25">
      <c r="A10132" s="22"/>
      <c r="B10132" s="23"/>
      <c r="C10132" s="23"/>
      <c r="D10132" s="23"/>
      <c r="E10132" s="23"/>
    </row>
    <row r="10133" spans="1:5" x14ac:dyDescent="0.25">
      <c r="A10133" s="22"/>
      <c r="B10133" s="23"/>
      <c r="C10133" s="23"/>
      <c r="D10133" s="23"/>
      <c r="E10133" s="23"/>
    </row>
    <row r="10134" spans="1:5" x14ac:dyDescent="0.25">
      <c r="A10134" s="22"/>
      <c r="B10134" s="23"/>
      <c r="C10134" s="23"/>
      <c r="D10134" s="23"/>
      <c r="E10134" s="23"/>
    </row>
    <row r="10135" spans="1:5" x14ac:dyDescent="0.25">
      <c r="A10135" s="22"/>
      <c r="B10135" s="23"/>
      <c r="C10135" s="23"/>
      <c r="D10135" s="23"/>
      <c r="E10135" s="23"/>
    </row>
    <row r="10136" spans="1:5" x14ac:dyDescent="0.25">
      <c r="A10136" s="22"/>
      <c r="B10136" s="23"/>
      <c r="C10136" s="23"/>
      <c r="D10136" s="23"/>
      <c r="E10136" s="23"/>
    </row>
    <row r="10137" spans="1:5" x14ac:dyDescent="0.25">
      <c r="A10137" s="22"/>
      <c r="B10137" s="23"/>
      <c r="C10137" s="23"/>
      <c r="D10137" s="23"/>
      <c r="E10137" s="23"/>
    </row>
    <row r="10138" spans="1:5" x14ac:dyDescent="0.25">
      <c r="A10138" s="22"/>
      <c r="B10138" s="23"/>
      <c r="C10138" s="23"/>
      <c r="D10138" s="23"/>
      <c r="E10138" s="23"/>
    </row>
    <row r="10139" spans="1:5" x14ac:dyDescent="0.25">
      <c r="A10139" s="22"/>
      <c r="B10139" s="23"/>
      <c r="C10139" s="23"/>
      <c r="D10139" s="23"/>
      <c r="E10139" s="23"/>
    </row>
    <row r="10140" spans="1:5" x14ac:dyDescent="0.25">
      <c r="A10140" s="22"/>
      <c r="B10140" s="23"/>
      <c r="C10140" s="23"/>
      <c r="D10140" s="23"/>
      <c r="E10140" s="23"/>
    </row>
    <row r="10141" spans="1:5" x14ac:dyDescent="0.25">
      <c r="A10141" s="22"/>
      <c r="B10141" s="23"/>
      <c r="C10141" s="23"/>
      <c r="D10141" s="23"/>
      <c r="E10141" s="23"/>
    </row>
    <row r="10142" spans="1:5" x14ac:dyDescent="0.25">
      <c r="A10142" s="22"/>
      <c r="B10142" s="23"/>
      <c r="C10142" s="23"/>
      <c r="D10142" s="23"/>
      <c r="E10142" s="23"/>
    </row>
    <row r="10143" spans="1:5" x14ac:dyDescent="0.25">
      <c r="A10143" s="22"/>
      <c r="B10143" s="23"/>
      <c r="C10143" s="23"/>
      <c r="D10143" s="23"/>
      <c r="E10143" s="23"/>
    </row>
    <row r="10144" spans="1:5" x14ac:dyDescent="0.25">
      <c r="A10144" s="22"/>
      <c r="B10144" s="23"/>
      <c r="C10144" s="23"/>
      <c r="D10144" s="23"/>
      <c r="E10144" s="23"/>
    </row>
    <row r="10145" spans="1:5" x14ac:dyDescent="0.25">
      <c r="A10145" s="22"/>
      <c r="B10145" s="23"/>
      <c r="C10145" s="23"/>
      <c r="D10145" s="23"/>
      <c r="E10145" s="23"/>
    </row>
    <row r="10146" spans="1:5" x14ac:dyDescent="0.25">
      <c r="A10146" s="22"/>
      <c r="B10146" s="23"/>
      <c r="C10146" s="23"/>
      <c r="D10146" s="23"/>
      <c r="E10146" s="23"/>
    </row>
    <row r="10147" spans="1:5" x14ac:dyDescent="0.25">
      <c r="A10147" s="22"/>
      <c r="B10147" s="23"/>
      <c r="C10147" s="23"/>
      <c r="D10147" s="23"/>
      <c r="E10147" s="23"/>
    </row>
    <row r="10148" spans="1:5" x14ac:dyDescent="0.25">
      <c r="A10148" s="22"/>
      <c r="B10148" s="23"/>
      <c r="C10148" s="23"/>
      <c r="D10148" s="23"/>
      <c r="E10148" s="23"/>
    </row>
    <row r="10149" spans="1:5" x14ac:dyDescent="0.25">
      <c r="A10149" s="22"/>
      <c r="B10149" s="23"/>
      <c r="C10149" s="23"/>
      <c r="D10149" s="23"/>
      <c r="E10149" s="23"/>
    </row>
    <row r="10150" spans="1:5" x14ac:dyDescent="0.25">
      <c r="A10150" s="22"/>
      <c r="B10150" s="23"/>
      <c r="C10150" s="23"/>
      <c r="D10150" s="23"/>
      <c r="E10150" s="23"/>
    </row>
    <row r="10151" spans="1:5" x14ac:dyDescent="0.25">
      <c r="A10151" s="22"/>
      <c r="B10151" s="23"/>
      <c r="C10151" s="23"/>
      <c r="D10151" s="23"/>
      <c r="E10151" s="23"/>
    </row>
    <row r="10152" spans="1:5" x14ac:dyDescent="0.25">
      <c r="A10152" s="22"/>
      <c r="B10152" s="23"/>
      <c r="C10152" s="23"/>
      <c r="D10152" s="23"/>
      <c r="E10152" s="23"/>
    </row>
    <row r="10153" spans="1:5" x14ac:dyDescent="0.25">
      <c r="A10153" s="22"/>
      <c r="B10153" s="23"/>
      <c r="C10153" s="23"/>
      <c r="D10153" s="23"/>
      <c r="E10153" s="23"/>
    </row>
    <row r="10154" spans="1:5" x14ac:dyDescent="0.25">
      <c r="A10154" s="22"/>
      <c r="B10154" s="23"/>
      <c r="C10154" s="23"/>
      <c r="D10154" s="23"/>
      <c r="E10154" s="23"/>
    </row>
    <row r="10155" spans="1:5" x14ac:dyDescent="0.25">
      <c r="A10155" s="22"/>
      <c r="B10155" s="23"/>
      <c r="C10155" s="23"/>
      <c r="D10155" s="23"/>
      <c r="E10155" s="23"/>
    </row>
    <row r="10156" spans="1:5" x14ac:dyDescent="0.25">
      <c r="A10156" s="22"/>
      <c r="B10156" s="23"/>
      <c r="C10156" s="23"/>
      <c r="D10156" s="23"/>
      <c r="E10156" s="23"/>
    </row>
    <row r="10157" spans="1:5" x14ac:dyDescent="0.25">
      <c r="A10157" s="22"/>
      <c r="B10157" s="23"/>
      <c r="C10157" s="23"/>
      <c r="D10157" s="23"/>
      <c r="E10157" s="23"/>
    </row>
    <row r="10158" spans="1:5" x14ac:dyDescent="0.25">
      <c r="A10158" s="22"/>
      <c r="B10158" s="23"/>
      <c r="C10158" s="23"/>
      <c r="D10158" s="23"/>
      <c r="E10158" s="23"/>
    </row>
    <row r="10159" spans="1:5" x14ac:dyDescent="0.25">
      <c r="A10159" s="22"/>
      <c r="B10159" s="23"/>
      <c r="C10159" s="23"/>
      <c r="D10159" s="23"/>
      <c r="E10159" s="23"/>
    </row>
    <row r="10160" spans="1:5" x14ac:dyDescent="0.25">
      <c r="A10160" s="22"/>
      <c r="B10160" s="23"/>
      <c r="C10160" s="23"/>
      <c r="D10160" s="23"/>
      <c r="E10160" s="23"/>
    </row>
    <row r="10161" spans="1:5" x14ac:dyDescent="0.25">
      <c r="A10161" s="22"/>
      <c r="B10161" s="23"/>
      <c r="C10161" s="23"/>
      <c r="D10161" s="23"/>
      <c r="E10161" s="23"/>
    </row>
    <row r="10162" spans="1:5" x14ac:dyDescent="0.25">
      <c r="A10162" s="22"/>
      <c r="B10162" s="23"/>
      <c r="C10162" s="23"/>
      <c r="D10162" s="23"/>
      <c r="E10162" s="23"/>
    </row>
    <row r="10163" spans="1:5" x14ac:dyDescent="0.25">
      <c r="A10163" s="22"/>
      <c r="B10163" s="23"/>
      <c r="C10163" s="23"/>
      <c r="D10163" s="23"/>
      <c r="E10163" s="23"/>
    </row>
    <row r="10164" spans="1:5" x14ac:dyDescent="0.25">
      <c r="A10164" s="22"/>
      <c r="B10164" s="23"/>
      <c r="C10164" s="23"/>
      <c r="D10164" s="23"/>
      <c r="E10164" s="23"/>
    </row>
    <row r="10165" spans="1:5" x14ac:dyDescent="0.25">
      <c r="A10165" s="22"/>
      <c r="B10165" s="23"/>
      <c r="C10165" s="23"/>
      <c r="D10165" s="23"/>
      <c r="E10165" s="23"/>
    </row>
    <row r="10166" spans="1:5" x14ac:dyDescent="0.25">
      <c r="A10166" s="22"/>
      <c r="B10166" s="23"/>
      <c r="C10166" s="23"/>
      <c r="D10166" s="23"/>
      <c r="E10166" s="23"/>
    </row>
    <row r="10167" spans="1:5" x14ac:dyDescent="0.25">
      <c r="A10167" s="22"/>
      <c r="B10167" s="23"/>
      <c r="C10167" s="23"/>
      <c r="D10167" s="23"/>
      <c r="E10167" s="23"/>
    </row>
    <row r="10168" spans="1:5" x14ac:dyDescent="0.25">
      <c r="A10168" s="22"/>
      <c r="B10168" s="23"/>
      <c r="C10168" s="23"/>
      <c r="D10168" s="23"/>
      <c r="E10168" s="23"/>
    </row>
    <row r="10169" spans="1:5" x14ac:dyDescent="0.25">
      <c r="A10169" s="22"/>
      <c r="B10169" s="23"/>
      <c r="C10169" s="23"/>
      <c r="D10169" s="23"/>
      <c r="E10169" s="23"/>
    </row>
    <row r="10170" spans="1:5" x14ac:dyDescent="0.25">
      <c r="A10170" s="22"/>
      <c r="B10170" s="23"/>
      <c r="C10170" s="23"/>
      <c r="D10170" s="23"/>
      <c r="E10170" s="23"/>
    </row>
    <row r="10171" spans="1:5" x14ac:dyDescent="0.25">
      <c r="A10171" s="22"/>
      <c r="B10171" s="23"/>
      <c r="C10171" s="23"/>
      <c r="D10171" s="23"/>
      <c r="E10171" s="23"/>
    </row>
    <row r="10172" spans="1:5" x14ac:dyDescent="0.25">
      <c r="A10172" s="22"/>
      <c r="B10172" s="23"/>
      <c r="C10172" s="23"/>
      <c r="D10172" s="23"/>
      <c r="E10172" s="23"/>
    </row>
    <row r="10173" spans="1:5" x14ac:dyDescent="0.25">
      <c r="A10173" s="22"/>
      <c r="B10173" s="23"/>
      <c r="C10173" s="23"/>
      <c r="D10173" s="23"/>
      <c r="E10173" s="23"/>
    </row>
    <row r="10174" spans="1:5" x14ac:dyDescent="0.25">
      <c r="A10174" s="22"/>
      <c r="B10174" s="23"/>
      <c r="C10174" s="23"/>
      <c r="D10174" s="23"/>
      <c r="E10174" s="23"/>
    </row>
    <row r="10175" spans="1:5" x14ac:dyDescent="0.25">
      <c r="A10175" s="22"/>
      <c r="B10175" s="23"/>
      <c r="C10175" s="23"/>
      <c r="D10175" s="23"/>
      <c r="E10175" s="23"/>
    </row>
    <row r="10176" spans="1:5" x14ac:dyDescent="0.25">
      <c r="A10176" s="22"/>
      <c r="B10176" s="23"/>
      <c r="C10176" s="23"/>
      <c r="D10176" s="23"/>
      <c r="E10176" s="23"/>
    </row>
    <row r="10177" spans="1:5" x14ac:dyDescent="0.25">
      <c r="A10177" s="22"/>
      <c r="B10177" s="23"/>
      <c r="C10177" s="23"/>
      <c r="D10177" s="23"/>
      <c r="E10177" s="23"/>
    </row>
    <row r="10178" spans="1:5" x14ac:dyDescent="0.25">
      <c r="A10178" s="22"/>
      <c r="B10178" s="23"/>
      <c r="C10178" s="23"/>
      <c r="D10178" s="23"/>
      <c r="E10178" s="23"/>
    </row>
    <row r="10179" spans="1:5" x14ac:dyDescent="0.25">
      <c r="A10179" s="22"/>
      <c r="B10179" s="23"/>
      <c r="C10179" s="23"/>
      <c r="D10179" s="23"/>
      <c r="E10179" s="23"/>
    </row>
    <row r="10180" spans="1:5" x14ac:dyDescent="0.25">
      <c r="A10180" s="22"/>
      <c r="B10180" s="23"/>
      <c r="C10180" s="23"/>
      <c r="D10180" s="23"/>
      <c r="E10180" s="23"/>
    </row>
    <row r="10181" spans="1:5" x14ac:dyDescent="0.25">
      <c r="A10181" s="22"/>
      <c r="B10181" s="23"/>
      <c r="C10181" s="23"/>
      <c r="D10181" s="23"/>
      <c r="E10181" s="23"/>
    </row>
    <row r="10182" spans="1:5" x14ac:dyDescent="0.25">
      <c r="A10182" s="22"/>
      <c r="B10182" s="23"/>
      <c r="C10182" s="23"/>
      <c r="D10182" s="23"/>
      <c r="E10182" s="23"/>
    </row>
    <row r="10183" spans="1:5" x14ac:dyDescent="0.25">
      <c r="A10183" s="22"/>
      <c r="B10183" s="23"/>
      <c r="C10183" s="23"/>
      <c r="D10183" s="23"/>
      <c r="E10183" s="23"/>
    </row>
    <row r="10184" spans="1:5" x14ac:dyDescent="0.25">
      <c r="A10184" s="22"/>
      <c r="B10184" s="23"/>
      <c r="C10184" s="23"/>
      <c r="D10184" s="23"/>
      <c r="E10184" s="23"/>
    </row>
    <row r="10185" spans="1:5" x14ac:dyDescent="0.25">
      <c r="A10185" s="22"/>
      <c r="B10185" s="23"/>
      <c r="C10185" s="23"/>
      <c r="D10185" s="23"/>
      <c r="E10185" s="23"/>
    </row>
    <row r="10186" spans="1:5" x14ac:dyDescent="0.25">
      <c r="A10186" s="22"/>
      <c r="B10186" s="23"/>
      <c r="C10186" s="23"/>
      <c r="D10186" s="23"/>
      <c r="E10186" s="23"/>
    </row>
    <row r="10187" spans="1:5" x14ac:dyDescent="0.25">
      <c r="A10187" s="22"/>
      <c r="B10187" s="23"/>
      <c r="C10187" s="23"/>
      <c r="D10187" s="23"/>
      <c r="E10187" s="23"/>
    </row>
    <row r="10188" spans="1:5" x14ac:dyDescent="0.25">
      <c r="A10188" s="22"/>
      <c r="B10188" s="23"/>
      <c r="C10188" s="23"/>
      <c r="D10188" s="23"/>
      <c r="E10188" s="23"/>
    </row>
    <row r="10189" spans="1:5" x14ac:dyDescent="0.25">
      <c r="A10189" s="22"/>
      <c r="B10189" s="23"/>
      <c r="C10189" s="23"/>
      <c r="D10189" s="23"/>
      <c r="E10189" s="23"/>
    </row>
    <row r="10190" spans="1:5" x14ac:dyDescent="0.25">
      <c r="A10190" s="22"/>
      <c r="B10190" s="23"/>
      <c r="C10190" s="23"/>
      <c r="D10190" s="23"/>
      <c r="E10190" s="23"/>
    </row>
    <row r="10191" spans="1:5" x14ac:dyDescent="0.25">
      <c r="A10191" s="22"/>
      <c r="B10191" s="23"/>
      <c r="C10191" s="23"/>
      <c r="D10191" s="23"/>
      <c r="E10191" s="23"/>
    </row>
    <row r="10192" spans="1:5" x14ac:dyDescent="0.25">
      <c r="A10192" s="22"/>
      <c r="B10192" s="23"/>
      <c r="C10192" s="23"/>
      <c r="D10192" s="23"/>
      <c r="E10192" s="23"/>
    </row>
    <row r="10193" spans="1:5" x14ac:dyDescent="0.25">
      <c r="A10193" s="22"/>
      <c r="B10193" s="23"/>
      <c r="C10193" s="23"/>
      <c r="D10193" s="23"/>
      <c r="E10193" s="23"/>
    </row>
    <row r="10194" spans="1:5" x14ac:dyDescent="0.25">
      <c r="A10194" s="22"/>
      <c r="B10194" s="23"/>
      <c r="C10194" s="23"/>
      <c r="D10194" s="23"/>
      <c r="E10194" s="23"/>
    </row>
    <row r="10195" spans="1:5" x14ac:dyDescent="0.25">
      <c r="A10195" s="22"/>
      <c r="B10195" s="23"/>
      <c r="C10195" s="23"/>
      <c r="D10195" s="23"/>
      <c r="E10195" s="23"/>
    </row>
    <row r="10196" spans="1:5" x14ac:dyDescent="0.25">
      <c r="A10196" s="22"/>
      <c r="B10196" s="23"/>
      <c r="C10196" s="23"/>
      <c r="D10196" s="23"/>
      <c r="E10196" s="23"/>
    </row>
    <row r="10197" spans="1:5" x14ac:dyDescent="0.25">
      <c r="A10197" s="22"/>
      <c r="B10197" s="23"/>
      <c r="C10197" s="23"/>
      <c r="D10197" s="23"/>
      <c r="E10197" s="23"/>
    </row>
    <row r="10198" spans="1:5" x14ac:dyDescent="0.25">
      <c r="A10198" s="22"/>
      <c r="B10198" s="23"/>
      <c r="C10198" s="23"/>
      <c r="D10198" s="23"/>
      <c r="E10198" s="23"/>
    </row>
    <row r="10199" spans="1:5" x14ac:dyDescent="0.25">
      <c r="A10199" s="22"/>
      <c r="B10199" s="23"/>
      <c r="C10199" s="23"/>
      <c r="D10199" s="23"/>
      <c r="E10199" s="23"/>
    </row>
    <row r="10200" spans="1:5" x14ac:dyDescent="0.25">
      <c r="A10200" s="22"/>
      <c r="B10200" s="23"/>
      <c r="C10200" s="23"/>
      <c r="D10200" s="23"/>
      <c r="E10200" s="23"/>
    </row>
    <row r="10201" spans="1:5" x14ac:dyDescent="0.25">
      <c r="A10201" s="22"/>
      <c r="B10201" s="23"/>
      <c r="C10201" s="23"/>
      <c r="D10201" s="23"/>
      <c r="E10201" s="23"/>
    </row>
    <row r="10202" spans="1:5" x14ac:dyDescent="0.25">
      <c r="A10202" s="22"/>
      <c r="B10202" s="23"/>
      <c r="C10202" s="23"/>
      <c r="D10202" s="23"/>
      <c r="E10202" s="23"/>
    </row>
    <row r="10203" spans="1:5" x14ac:dyDescent="0.25">
      <c r="A10203" s="22"/>
      <c r="B10203" s="23"/>
      <c r="C10203" s="23"/>
      <c r="D10203" s="23"/>
      <c r="E10203" s="23"/>
    </row>
    <row r="10204" spans="1:5" x14ac:dyDescent="0.25">
      <c r="A10204" s="22"/>
      <c r="B10204" s="23"/>
      <c r="C10204" s="23"/>
      <c r="D10204" s="23"/>
      <c r="E10204" s="23"/>
    </row>
    <row r="10205" spans="1:5" x14ac:dyDescent="0.25">
      <c r="A10205" s="22"/>
      <c r="B10205" s="23"/>
      <c r="C10205" s="23"/>
      <c r="D10205" s="23"/>
      <c r="E10205" s="23"/>
    </row>
    <row r="10206" spans="1:5" x14ac:dyDescent="0.25">
      <c r="A10206" s="22"/>
      <c r="B10206" s="23"/>
      <c r="C10206" s="23"/>
      <c r="D10206" s="23"/>
      <c r="E10206" s="23"/>
    </row>
    <row r="10207" spans="1:5" x14ac:dyDescent="0.25">
      <c r="A10207" s="22"/>
      <c r="B10207" s="23"/>
      <c r="C10207" s="23"/>
      <c r="D10207" s="23"/>
      <c r="E10207" s="23"/>
    </row>
    <row r="10208" spans="1:5" x14ac:dyDescent="0.25">
      <c r="A10208" s="22"/>
      <c r="B10208" s="23"/>
      <c r="C10208" s="23"/>
      <c r="D10208" s="23"/>
      <c r="E10208" s="23"/>
    </row>
    <row r="10209" spans="1:5" x14ac:dyDescent="0.25">
      <c r="A10209" s="22"/>
      <c r="B10209" s="23"/>
      <c r="C10209" s="23"/>
      <c r="D10209" s="23"/>
      <c r="E10209" s="23"/>
    </row>
    <row r="10210" spans="1:5" x14ac:dyDescent="0.25">
      <c r="A10210" s="22"/>
      <c r="B10210" s="23"/>
      <c r="C10210" s="23"/>
      <c r="D10210" s="23"/>
      <c r="E10210" s="23"/>
    </row>
    <row r="10211" spans="1:5" x14ac:dyDescent="0.25">
      <c r="A10211" s="22"/>
      <c r="B10211" s="23"/>
      <c r="C10211" s="23"/>
      <c r="D10211" s="23"/>
      <c r="E10211" s="23"/>
    </row>
    <row r="10212" spans="1:5" x14ac:dyDescent="0.25">
      <c r="A10212" s="22"/>
      <c r="B10212" s="23"/>
      <c r="C10212" s="23"/>
      <c r="D10212" s="23"/>
      <c r="E10212" s="23"/>
    </row>
    <row r="10213" spans="1:5" x14ac:dyDescent="0.25">
      <c r="A10213" s="22"/>
      <c r="B10213" s="23"/>
      <c r="C10213" s="23"/>
      <c r="D10213" s="23"/>
      <c r="E10213" s="23"/>
    </row>
    <row r="10214" spans="1:5" x14ac:dyDescent="0.25">
      <c r="A10214" s="22"/>
      <c r="B10214" s="23"/>
      <c r="C10214" s="23"/>
      <c r="D10214" s="23"/>
      <c r="E10214" s="23"/>
    </row>
    <row r="10215" spans="1:5" x14ac:dyDescent="0.25">
      <c r="A10215" s="22"/>
      <c r="B10215" s="23"/>
      <c r="C10215" s="23"/>
      <c r="D10215" s="23"/>
      <c r="E10215" s="23"/>
    </row>
    <row r="10216" spans="1:5" x14ac:dyDescent="0.25">
      <c r="A10216" s="22"/>
      <c r="B10216" s="23"/>
      <c r="C10216" s="23"/>
      <c r="D10216" s="23"/>
      <c r="E10216" s="23"/>
    </row>
    <row r="10217" spans="1:5" x14ac:dyDescent="0.25">
      <c r="A10217" s="22"/>
      <c r="B10217" s="23"/>
      <c r="C10217" s="23"/>
      <c r="D10217" s="23"/>
      <c r="E10217" s="23"/>
    </row>
    <row r="10218" spans="1:5" x14ac:dyDescent="0.25">
      <c r="A10218" s="22"/>
      <c r="B10218" s="23"/>
      <c r="C10218" s="23"/>
      <c r="D10218" s="23"/>
      <c r="E10218" s="23"/>
    </row>
    <row r="10219" spans="1:5" x14ac:dyDescent="0.25">
      <c r="A10219" s="22"/>
      <c r="B10219" s="23"/>
      <c r="C10219" s="23"/>
      <c r="D10219" s="23"/>
      <c r="E10219" s="23"/>
    </row>
    <row r="10220" spans="1:5" x14ac:dyDescent="0.25">
      <c r="A10220" s="22"/>
      <c r="B10220" s="23"/>
      <c r="C10220" s="23"/>
      <c r="D10220" s="23"/>
      <c r="E10220" s="23"/>
    </row>
    <row r="10221" spans="1:5" x14ac:dyDescent="0.25">
      <c r="A10221" s="22"/>
      <c r="B10221" s="23"/>
      <c r="C10221" s="23"/>
      <c r="D10221" s="23"/>
      <c r="E10221" s="23"/>
    </row>
    <row r="10222" spans="1:5" x14ac:dyDescent="0.25">
      <c r="A10222" s="22"/>
      <c r="B10222" s="23"/>
      <c r="C10222" s="23"/>
      <c r="D10222" s="23"/>
      <c r="E10222" s="23"/>
    </row>
    <row r="10223" spans="1:5" x14ac:dyDescent="0.25">
      <c r="A10223" s="22"/>
      <c r="B10223" s="23"/>
      <c r="C10223" s="23"/>
      <c r="D10223" s="23"/>
      <c r="E10223" s="23"/>
    </row>
    <row r="10224" spans="1:5" x14ac:dyDescent="0.25">
      <c r="A10224" s="22"/>
      <c r="B10224" s="23"/>
      <c r="C10224" s="23"/>
      <c r="D10224" s="23"/>
      <c r="E10224" s="23"/>
    </row>
    <row r="10225" spans="1:5" x14ac:dyDescent="0.25">
      <c r="A10225" s="22"/>
      <c r="B10225" s="23"/>
      <c r="C10225" s="23"/>
      <c r="D10225" s="23"/>
      <c r="E10225" s="23"/>
    </row>
    <row r="10226" spans="1:5" x14ac:dyDescent="0.25">
      <c r="A10226" s="22"/>
      <c r="B10226" s="23"/>
      <c r="C10226" s="23"/>
      <c r="D10226" s="23"/>
      <c r="E10226" s="23"/>
    </row>
    <row r="10227" spans="1:5" x14ac:dyDescent="0.25">
      <c r="A10227" s="22"/>
      <c r="B10227" s="23"/>
      <c r="C10227" s="23"/>
      <c r="D10227" s="23"/>
      <c r="E10227" s="23"/>
    </row>
    <row r="10228" spans="1:5" x14ac:dyDescent="0.25">
      <c r="A10228" s="22"/>
      <c r="B10228" s="23"/>
      <c r="C10228" s="23"/>
      <c r="D10228" s="23"/>
      <c r="E10228" s="23"/>
    </row>
    <row r="10229" spans="1:5" x14ac:dyDescent="0.25">
      <c r="A10229" s="22"/>
      <c r="B10229" s="23"/>
      <c r="C10229" s="23"/>
      <c r="D10229" s="23"/>
      <c r="E10229" s="23"/>
    </row>
    <row r="10230" spans="1:5" x14ac:dyDescent="0.25">
      <c r="A10230" s="22"/>
      <c r="B10230" s="23"/>
      <c r="C10230" s="23"/>
      <c r="D10230" s="23"/>
      <c r="E10230" s="23"/>
    </row>
    <row r="10231" spans="1:5" x14ac:dyDescent="0.25">
      <c r="A10231" s="22"/>
      <c r="B10231" s="23"/>
      <c r="C10231" s="23"/>
      <c r="D10231" s="23"/>
      <c r="E10231" s="23"/>
    </row>
    <row r="10232" spans="1:5" x14ac:dyDescent="0.25">
      <c r="A10232" s="22"/>
      <c r="B10232" s="23"/>
      <c r="C10232" s="23"/>
      <c r="D10232" s="23"/>
      <c r="E10232" s="23"/>
    </row>
    <row r="10233" spans="1:5" x14ac:dyDescent="0.25">
      <c r="A10233" s="22"/>
      <c r="B10233" s="23"/>
      <c r="C10233" s="23"/>
      <c r="D10233" s="23"/>
      <c r="E10233" s="23"/>
    </row>
    <row r="10234" spans="1:5" x14ac:dyDescent="0.25">
      <c r="A10234" s="22"/>
      <c r="B10234" s="23"/>
      <c r="C10234" s="23"/>
      <c r="D10234" s="23"/>
      <c r="E10234" s="23"/>
    </row>
    <row r="10235" spans="1:5" x14ac:dyDescent="0.25">
      <c r="A10235" s="22"/>
      <c r="B10235" s="23"/>
      <c r="C10235" s="23"/>
      <c r="D10235" s="23"/>
      <c r="E10235" s="23"/>
    </row>
    <row r="10236" spans="1:5" x14ac:dyDescent="0.25">
      <c r="A10236" s="22"/>
      <c r="B10236" s="23"/>
      <c r="C10236" s="23"/>
      <c r="D10236" s="23"/>
      <c r="E10236" s="23"/>
    </row>
    <row r="10237" spans="1:5" x14ac:dyDescent="0.25">
      <c r="A10237" s="22"/>
      <c r="B10237" s="23"/>
      <c r="C10237" s="23"/>
      <c r="D10237" s="23"/>
      <c r="E10237" s="23"/>
    </row>
    <row r="10238" spans="1:5" x14ac:dyDescent="0.25">
      <c r="A10238" s="22"/>
      <c r="B10238" s="23"/>
      <c r="C10238" s="23"/>
      <c r="D10238" s="23"/>
      <c r="E10238" s="23"/>
    </row>
    <row r="10239" spans="1:5" x14ac:dyDescent="0.25">
      <c r="A10239" s="22"/>
      <c r="B10239" s="23"/>
      <c r="C10239" s="23"/>
      <c r="D10239" s="23"/>
      <c r="E10239" s="23"/>
    </row>
    <row r="10240" spans="1:5" x14ac:dyDescent="0.25">
      <c r="A10240" s="22"/>
      <c r="B10240" s="23"/>
      <c r="C10240" s="23"/>
      <c r="D10240" s="23"/>
      <c r="E10240" s="23"/>
    </row>
    <row r="10241" spans="1:5" x14ac:dyDescent="0.25">
      <c r="A10241" s="22"/>
      <c r="B10241" s="23"/>
      <c r="C10241" s="23"/>
      <c r="D10241" s="23"/>
      <c r="E10241" s="23"/>
    </row>
    <row r="10242" spans="1:5" x14ac:dyDescent="0.25">
      <c r="A10242" s="22"/>
      <c r="B10242" s="23"/>
      <c r="C10242" s="23"/>
      <c r="D10242" s="23"/>
      <c r="E10242" s="23"/>
    </row>
    <row r="10243" spans="1:5" x14ac:dyDescent="0.25">
      <c r="A10243" s="22"/>
      <c r="B10243" s="23"/>
      <c r="C10243" s="23"/>
      <c r="D10243" s="23"/>
      <c r="E10243" s="23"/>
    </row>
    <row r="10244" spans="1:5" x14ac:dyDescent="0.25">
      <c r="A10244" s="22"/>
      <c r="B10244" s="23"/>
      <c r="C10244" s="23"/>
      <c r="D10244" s="23"/>
      <c r="E10244" s="23"/>
    </row>
    <row r="10245" spans="1:5" x14ac:dyDescent="0.25">
      <c r="A10245" s="22"/>
      <c r="B10245" s="23"/>
      <c r="C10245" s="23"/>
      <c r="D10245" s="23"/>
      <c r="E10245" s="23"/>
    </row>
    <row r="10246" spans="1:5" x14ac:dyDescent="0.25">
      <c r="A10246" s="22"/>
      <c r="B10246" s="23"/>
      <c r="C10246" s="23"/>
      <c r="D10246" s="23"/>
      <c r="E10246" s="23"/>
    </row>
    <row r="10247" spans="1:5" x14ac:dyDescent="0.25">
      <c r="A10247" s="22"/>
      <c r="B10247" s="23"/>
      <c r="C10247" s="23"/>
      <c r="D10247" s="23"/>
      <c r="E10247" s="23"/>
    </row>
    <row r="10248" spans="1:5" x14ac:dyDescent="0.25">
      <c r="A10248" s="22"/>
      <c r="B10248" s="23"/>
      <c r="C10248" s="23"/>
      <c r="D10248" s="23"/>
      <c r="E10248" s="23"/>
    </row>
    <row r="10249" spans="1:5" x14ac:dyDescent="0.25">
      <c r="A10249" s="22"/>
      <c r="B10249" s="23"/>
      <c r="C10249" s="23"/>
      <c r="D10249" s="23"/>
      <c r="E10249" s="23"/>
    </row>
    <row r="10250" spans="1:5" x14ac:dyDescent="0.25">
      <c r="A10250" s="22"/>
      <c r="B10250" s="23"/>
      <c r="C10250" s="23"/>
      <c r="D10250" s="23"/>
      <c r="E10250" s="23"/>
    </row>
    <row r="10251" spans="1:5" x14ac:dyDescent="0.25">
      <c r="A10251" s="22"/>
      <c r="B10251" s="23"/>
      <c r="C10251" s="23"/>
      <c r="D10251" s="23"/>
      <c r="E10251" s="23"/>
    </row>
    <row r="10252" spans="1:5" x14ac:dyDescent="0.25">
      <c r="A10252" s="22"/>
      <c r="B10252" s="23"/>
      <c r="C10252" s="23"/>
      <c r="D10252" s="23"/>
      <c r="E10252" s="23"/>
    </row>
    <row r="10253" spans="1:5" x14ac:dyDescent="0.25">
      <c r="A10253" s="22"/>
      <c r="B10253" s="23"/>
      <c r="C10253" s="23"/>
      <c r="D10253" s="23"/>
      <c r="E10253" s="23"/>
    </row>
    <row r="10254" spans="1:5" x14ac:dyDescent="0.25">
      <c r="A10254" s="22"/>
      <c r="B10254" s="23"/>
      <c r="C10254" s="23"/>
      <c r="D10254" s="23"/>
      <c r="E10254" s="23"/>
    </row>
    <row r="10255" spans="1:5" x14ac:dyDescent="0.25">
      <c r="A10255" s="22"/>
      <c r="B10255" s="23"/>
      <c r="C10255" s="23"/>
      <c r="D10255" s="23"/>
      <c r="E10255" s="23"/>
    </row>
    <row r="10256" spans="1:5" x14ac:dyDescent="0.25">
      <c r="A10256" s="22"/>
      <c r="B10256" s="23"/>
      <c r="C10256" s="23"/>
      <c r="D10256" s="23"/>
      <c r="E10256" s="23"/>
    </row>
    <row r="10257" spans="1:5" x14ac:dyDescent="0.25">
      <c r="A10257" s="22"/>
      <c r="B10257" s="23"/>
      <c r="C10257" s="23"/>
      <c r="D10257" s="23"/>
      <c r="E10257" s="23"/>
    </row>
    <row r="10258" spans="1:5" x14ac:dyDescent="0.25">
      <c r="A10258" s="22"/>
      <c r="B10258" s="23"/>
      <c r="C10258" s="23"/>
      <c r="D10258" s="23"/>
      <c r="E10258" s="23"/>
    </row>
    <row r="10259" spans="1:5" x14ac:dyDescent="0.25">
      <c r="A10259" s="22"/>
      <c r="B10259" s="23"/>
      <c r="C10259" s="23"/>
      <c r="D10259" s="23"/>
      <c r="E10259" s="23"/>
    </row>
    <row r="10260" spans="1:5" x14ac:dyDescent="0.25">
      <c r="A10260" s="22"/>
      <c r="B10260" s="23"/>
      <c r="C10260" s="23"/>
      <c r="D10260" s="23"/>
      <c r="E10260" s="23"/>
    </row>
    <row r="10261" spans="1:5" x14ac:dyDescent="0.25">
      <c r="A10261" s="22"/>
      <c r="B10261" s="23"/>
      <c r="C10261" s="23"/>
      <c r="D10261" s="23"/>
      <c r="E10261" s="23"/>
    </row>
    <row r="10262" spans="1:5" x14ac:dyDescent="0.25">
      <c r="A10262" s="22"/>
      <c r="B10262" s="23"/>
      <c r="C10262" s="23"/>
      <c r="D10262" s="23"/>
      <c r="E10262" s="23"/>
    </row>
    <row r="10263" spans="1:5" x14ac:dyDescent="0.25">
      <c r="A10263" s="22"/>
      <c r="B10263" s="23"/>
      <c r="C10263" s="23"/>
      <c r="D10263" s="23"/>
      <c r="E10263" s="23"/>
    </row>
    <row r="10264" spans="1:5" x14ac:dyDescent="0.25">
      <c r="A10264" s="22"/>
      <c r="B10264" s="23"/>
      <c r="C10264" s="23"/>
      <c r="D10264" s="23"/>
      <c r="E10264" s="23"/>
    </row>
    <row r="10265" spans="1:5" x14ac:dyDescent="0.25">
      <c r="A10265" s="22"/>
      <c r="B10265" s="23"/>
      <c r="C10265" s="23"/>
      <c r="D10265" s="23"/>
      <c r="E10265" s="23"/>
    </row>
    <row r="10266" spans="1:5" x14ac:dyDescent="0.25">
      <c r="A10266" s="22"/>
      <c r="B10266" s="23"/>
      <c r="C10266" s="23"/>
      <c r="D10266" s="23"/>
      <c r="E10266" s="23"/>
    </row>
    <row r="10267" spans="1:5" x14ac:dyDescent="0.25">
      <c r="A10267" s="22"/>
      <c r="B10267" s="23"/>
      <c r="C10267" s="23"/>
      <c r="D10267" s="23"/>
      <c r="E10267" s="23"/>
    </row>
    <row r="10268" spans="1:5" x14ac:dyDescent="0.25">
      <c r="A10268" s="22"/>
      <c r="B10268" s="23"/>
      <c r="C10268" s="23"/>
      <c r="D10268" s="23"/>
      <c r="E10268" s="23"/>
    </row>
    <row r="10269" spans="1:5" x14ac:dyDescent="0.25">
      <c r="A10269" s="22"/>
      <c r="B10269" s="23"/>
      <c r="C10269" s="23"/>
      <c r="D10269" s="23"/>
      <c r="E10269" s="23"/>
    </row>
    <row r="10270" spans="1:5" x14ac:dyDescent="0.25">
      <c r="A10270" s="22"/>
      <c r="B10270" s="23"/>
      <c r="C10270" s="23"/>
      <c r="D10270" s="23"/>
      <c r="E10270" s="23"/>
    </row>
    <row r="10271" spans="1:5" x14ac:dyDescent="0.25">
      <c r="A10271" s="22"/>
      <c r="B10271" s="23"/>
      <c r="C10271" s="23"/>
      <c r="D10271" s="23"/>
      <c r="E10271" s="23"/>
    </row>
    <row r="10272" spans="1:5" x14ac:dyDescent="0.25">
      <c r="A10272" s="22"/>
      <c r="B10272" s="23"/>
      <c r="C10272" s="23"/>
      <c r="D10272" s="23"/>
      <c r="E10272" s="23"/>
    </row>
    <row r="10273" spans="1:5" x14ac:dyDescent="0.25">
      <c r="A10273" s="22"/>
      <c r="B10273" s="23"/>
      <c r="C10273" s="23"/>
      <c r="D10273" s="23"/>
      <c r="E10273" s="23"/>
    </row>
    <row r="10274" spans="1:5" x14ac:dyDescent="0.25">
      <c r="A10274" s="22"/>
      <c r="B10274" s="23"/>
      <c r="C10274" s="23"/>
      <c r="D10274" s="23"/>
      <c r="E10274" s="23"/>
    </row>
    <row r="10275" spans="1:5" x14ac:dyDescent="0.25">
      <c r="A10275" s="22"/>
      <c r="B10275" s="23"/>
      <c r="C10275" s="23"/>
      <c r="D10275" s="23"/>
      <c r="E10275" s="23"/>
    </row>
    <row r="10276" spans="1:5" x14ac:dyDescent="0.25">
      <c r="A10276" s="22"/>
      <c r="B10276" s="23"/>
      <c r="C10276" s="23"/>
      <c r="D10276" s="23"/>
      <c r="E10276" s="23"/>
    </row>
    <row r="10277" spans="1:5" x14ac:dyDescent="0.25">
      <c r="A10277" s="22"/>
      <c r="B10277" s="23"/>
      <c r="C10277" s="23"/>
      <c r="D10277" s="23"/>
      <c r="E10277" s="23"/>
    </row>
    <row r="10278" spans="1:5" x14ac:dyDescent="0.25">
      <c r="A10278" s="22"/>
      <c r="B10278" s="23"/>
      <c r="C10278" s="23"/>
      <c r="D10278" s="23"/>
      <c r="E10278" s="23"/>
    </row>
    <row r="10279" spans="1:5" x14ac:dyDescent="0.25">
      <c r="A10279" s="22"/>
      <c r="B10279" s="23"/>
      <c r="C10279" s="23"/>
      <c r="D10279" s="23"/>
      <c r="E10279" s="23"/>
    </row>
    <row r="10280" spans="1:5" x14ac:dyDescent="0.25">
      <c r="A10280" s="22"/>
      <c r="B10280" s="23"/>
      <c r="C10280" s="23"/>
      <c r="D10280" s="23"/>
      <c r="E10280" s="23"/>
    </row>
    <row r="10281" spans="1:5" x14ac:dyDescent="0.25">
      <c r="A10281" s="22"/>
      <c r="B10281" s="23"/>
      <c r="C10281" s="23"/>
      <c r="D10281" s="23"/>
      <c r="E10281" s="23"/>
    </row>
    <row r="10282" spans="1:5" x14ac:dyDescent="0.25">
      <c r="A10282" s="22"/>
      <c r="B10282" s="23"/>
      <c r="C10282" s="23"/>
      <c r="D10282" s="23"/>
      <c r="E10282" s="23"/>
    </row>
    <row r="10283" spans="1:5" x14ac:dyDescent="0.25">
      <c r="A10283" s="22"/>
      <c r="B10283" s="23"/>
      <c r="C10283" s="23"/>
      <c r="D10283" s="23"/>
      <c r="E10283" s="23"/>
    </row>
    <row r="10284" spans="1:5" x14ac:dyDescent="0.25">
      <c r="A10284" s="22"/>
      <c r="B10284" s="23"/>
      <c r="C10284" s="23"/>
      <c r="D10284" s="23"/>
      <c r="E10284" s="23"/>
    </row>
    <row r="10285" spans="1:5" x14ac:dyDescent="0.25">
      <c r="A10285" s="22"/>
      <c r="B10285" s="23"/>
      <c r="C10285" s="23"/>
      <c r="D10285" s="23"/>
      <c r="E10285" s="23"/>
    </row>
    <row r="10286" spans="1:5" x14ac:dyDescent="0.25">
      <c r="A10286" s="22"/>
      <c r="B10286" s="23"/>
      <c r="C10286" s="23"/>
      <c r="D10286" s="23"/>
      <c r="E10286" s="23"/>
    </row>
    <row r="10287" spans="1:5" x14ac:dyDescent="0.25">
      <c r="A10287" s="22"/>
      <c r="B10287" s="23"/>
      <c r="C10287" s="23"/>
      <c r="D10287" s="23"/>
      <c r="E10287" s="23"/>
    </row>
    <row r="10288" spans="1:5" x14ac:dyDescent="0.25">
      <c r="A10288" s="22"/>
      <c r="B10288" s="23"/>
      <c r="C10288" s="23"/>
      <c r="D10288" s="23"/>
      <c r="E10288" s="23"/>
    </row>
    <row r="10289" spans="1:5" x14ac:dyDescent="0.25">
      <c r="A10289" s="22"/>
      <c r="B10289" s="23"/>
      <c r="C10289" s="23"/>
      <c r="D10289" s="23"/>
      <c r="E10289" s="23"/>
    </row>
    <row r="10290" spans="1:5" x14ac:dyDescent="0.25">
      <c r="A10290" s="22"/>
      <c r="B10290" s="23"/>
      <c r="C10290" s="23"/>
      <c r="D10290" s="23"/>
      <c r="E10290" s="23"/>
    </row>
    <row r="10291" spans="1:5" x14ac:dyDescent="0.25">
      <c r="A10291" s="22"/>
      <c r="B10291" s="23"/>
      <c r="C10291" s="23"/>
      <c r="D10291" s="23"/>
      <c r="E10291" s="23"/>
    </row>
    <row r="10292" spans="1:5" x14ac:dyDescent="0.25">
      <c r="A10292" s="22"/>
      <c r="B10292" s="23"/>
      <c r="C10292" s="23"/>
      <c r="D10292" s="23"/>
      <c r="E10292" s="23"/>
    </row>
    <row r="10293" spans="1:5" x14ac:dyDescent="0.25">
      <c r="A10293" s="22"/>
      <c r="B10293" s="23"/>
      <c r="C10293" s="23"/>
      <c r="D10293" s="23"/>
      <c r="E10293" s="23"/>
    </row>
    <row r="10294" spans="1:5" x14ac:dyDescent="0.25">
      <c r="A10294" s="22"/>
      <c r="B10294" s="23"/>
      <c r="C10294" s="23"/>
      <c r="D10294" s="23"/>
      <c r="E10294" s="23"/>
    </row>
    <row r="10295" spans="1:5" x14ac:dyDescent="0.25">
      <c r="A10295" s="22"/>
      <c r="B10295" s="23"/>
      <c r="C10295" s="23"/>
      <c r="D10295" s="23"/>
      <c r="E10295" s="23"/>
    </row>
    <row r="10296" spans="1:5" x14ac:dyDescent="0.25">
      <c r="A10296" s="22"/>
      <c r="B10296" s="23"/>
      <c r="C10296" s="23"/>
      <c r="D10296" s="23"/>
      <c r="E10296" s="23"/>
    </row>
    <row r="10297" spans="1:5" x14ac:dyDescent="0.25">
      <c r="A10297" s="22"/>
      <c r="B10297" s="23"/>
      <c r="C10297" s="23"/>
      <c r="D10297" s="23"/>
      <c r="E10297" s="23"/>
    </row>
    <row r="10298" spans="1:5" x14ac:dyDescent="0.25">
      <c r="A10298" s="22"/>
      <c r="B10298" s="23"/>
      <c r="C10298" s="23"/>
      <c r="D10298" s="23"/>
      <c r="E10298" s="23"/>
    </row>
    <row r="10299" spans="1:5" x14ac:dyDescent="0.25">
      <c r="A10299" s="22"/>
      <c r="B10299" s="23"/>
      <c r="C10299" s="23"/>
      <c r="D10299" s="23"/>
      <c r="E10299" s="23"/>
    </row>
    <row r="10300" spans="1:5" x14ac:dyDescent="0.25">
      <c r="A10300" s="22"/>
      <c r="B10300" s="23"/>
      <c r="C10300" s="23"/>
      <c r="D10300" s="23"/>
      <c r="E10300" s="23"/>
    </row>
    <row r="10301" spans="1:5" x14ac:dyDescent="0.25">
      <c r="A10301" s="22"/>
      <c r="B10301" s="23"/>
      <c r="C10301" s="23"/>
      <c r="D10301" s="23"/>
      <c r="E10301" s="23"/>
    </row>
    <row r="10302" spans="1:5" x14ac:dyDescent="0.25">
      <c r="A10302" s="22"/>
      <c r="B10302" s="23"/>
      <c r="C10302" s="23"/>
      <c r="D10302" s="23"/>
      <c r="E10302" s="23"/>
    </row>
    <row r="10303" spans="1:5" x14ac:dyDescent="0.25">
      <c r="A10303" s="22"/>
      <c r="B10303" s="23"/>
      <c r="C10303" s="23"/>
      <c r="D10303" s="23"/>
      <c r="E10303" s="23"/>
    </row>
    <row r="10304" spans="1:5" x14ac:dyDescent="0.25">
      <c r="A10304" s="22"/>
      <c r="B10304" s="23"/>
      <c r="C10304" s="23"/>
      <c r="D10304" s="23"/>
      <c r="E10304" s="23"/>
    </row>
    <row r="10305" spans="1:5" x14ac:dyDescent="0.25">
      <c r="A10305" s="22"/>
      <c r="B10305" s="23"/>
      <c r="C10305" s="23"/>
      <c r="D10305" s="23"/>
      <c r="E10305" s="23"/>
    </row>
    <row r="10306" spans="1:5" x14ac:dyDescent="0.25">
      <c r="A10306" s="22"/>
      <c r="B10306" s="23"/>
      <c r="C10306" s="23"/>
      <c r="D10306" s="23"/>
      <c r="E10306" s="23"/>
    </row>
    <row r="10307" spans="1:5" x14ac:dyDescent="0.25">
      <c r="A10307" s="22"/>
      <c r="B10307" s="23"/>
      <c r="C10307" s="23"/>
      <c r="D10307" s="23"/>
      <c r="E10307" s="23"/>
    </row>
    <row r="10308" spans="1:5" x14ac:dyDescent="0.25">
      <c r="A10308" s="22"/>
      <c r="B10308" s="23"/>
      <c r="C10308" s="23"/>
      <c r="D10308" s="23"/>
      <c r="E10308" s="23"/>
    </row>
    <row r="10309" spans="1:5" x14ac:dyDescent="0.25">
      <c r="A10309" s="22"/>
      <c r="B10309" s="23"/>
      <c r="C10309" s="23"/>
      <c r="D10309" s="23"/>
      <c r="E10309" s="23"/>
    </row>
    <row r="10310" spans="1:5" x14ac:dyDescent="0.25">
      <c r="A10310" s="22"/>
      <c r="B10310" s="23"/>
      <c r="C10310" s="23"/>
      <c r="D10310" s="23"/>
      <c r="E10310" s="23"/>
    </row>
    <row r="10311" spans="1:5" x14ac:dyDescent="0.25">
      <c r="A10311" s="22"/>
      <c r="B10311" s="23"/>
      <c r="C10311" s="23"/>
      <c r="D10311" s="23"/>
      <c r="E10311" s="23"/>
    </row>
    <row r="10312" spans="1:5" x14ac:dyDescent="0.25">
      <c r="A10312" s="22"/>
      <c r="B10312" s="23"/>
      <c r="C10312" s="23"/>
      <c r="D10312" s="23"/>
      <c r="E10312" s="23"/>
    </row>
    <row r="10313" spans="1:5" x14ac:dyDescent="0.25">
      <c r="A10313" s="22"/>
      <c r="B10313" s="23"/>
      <c r="C10313" s="23"/>
      <c r="D10313" s="23"/>
      <c r="E10313" s="23"/>
    </row>
    <row r="10314" spans="1:5" x14ac:dyDescent="0.25">
      <c r="A10314" s="22"/>
      <c r="B10314" s="23"/>
      <c r="C10314" s="23"/>
      <c r="D10314" s="23"/>
      <c r="E10314" s="23"/>
    </row>
    <row r="10315" spans="1:5" x14ac:dyDescent="0.25">
      <c r="A10315" s="22"/>
      <c r="B10315" s="23"/>
      <c r="C10315" s="23"/>
      <c r="D10315" s="23"/>
      <c r="E10315" s="23"/>
    </row>
    <row r="10316" spans="1:5" x14ac:dyDescent="0.25">
      <c r="A10316" s="22"/>
      <c r="B10316" s="23"/>
      <c r="C10316" s="23"/>
      <c r="D10316" s="23"/>
      <c r="E10316" s="23"/>
    </row>
    <row r="10317" spans="1:5" x14ac:dyDescent="0.25">
      <c r="A10317" s="22"/>
      <c r="B10317" s="23"/>
      <c r="C10317" s="23"/>
      <c r="D10317" s="23"/>
      <c r="E10317" s="23"/>
    </row>
    <row r="10318" spans="1:5" x14ac:dyDescent="0.25">
      <c r="A10318" s="22"/>
      <c r="B10318" s="23"/>
      <c r="C10318" s="23"/>
      <c r="D10318" s="23"/>
      <c r="E10318" s="23"/>
    </row>
    <row r="10319" spans="1:5" x14ac:dyDescent="0.25">
      <c r="A10319" s="22"/>
      <c r="B10319" s="23"/>
      <c r="C10319" s="23"/>
      <c r="D10319" s="23"/>
      <c r="E10319" s="23"/>
    </row>
    <row r="10320" spans="1:5" x14ac:dyDescent="0.25">
      <c r="A10320" s="22"/>
      <c r="B10320" s="23"/>
      <c r="C10320" s="23"/>
      <c r="D10320" s="23"/>
      <c r="E10320" s="23"/>
    </row>
    <row r="10321" spans="1:5" x14ac:dyDescent="0.25">
      <c r="A10321" s="22"/>
      <c r="B10321" s="23"/>
      <c r="C10321" s="23"/>
      <c r="D10321" s="23"/>
      <c r="E10321" s="23"/>
    </row>
    <row r="10322" spans="1:5" x14ac:dyDescent="0.25">
      <c r="A10322" s="22"/>
      <c r="B10322" s="23"/>
      <c r="C10322" s="23"/>
      <c r="D10322" s="23"/>
      <c r="E10322" s="23"/>
    </row>
    <row r="10323" spans="1:5" x14ac:dyDescent="0.25">
      <c r="A10323" s="22"/>
      <c r="B10323" s="23"/>
      <c r="C10323" s="23"/>
      <c r="D10323" s="23"/>
      <c r="E10323" s="23"/>
    </row>
    <row r="10324" spans="1:5" x14ac:dyDescent="0.25">
      <c r="A10324" s="22"/>
      <c r="B10324" s="23"/>
      <c r="C10324" s="23"/>
      <c r="D10324" s="23"/>
      <c r="E10324" s="23"/>
    </row>
    <row r="10325" spans="1:5" x14ac:dyDescent="0.25">
      <c r="A10325" s="22"/>
      <c r="B10325" s="23"/>
      <c r="C10325" s="23"/>
      <c r="D10325" s="23"/>
      <c r="E10325" s="23"/>
    </row>
    <row r="10326" spans="1:5" x14ac:dyDescent="0.25">
      <c r="A10326" s="22"/>
      <c r="B10326" s="23"/>
      <c r="C10326" s="23"/>
      <c r="D10326" s="23"/>
      <c r="E10326" s="23"/>
    </row>
    <row r="10327" spans="1:5" x14ac:dyDescent="0.25">
      <c r="A10327" s="22"/>
      <c r="B10327" s="23"/>
      <c r="C10327" s="23"/>
      <c r="D10327" s="23"/>
      <c r="E10327" s="23"/>
    </row>
    <row r="10328" spans="1:5" x14ac:dyDescent="0.25">
      <c r="A10328" s="22"/>
      <c r="B10328" s="23"/>
      <c r="C10328" s="23"/>
      <c r="D10328" s="23"/>
      <c r="E10328" s="23"/>
    </row>
    <row r="10329" spans="1:5" x14ac:dyDescent="0.25">
      <c r="A10329" s="22"/>
      <c r="B10329" s="23"/>
      <c r="C10329" s="23"/>
      <c r="D10329" s="23"/>
      <c r="E10329" s="23"/>
    </row>
    <row r="10330" spans="1:5" x14ac:dyDescent="0.25">
      <c r="A10330" s="22"/>
      <c r="B10330" s="23"/>
      <c r="C10330" s="23"/>
      <c r="D10330" s="23"/>
      <c r="E10330" s="23"/>
    </row>
    <row r="10331" spans="1:5" x14ac:dyDescent="0.25">
      <c r="A10331" s="22"/>
      <c r="B10331" s="23"/>
      <c r="C10331" s="23"/>
      <c r="D10331" s="23"/>
      <c r="E10331" s="23"/>
    </row>
    <row r="10332" spans="1:5" x14ac:dyDescent="0.25">
      <c r="A10332" s="22"/>
      <c r="B10332" s="23"/>
      <c r="C10332" s="23"/>
      <c r="D10332" s="23"/>
      <c r="E10332" s="23"/>
    </row>
    <row r="10333" spans="1:5" x14ac:dyDescent="0.25">
      <c r="A10333" s="22"/>
      <c r="B10333" s="23"/>
      <c r="C10333" s="23"/>
      <c r="D10333" s="23"/>
      <c r="E10333" s="23"/>
    </row>
    <row r="10334" spans="1:5" x14ac:dyDescent="0.25">
      <c r="A10334" s="22"/>
      <c r="B10334" s="23"/>
      <c r="C10334" s="23"/>
      <c r="D10334" s="23"/>
      <c r="E10334" s="23"/>
    </row>
    <row r="10335" spans="1:5" x14ac:dyDescent="0.25">
      <c r="A10335" s="22"/>
      <c r="B10335" s="23"/>
      <c r="C10335" s="23"/>
      <c r="D10335" s="23"/>
      <c r="E10335" s="23"/>
    </row>
    <row r="10336" spans="1:5" x14ac:dyDescent="0.25">
      <c r="A10336" s="22"/>
      <c r="B10336" s="23"/>
      <c r="C10336" s="23"/>
      <c r="D10336" s="23"/>
      <c r="E10336" s="23"/>
    </row>
    <row r="10337" spans="1:5" x14ac:dyDescent="0.25">
      <c r="A10337" s="22"/>
      <c r="B10337" s="23"/>
      <c r="C10337" s="23"/>
      <c r="D10337" s="23"/>
      <c r="E10337" s="23"/>
    </row>
    <row r="10338" spans="1:5" x14ac:dyDescent="0.25">
      <c r="A10338" s="22"/>
      <c r="B10338" s="23"/>
      <c r="C10338" s="23"/>
      <c r="D10338" s="23"/>
      <c r="E10338" s="23"/>
    </row>
    <row r="10339" spans="1:5" x14ac:dyDescent="0.25">
      <c r="A10339" s="22"/>
      <c r="B10339" s="23"/>
      <c r="C10339" s="23"/>
      <c r="D10339" s="23"/>
      <c r="E10339" s="23"/>
    </row>
    <row r="10340" spans="1:5" x14ac:dyDescent="0.25">
      <c r="A10340" s="22"/>
      <c r="B10340" s="23"/>
      <c r="C10340" s="23"/>
      <c r="D10340" s="23"/>
      <c r="E10340" s="23"/>
    </row>
    <row r="10341" spans="1:5" x14ac:dyDescent="0.25">
      <c r="A10341" s="22"/>
      <c r="B10341" s="23"/>
      <c r="C10341" s="23"/>
      <c r="D10341" s="23"/>
      <c r="E10341" s="23"/>
    </row>
    <row r="10342" spans="1:5" x14ac:dyDescent="0.25">
      <c r="A10342" s="22"/>
      <c r="B10342" s="23"/>
      <c r="C10342" s="23"/>
      <c r="D10342" s="23"/>
      <c r="E10342" s="23"/>
    </row>
    <row r="10343" spans="1:5" x14ac:dyDescent="0.25">
      <c r="A10343" s="22"/>
      <c r="B10343" s="23"/>
      <c r="C10343" s="23"/>
      <c r="D10343" s="23"/>
      <c r="E10343" s="23"/>
    </row>
    <row r="10344" spans="1:5" x14ac:dyDescent="0.25">
      <c r="A10344" s="22"/>
      <c r="B10344" s="23"/>
      <c r="C10344" s="23"/>
      <c r="D10344" s="23"/>
      <c r="E10344" s="23"/>
    </row>
    <row r="10345" spans="1:5" x14ac:dyDescent="0.25">
      <c r="A10345" s="22"/>
      <c r="B10345" s="23"/>
      <c r="C10345" s="23"/>
      <c r="D10345" s="23"/>
      <c r="E10345" s="23"/>
    </row>
    <row r="10346" spans="1:5" x14ac:dyDescent="0.25">
      <c r="A10346" s="22"/>
      <c r="B10346" s="23"/>
      <c r="C10346" s="23"/>
      <c r="D10346" s="23"/>
      <c r="E10346" s="23"/>
    </row>
    <row r="10347" spans="1:5" x14ac:dyDescent="0.25">
      <c r="A10347" s="22"/>
      <c r="B10347" s="23"/>
      <c r="C10347" s="23"/>
      <c r="D10347" s="23"/>
      <c r="E10347" s="23"/>
    </row>
    <row r="10348" spans="1:5" x14ac:dyDescent="0.25">
      <c r="A10348" s="22"/>
      <c r="B10348" s="23"/>
      <c r="C10348" s="23"/>
      <c r="D10348" s="23"/>
      <c r="E10348" s="23"/>
    </row>
    <row r="10349" spans="1:5" x14ac:dyDescent="0.25">
      <c r="A10349" s="22"/>
      <c r="B10349" s="23"/>
      <c r="C10349" s="23"/>
      <c r="D10349" s="23"/>
      <c r="E10349" s="23"/>
    </row>
    <row r="10350" spans="1:5" x14ac:dyDescent="0.25">
      <c r="A10350" s="22"/>
      <c r="B10350" s="23"/>
      <c r="C10350" s="23"/>
      <c r="D10350" s="23"/>
      <c r="E10350" s="23"/>
    </row>
    <row r="10351" spans="1:5" x14ac:dyDescent="0.25">
      <c r="A10351" s="22"/>
      <c r="B10351" s="23"/>
      <c r="C10351" s="23"/>
      <c r="D10351" s="23"/>
      <c r="E10351" s="23"/>
    </row>
    <row r="10352" spans="1:5" x14ac:dyDescent="0.25">
      <c r="A10352" s="22"/>
      <c r="B10352" s="23"/>
      <c r="C10352" s="23"/>
      <c r="D10352" s="23"/>
      <c r="E10352" s="23"/>
    </row>
    <row r="10353" spans="1:5" x14ac:dyDescent="0.25">
      <c r="A10353" s="22"/>
      <c r="B10353" s="23"/>
      <c r="C10353" s="23"/>
      <c r="D10353" s="23"/>
      <c r="E10353" s="23"/>
    </row>
    <row r="10354" spans="1:5" x14ac:dyDescent="0.25">
      <c r="A10354" s="22"/>
      <c r="B10354" s="23"/>
      <c r="C10354" s="23"/>
      <c r="D10354" s="23"/>
      <c r="E10354" s="23"/>
    </row>
    <row r="10355" spans="1:5" x14ac:dyDescent="0.25">
      <c r="A10355" s="22"/>
      <c r="B10355" s="23"/>
      <c r="C10355" s="23"/>
      <c r="D10355" s="23"/>
      <c r="E10355" s="23"/>
    </row>
    <row r="10356" spans="1:5" x14ac:dyDescent="0.25">
      <c r="A10356" s="22"/>
      <c r="B10356" s="23"/>
      <c r="C10356" s="23"/>
      <c r="D10356" s="23"/>
      <c r="E10356" s="23"/>
    </row>
    <row r="10357" spans="1:5" x14ac:dyDescent="0.25">
      <c r="A10357" s="22"/>
      <c r="B10357" s="23"/>
      <c r="C10357" s="23"/>
      <c r="D10357" s="23"/>
      <c r="E10357" s="23"/>
    </row>
    <row r="10358" spans="1:5" x14ac:dyDescent="0.25">
      <c r="A10358" s="22"/>
      <c r="B10358" s="23"/>
      <c r="C10358" s="23"/>
      <c r="D10358" s="23"/>
      <c r="E10358" s="23"/>
    </row>
    <row r="10359" spans="1:5" x14ac:dyDescent="0.25">
      <c r="A10359" s="22"/>
      <c r="B10359" s="23"/>
      <c r="C10359" s="23"/>
      <c r="D10359" s="23"/>
      <c r="E10359" s="23"/>
    </row>
    <row r="10360" spans="1:5" x14ac:dyDescent="0.25">
      <c r="A10360" s="22"/>
      <c r="B10360" s="23"/>
      <c r="C10360" s="23"/>
      <c r="D10360" s="23"/>
      <c r="E10360" s="23"/>
    </row>
    <row r="10361" spans="1:5" x14ac:dyDescent="0.25">
      <c r="A10361" s="22"/>
      <c r="B10361" s="23"/>
      <c r="C10361" s="23"/>
      <c r="D10361" s="23"/>
      <c r="E10361" s="23"/>
    </row>
    <row r="10362" spans="1:5" x14ac:dyDescent="0.25">
      <c r="A10362" s="22"/>
      <c r="B10362" s="23"/>
      <c r="C10362" s="23"/>
      <c r="D10362" s="23"/>
      <c r="E10362" s="23"/>
    </row>
    <row r="10363" spans="1:5" x14ac:dyDescent="0.25">
      <c r="A10363" s="22"/>
      <c r="B10363" s="23"/>
      <c r="C10363" s="23"/>
      <c r="D10363" s="23"/>
      <c r="E10363" s="23"/>
    </row>
    <row r="10364" spans="1:5" x14ac:dyDescent="0.25">
      <c r="A10364" s="22"/>
      <c r="B10364" s="23"/>
      <c r="C10364" s="23"/>
      <c r="D10364" s="23"/>
      <c r="E10364" s="23"/>
    </row>
    <row r="10365" spans="1:5" x14ac:dyDescent="0.25">
      <c r="A10365" s="22"/>
      <c r="B10365" s="23"/>
      <c r="C10365" s="23"/>
      <c r="D10365" s="23"/>
      <c r="E10365" s="23"/>
    </row>
    <row r="10366" spans="1:5" x14ac:dyDescent="0.25">
      <c r="A10366" s="22"/>
      <c r="B10366" s="23"/>
      <c r="C10366" s="23"/>
      <c r="D10366" s="23"/>
      <c r="E10366" s="23"/>
    </row>
    <row r="10367" spans="1:5" x14ac:dyDescent="0.25">
      <c r="A10367" s="22"/>
      <c r="B10367" s="23"/>
      <c r="C10367" s="23"/>
      <c r="D10367" s="23"/>
      <c r="E10367" s="23"/>
    </row>
    <row r="10368" spans="1:5" x14ac:dyDescent="0.25">
      <c r="A10368" s="22"/>
      <c r="B10368" s="23"/>
      <c r="C10368" s="23"/>
      <c r="D10368" s="23"/>
      <c r="E10368" s="23"/>
    </row>
    <row r="10369" spans="1:5" x14ac:dyDescent="0.25">
      <c r="A10369" s="22"/>
      <c r="B10369" s="23"/>
      <c r="C10369" s="23"/>
      <c r="D10369" s="23"/>
      <c r="E10369" s="23"/>
    </row>
    <row r="10370" spans="1:5" x14ac:dyDescent="0.25">
      <c r="A10370" s="22"/>
      <c r="B10370" s="23"/>
      <c r="C10370" s="23"/>
      <c r="D10370" s="23"/>
      <c r="E10370" s="23"/>
    </row>
    <row r="10371" spans="1:5" x14ac:dyDescent="0.25">
      <c r="A10371" s="22"/>
      <c r="B10371" s="23"/>
      <c r="C10371" s="23"/>
      <c r="D10371" s="23"/>
      <c r="E10371" s="23"/>
    </row>
    <row r="10372" spans="1:5" x14ac:dyDescent="0.25">
      <c r="A10372" s="22"/>
      <c r="B10372" s="23"/>
      <c r="C10372" s="23"/>
      <c r="D10372" s="23"/>
      <c r="E10372" s="23"/>
    </row>
    <row r="10373" spans="1:5" x14ac:dyDescent="0.25">
      <c r="A10373" s="22"/>
      <c r="B10373" s="23"/>
      <c r="C10373" s="23"/>
      <c r="D10373" s="23"/>
      <c r="E10373" s="23"/>
    </row>
    <row r="10374" spans="1:5" x14ac:dyDescent="0.25">
      <c r="A10374" s="22"/>
      <c r="B10374" s="23"/>
      <c r="C10374" s="23"/>
      <c r="D10374" s="23"/>
      <c r="E10374" s="23"/>
    </row>
    <row r="10375" spans="1:5" x14ac:dyDescent="0.25">
      <c r="A10375" s="22"/>
      <c r="B10375" s="23"/>
      <c r="C10375" s="23"/>
      <c r="D10375" s="23"/>
      <c r="E10375" s="23"/>
    </row>
    <row r="10376" spans="1:5" x14ac:dyDescent="0.25">
      <c r="A10376" s="22"/>
      <c r="B10376" s="23"/>
      <c r="C10376" s="23"/>
      <c r="D10376" s="23"/>
      <c r="E10376" s="23"/>
    </row>
    <row r="10377" spans="1:5" x14ac:dyDescent="0.25">
      <c r="A10377" s="22"/>
      <c r="B10377" s="23"/>
      <c r="C10377" s="23"/>
      <c r="D10377" s="23"/>
      <c r="E10377" s="23"/>
    </row>
    <row r="10378" spans="1:5" x14ac:dyDescent="0.25">
      <c r="A10378" s="22"/>
      <c r="B10378" s="23"/>
      <c r="C10378" s="23"/>
      <c r="D10378" s="23"/>
      <c r="E10378" s="23"/>
    </row>
    <row r="10379" spans="1:5" x14ac:dyDescent="0.25">
      <c r="A10379" s="22"/>
      <c r="B10379" s="23"/>
      <c r="C10379" s="23"/>
      <c r="D10379" s="23"/>
      <c r="E10379" s="23"/>
    </row>
    <row r="10380" spans="1:5" x14ac:dyDescent="0.25">
      <c r="A10380" s="22"/>
      <c r="B10380" s="23"/>
      <c r="C10380" s="23"/>
      <c r="D10380" s="23"/>
      <c r="E10380" s="23"/>
    </row>
    <row r="10381" spans="1:5" x14ac:dyDescent="0.25">
      <c r="A10381" s="22"/>
      <c r="B10381" s="23"/>
      <c r="C10381" s="23"/>
      <c r="D10381" s="23"/>
      <c r="E10381" s="23"/>
    </row>
    <row r="10382" spans="1:5" x14ac:dyDescent="0.25">
      <c r="A10382" s="22"/>
      <c r="B10382" s="23"/>
      <c r="C10382" s="23"/>
      <c r="D10382" s="23"/>
      <c r="E10382" s="23"/>
    </row>
    <row r="10383" spans="1:5" x14ac:dyDescent="0.25">
      <c r="A10383" s="22"/>
      <c r="B10383" s="23"/>
      <c r="C10383" s="23"/>
      <c r="D10383" s="23"/>
      <c r="E10383" s="23"/>
    </row>
    <row r="10384" spans="1:5" x14ac:dyDescent="0.25">
      <c r="A10384" s="22"/>
      <c r="B10384" s="23"/>
      <c r="C10384" s="23"/>
      <c r="D10384" s="23"/>
      <c r="E10384" s="23"/>
    </row>
    <row r="10385" spans="1:5" x14ac:dyDescent="0.25">
      <c r="A10385" s="22"/>
      <c r="B10385" s="23"/>
      <c r="C10385" s="23"/>
      <c r="D10385" s="23"/>
      <c r="E10385" s="23"/>
    </row>
    <row r="10386" spans="1:5" x14ac:dyDescent="0.25">
      <c r="A10386" s="22"/>
      <c r="B10386" s="23"/>
      <c r="C10386" s="23"/>
      <c r="D10386" s="23"/>
      <c r="E10386" s="23"/>
    </row>
    <row r="10387" spans="1:5" x14ac:dyDescent="0.25">
      <c r="A10387" s="22"/>
      <c r="B10387" s="23"/>
      <c r="C10387" s="23"/>
      <c r="D10387" s="23"/>
      <c r="E10387" s="23"/>
    </row>
    <row r="10388" spans="1:5" x14ac:dyDescent="0.25">
      <c r="A10388" s="22"/>
      <c r="B10388" s="23"/>
      <c r="C10388" s="23"/>
      <c r="D10388" s="23"/>
      <c r="E10388" s="23"/>
    </row>
    <row r="10389" spans="1:5" x14ac:dyDescent="0.25">
      <c r="A10389" s="22"/>
      <c r="B10389" s="23"/>
      <c r="C10389" s="23"/>
      <c r="D10389" s="23"/>
      <c r="E10389" s="23"/>
    </row>
    <row r="10390" spans="1:5" x14ac:dyDescent="0.25">
      <c r="A10390" s="22"/>
      <c r="B10390" s="23"/>
      <c r="C10390" s="23"/>
      <c r="D10390" s="23"/>
      <c r="E10390" s="23"/>
    </row>
    <row r="10391" spans="1:5" x14ac:dyDescent="0.25">
      <c r="A10391" s="22"/>
      <c r="B10391" s="23"/>
      <c r="C10391" s="23"/>
      <c r="D10391" s="23"/>
      <c r="E10391" s="23"/>
    </row>
    <row r="10392" spans="1:5" x14ac:dyDescent="0.25">
      <c r="A10392" s="22"/>
      <c r="B10392" s="23"/>
      <c r="C10392" s="23"/>
      <c r="D10392" s="23"/>
      <c r="E10392" s="23"/>
    </row>
    <row r="10393" spans="1:5" x14ac:dyDescent="0.25">
      <c r="A10393" s="22"/>
      <c r="B10393" s="23"/>
      <c r="C10393" s="23"/>
      <c r="D10393" s="23"/>
      <c r="E10393" s="23"/>
    </row>
    <row r="10394" spans="1:5" x14ac:dyDescent="0.25">
      <c r="A10394" s="22"/>
      <c r="B10394" s="23"/>
      <c r="C10394" s="23"/>
      <c r="D10394" s="23"/>
      <c r="E10394" s="23"/>
    </row>
    <row r="10395" spans="1:5" x14ac:dyDescent="0.25">
      <c r="A10395" s="22"/>
      <c r="B10395" s="23"/>
      <c r="C10395" s="23"/>
      <c r="D10395" s="23"/>
      <c r="E10395" s="23"/>
    </row>
    <row r="10396" spans="1:5" x14ac:dyDescent="0.25">
      <c r="A10396" s="22"/>
      <c r="B10396" s="23"/>
      <c r="C10396" s="23"/>
      <c r="D10396" s="23"/>
      <c r="E10396" s="23"/>
    </row>
    <row r="10397" spans="1:5" x14ac:dyDescent="0.25">
      <c r="A10397" s="22"/>
      <c r="B10397" s="23"/>
      <c r="C10397" s="23"/>
      <c r="D10397" s="23"/>
      <c r="E10397" s="23"/>
    </row>
    <row r="10398" spans="1:5" x14ac:dyDescent="0.25">
      <c r="A10398" s="22"/>
      <c r="B10398" s="23"/>
      <c r="C10398" s="23"/>
      <c r="D10398" s="23"/>
      <c r="E10398" s="23"/>
    </row>
    <row r="10399" spans="1:5" x14ac:dyDescent="0.25">
      <c r="A10399" s="22"/>
      <c r="B10399" s="23"/>
      <c r="C10399" s="23"/>
      <c r="D10399" s="23"/>
      <c r="E10399" s="23"/>
    </row>
    <row r="10400" spans="1:5" x14ac:dyDescent="0.25">
      <c r="A10400" s="22"/>
      <c r="B10400" s="23"/>
      <c r="C10400" s="23"/>
      <c r="D10400" s="23"/>
      <c r="E10400" s="23"/>
    </row>
    <row r="10401" spans="1:5" x14ac:dyDescent="0.25">
      <c r="A10401" s="22"/>
      <c r="B10401" s="23"/>
      <c r="C10401" s="23"/>
      <c r="D10401" s="23"/>
      <c r="E10401" s="23"/>
    </row>
    <row r="10402" spans="1:5" x14ac:dyDescent="0.25">
      <c r="A10402" s="22"/>
      <c r="B10402" s="23"/>
      <c r="C10402" s="23"/>
      <c r="D10402" s="23"/>
      <c r="E10402" s="23"/>
    </row>
    <row r="10403" spans="1:5" x14ac:dyDescent="0.25">
      <c r="A10403" s="22"/>
      <c r="B10403" s="23"/>
      <c r="C10403" s="23"/>
      <c r="D10403" s="23"/>
      <c r="E10403" s="23"/>
    </row>
    <row r="10404" spans="1:5" x14ac:dyDescent="0.25">
      <c r="A10404" s="22"/>
      <c r="B10404" s="23"/>
      <c r="C10404" s="23"/>
      <c r="D10404" s="23"/>
      <c r="E10404" s="23"/>
    </row>
    <row r="10405" spans="1:5" x14ac:dyDescent="0.25">
      <c r="A10405" s="22"/>
      <c r="B10405" s="23"/>
      <c r="C10405" s="23"/>
      <c r="D10405" s="23"/>
      <c r="E10405" s="23"/>
    </row>
    <row r="10406" spans="1:5" x14ac:dyDescent="0.25">
      <c r="A10406" s="22"/>
      <c r="B10406" s="23"/>
      <c r="C10406" s="23"/>
      <c r="D10406" s="23"/>
      <c r="E10406" s="23"/>
    </row>
    <row r="10407" spans="1:5" x14ac:dyDescent="0.25">
      <c r="A10407" s="22"/>
      <c r="B10407" s="23"/>
      <c r="C10407" s="23"/>
      <c r="D10407" s="23"/>
      <c r="E10407" s="23"/>
    </row>
    <row r="10408" spans="1:5" x14ac:dyDescent="0.25">
      <c r="A10408" s="22"/>
      <c r="B10408" s="23"/>
      <c r="C10408" s="23"/>
      <c r="D10408" s="23"/>
      <c r="E10408" s="23"/>
    </row>
    <row r="10409" spans="1:5" x14ac:dyDescent="0.25">
      <c r="A10409" s="22"/>
      <c r="B10409" s="23"/>
      <c r="C10409" s="23"/>
      <c r="D10409" s="23"/>
      <c r="E10409" s="23"/>
    </row>
    <row r="10410" spans="1:5" x14ac:dyDescent="0.25">
      <c r="A10410" s="22"/>
      <c r="B10410" s="23"/>
      <c r="C10410" s="23"/>
      <c r="D10410" s="23"/>
      <c r="E10410" s="23"/>
    </row>
    <row r="10411" spans="1:5" x14ac:dyDescent="0.25">
      <c r="A10411" s="22"/>
      <c r="B10411" s="23"/>
      <c r="C10411" s="23"/>
      <c r="D10411" s="23"/>
      <c r="E10411" s="23"/>
    </row>
    <row r="10412" spans="1:5" x14ac:dyDescent="0.25">
      <c r="A10412" s="22"/>
      <c r="B10412" s="23"/>
      <c r="C10412" s="23"/>
      <c r="D10412" s="23"/>
      <c r="E10412" s="23"/>
    </row>
    <row r="10413" spans="1:5" x14ac:dyDescent="0.25">
      <c r="A10413" s="22"/>
      <c r="B10413" s="23"/>
      <c r="C10413" s="23"/>
      <c r="D10413" s="23"/>
      <c r="E10413" s="23"/>
    </row>
    <row r="10414" spans="1:5" x14ac:dyDescent="0.25">
      <c r="A10414" s="22"/>
      <c r="B10414" s="23"/>
      <c r="C10414" s="23"/>
      <c r="D10414" s="23"/>
      <c r="E10414" s="23"/>
    </row>
    <row r="10415" spans="1:5" x14ac:dyDescent="0.25">
      <c r="A10415" s="22"/>
      <c r="B10415" s="23"/>
      <c r="C10415" s="23"/>
      <c r="D10415" s="23"/>
      <c r="E10415" s="23"/>
    </row>
    <row r="10416" spans="1:5" x14ac:dyDescent="0.25">
      <c r="A10416" s="22"/>
      <c r="B10416" s="23"/>
      <c r="C10416" s="23"/>
      <c r="D10416" s="23"/>
      <c r="E10416" s="23"/>
    </row>
    <row r="10417" spans="1:5" x14ac:dyDescent="0.25">
      <c r="A10417" s="22"/>
      <c r="B10417" s="23"/>
      <c r="C10417" s="23"/>
      <c r="D10417" s="23"/>
      <c r="E10417" s="23"/>
    </row>
    <row r="10418" spans="1:5" x14ac:dyDescent="0.25">
      <c r="A10418" s="22"/>
      <c r="B10418" s="23"/>
      <c r="C10418" s="23"/>
      <c r="D10418" s="23"/>
      <c r="E10418" s="23"/>
    </row>
    <row r="10419" spans="1:5" x14ac:dyDescent="0.25">
      <c r="A10419" s="22"/>
      <c r="B10419" s="23"/>
      <c r="C10419" s="23"/>
      <c r="D10419" s="23"/>
      <c r="E10419" s="23"/>
    </row>
    <row r="10420" spans="1:5" x14ac:dyDescent="0.25">
      <c r="A10420" s="22"/>
      <c r="B10420" s="23"/>
      <c r="C10420" s="23"/>
      <c r="D10420" s="23"/>
      <c r="E10420" s="23"/>
    </row>
    <row r="10421" spans="1:5" x14ac:dyDescent="0.25">
      <c r="A10421" s="22"/>
      <c r="B10421" s="23"/>
      <c r="C10421" s="23"/>
      <c r="D10421" s="23"/>
      <c r="E10421" s="23"/>
    </row>
    <row r="10422" spans="1:5" x14ac:dyDescent="0.25">
      <c r="A10422" s="22"/>
      <c r="B10422" s="23"/>
      <c r="C10422" s="23"/>
      <c r="D10422" s="23"/>
      <c r="E10422" s="23"/>
    </row>
    <row r="10423" spans="1:5" x14ac:dyDescent="0.25">
      <c r="A10423" s="22"/>
      <c r="B10423" s="23"/>
      <c r="C10423" s="23"/>
      <c r="D10423" s="23"/>
      <c r="E10423" s="23"/>
    </row>
    <row r="10424" spans="1:5" x14ac:dyDescent="0.25">
      <c r="A10424" s="22"/>
      <c r="B10424" s="23"/>
      <c r="C10424" s="23"/>
      <c r="D10424" s="23"/>
      <c r="E10424" s="23"/>
    </row>
    <row r="10425" spans="1:5" x14ac:dyDescent="0.25">
      <c r="A10425" s="22"/>
      <c r="B10425" s="23"/>
      <c r="C10425" s="23"/>
      <c r="D10425" s="23"/>
      <c r="E10425" s="23"/>
    </row>
    <row r="10426" spans="1:5" x14ac:dyDescent="0.25">
      <c r="A10426" s="22"/>
      <c r="B10426" s="23"/>
      <c r="C10426" s="23"/>
      <c r="D10426" s="23"/>
      <c r="E10426" s="23"/>
    </row>
    <row r="10427" spans="1:5" x14ac:dyDescent="0.25">
      <c r="A10427" s="22"/>
      <c r="B10427" s="23"/>
      <c r="C10427" s="23"/>
      <c r="D10427" s="23"/>
      <c r="E10427" s="23"/>
    </row>
    <row r="10428" spans="1:5" x14ac:dyDescent="0.25">
      <c r="A10428" s="22"/>
      <c r="B10428" s="23"/>
      <c r="C10428" s="23"/>
      <c r="D10428" s="23"/>
      <c r="E10428" s="23"/>
    </row>
    <row r="10429" spans="1:5" x14ac:dyDescent="0.25">
      <c r="A10429" s="22"/>
      <c r="B10429" s="23"/>
      <c r="C10429" s="23"/>
      <c r="D10429" s="23"/>
      <c r="E10429" s="23"/>
    </row>
    <row r="10430" spans="1:5" x14ac:dyDescent="0.25">
      <c r="A10430" s="22"/>
      <c r="B10430" s="23"/>
      <c r="C10430" s="23"/>
      <c r="D10430" s="23"/>
      <c r="E10430" s="23"/>
    </row>
    <row r="10431" spans="1:5" x14ac:dyDescent="0.25">
      <c r="A10431" s="22"/>
      <c r="B10431" s="23"/>
      <c r="C10431" s="23"/>
      <c r="D10431" s="23"/>
      <c r="E10431" s="23"/>
    </row>
    <row r="10432" spans="1:5" x14ac:dyDescent="0.25">
      <c r="A10432" s="22"/>
      <c r="B10432" s="23"/>
      <c r="C10432" s="23"/>
      <c r="D10432" s="23"/>
      <c r="E10432" s="23"/>
    </row>
    <row r="10433" spans="1:5" x14ac:dyDescent="0.25">
      <c r="A10433" s="22"/>
      <c r="B10433" s="23"/>
      <c r="C10433" s="23"/>
      <c r="D10433" s="23"/>
      <c r="E10433" s="23"/>
    </row>
    <row r="10434" spans="1:5" x14ac:dyDescent="0.25">
      <c r="A10434" s="22"/>
      <c r="B10434" s="23"/>
      <c r="C10434" s="23"/>
      <c r="D10434" s="23"/>
      <c r="E10434" s="23"/>
    </row>
    <row r="10435" spans="1:5" x14ac:dyDescent="0.25">
      <c r="A10435" s="22"/>
      <c r="B10435" s="23"/>
      <c r="C10435" s="23"/>
      <c r="D10435" s="23"/>
      <c r="E10435" s="23"/>
    </row>
    <row r="10436" spans="1:5" x14ac:dyDescent="0.25">
      <c r="A10436" s="22"/>
      <c r="B10436" s="23"/>
      <c r="C10436" s="23"/>
      <c r="D10436" s="23"/>
      <c r="E10436" s="23"/>
    </row>
    <row r="10437" spans="1:5" x14ac:dyDescent="0.25">
      <c r="A10437" s="22"/>
      <c r="B10437" s="23"/>
      <c r="C10437" s="23"/>
      <c r="D10437" s="23"/>
      <c r="E10437" s="23"/>
    </row>
    <row r="10438" spans="1:5" x14ac:dyDescent="0.25">
      <c r="A10438" s="22"/>
      <c r="B10438" s="23"/>
      <c r="C10438" s="23"/>
      <c r="D10438" s="23"/>
      <c r="E10438" s="23"/>
    </row>
    <row r="10439" spans="1:5" x14ac:dyDescent="0.25">
      <c r="A10439" s="22"/>
      <c r="B10439" s="23"/>
      <c r="C10439" s="23"/>
      <c r="D10439" s="23"/>
      <c r="E10439" s="23"/>
    </row>
    <row r="10440" spans="1:5" x14ac:dyDescent="0.25">
      <c r="A10440" s="22"/>
      <c r="B10440" s="23"/>
      <c r="C10440" s="23"/>
      <c r="D10440" s="23"/>
      <c r="E10440" s="23"/>
    </row>
    <row r="10441" spans="1:5" x14ac:dyDescent="0.25">
      <c r="A10441" s="22"/>
      <c r="B10441" s="23"/>
      <c r="C10441" s="23"/>
      <c r="D10441" s="23"/>
      <c r="E10441" s="23"/>
    </row>
    <row r="10442" spans="1:5" x14ac:dyDescent="0.25">
      <c r="A10442" s="22"/>
      <c r="B10442" s="23"/>
      <c r="C10442" s="23"/>
      <c r="D10442" s="23"/>
      <c r="E10442" s="23"/>
    </row>
    <row r="10443" spans="1:5" x14ac:dyDescent="0.25">
      <c r="A10443" s="22"/>
      <c r="B10443" s="23"/>
      <c r="C10443" s="23"/>
      <c r="D10443" s="23"/>
      <c r="E10443" s="23"/>
    </row>
    <row r="10444" spans="1:5" x14ac:dyDescent="0.25">
      <c r="A10444" s="22"/>
      <c r="B10444" s="23"/>
      <c r="C10444" s="23"/>
      <c r="D10444" s="23"/>
      <c r="E10444" s="23"/>
    </row>
    <row r="10445" spans="1:5" x14ac:dyDescent="0.25">
      <c r="A10445" s="22"/>
      <c r="B10445" s="23"/>
      <c r="C10445" s="23"/>
      <c r="D10445" s="23"/>
      <c r="E10445" s="23"/>
    </row>
    <row r="10446" spans="1:5" x14ac:dyDescent="0.25">
      <c r="A10446" s="22"/>
      <c r="B10446" s="23"/>
      <c r="C10446" s="23"/>
      <c r="D10446" s="23"/>
      <c r="E10446" s="23"/>
    </row>
    <row r="10447" spans="1:5" x14ac:dyDescent="0.25">
      <c r="A10447" s="22"/>
      <c r="B10447" s="23"/>
      <c r="C10447" s="23"/>
      <c r="D10447" s="23"/>
      <c r="E10447" s="23"/>
    </row>
    <row r="10448" spans="1:5" x14ac:dyDescent="0.25">
      <c r="A10448" s="22"/>
      <c r="B10448" s="23"/>
      <c r="C10448" s="23"/>
      <c r="D10448" s="23"/>
      <c r="E10448" s="23"/>
    </row>
    <row r="10449" spans="1:5" x14ac:dyDescent="0.25">
      <c r="A10449" s="22"/>
      <c r="B10449" s="23"/>
      <c r="C10449" s="23"/>
      <c r="D10449" s="23"/>
      <c r="E10449" s="23"/>
    </row>
    <row r="10450" spans="1:5" x14ac:dyDescent="0.25">
      <c r="A10450" s="22"/>
      <c r="B10450" s="23"/>
      <c r="C10450" s="23"/>
      <c r="D10450" s="23"/>
      <c r="E10450" s="23"/>
    </row>
    <row r="10451" spans="1:5" x14ac:dyDescent="0.25">
      <c r="A10451" s="22"/>
      <c r="B10451" s="23"/>
      <c r="C10451" s="23"/>
      <c r="D10451" s="23"/>
      <c r="E10451" s="23"/>
    </row>
    <row r="10452" spans="1:5" x14ac:dyDescent="0.25">
      <c r="A10452" s="22"/>
      <c r="B10452" s="23"/>
      <c r="C10452" s="23"/>
      <c r="D10452" s="23"/>
      <c r="E10452" s="23"/>
    </row>
    <row r="10453" spans="1:5" x14ac:dyDescent="0.25">
      <c r="A10453" s="22"/>
      <c r="B10453" s="23"/>
      <c r="C10453" s="23"/>
      <c r="D10453" s="23"/>
      <c r="E10453" s="23"/>
    </row>
    <row r="10454" spans="1:5" x14ac:dyDescent="0.25">
      <c r="A10454" s="22"/>
      <c r="B10454" s="23"/>
      <c r="C10454" s="23"/>
      <c r="D10454" s="23"/>
      <c r="E10454" s="23"/>
    </row>
    <row r="10455" spans="1:5" x14ac:dyDescent="0.25">
      <c r="A10455" s="22"/>
      <c r="B10455" s="23"/>
      <c r="C10455" s="23"/>
      <c r="D10455" s="23"/>
      <c r="E10455" s="23"/>
    </row>
    <row r="10456" spans="1:5" x14ac:dyDescent="0.25">
      <c r="A10456" s="22"/>
      <c r="B10456" s="23"/>
      <c r="C10456" s="23"/>
      <c r="D10456" s="23"/>
      <c r="E10456" s="23"/>
    </row>
    <row r="10457" spans="1:5" x14ac:dyDescent="0.25">
      <c r="A10457" s="22"/>
      <c r="B10457" s="23"/>
      <c r="C10457" s="23"/>
      <c r="D10457" s="23"/>
      <c r="E10457" s="23"/>
    </row>
    <row r="10458" spans="1:5" x14ac:dyDescent="0.25">
      <c r="A10458" s="22"/>
      <c r="B10458" s="23"/>
      <c r="C10458" s="23"/>
      <c r="D10458" s="23"/>
      <c r="E10458" s="23"/>
    </row>
    <row r="10459" spans="1:5" x14ac:dyDescent="0.25">
      <c r="A10459" s="22"/>
      <c r="B10459" s="23"/>
      <c r="C10459" s="23"/>
      <c r="D10459" s="23"/>
      <c r="E10459" s="23"/>
    </row>
    <row r="10460" spans="1:5" x14ac:dyDescent="0.25">
      <c r="A10460" s="22"/>
      <c r="B10460" s="23"/>
      <c r="C10460" s="23"/>
      <c r="D10460" s="23"/>
      <c r="E10460" s="23"/>
    </row>
    <row r="10461" spans="1:5" x14ac:dyDescent="0.25">
      <c r="A10461" s="22"/>
      <c r="B10461" s="23"/>
      <c r="C10461" s="23"/>
      <c r="D10461" s="23"/>
      <c r="E10461" s="23"/>
    </row>
    <row r="10462" spans="1:5" x14ac:dyDescent="0.25">
      <c r="A10462" s="22"/>
      <c r="B10462" s="23"/>
      <c r="C10462" s="23"/>
      <c r="D10462" s="23"/>
      <c r="E10462" s="23"/>
    </row>
    <row r="10463" spans="1:5" x14ac:dyDescent="0.25">
      <c r="A10463" s="22"/>
      <c r="B10463" s="23"/>
      <c r="C10463" s="23"/>
      <c r="D10463" s="23"/>
      <c r="E10463" s="23"/>
    </row>
    <row r="10464" spans="1:5" x14ac:dyDescent="0.25">
      <c r="A10464" s="22"/>
      <c r="B10464" s="23"/>
      <c r="C10464" s="23"/>
      <c r="D10464" s="23"/>
      <c r="E10464" s="23"/>
    </row>
    <row r="10465" spans="1:5" x14ac:dyDescent="0.25">
      <c r="A10465" s="22"/>
      <c r="B10465" s="23"/>
      <c r="C10465" s="23"/>
      <c r="D10465" s="23"/>
      <c r="E10465" s="23"/>
    </row>
    <row r="10466" spans="1:5" x14ac:dyDescent="0.25">
      <c r="A10466" s="22"/>
      <c r="B10466" s="23"/>
      <c r="C10466" s="23"/>
      <c r="D10466" s="23"/>
      <c r="E10466" s="23"/>
    </row>
    <row r="10467" spans="1:5" x14ac:dyDescent="0.25">
      <c r="A10467" s="22"/>
      <c r="B10467" s="23"/>
      <c r="C10467" s="23"/>
      <c r="D10467" s="23"/>
      <c r="E10467" s="23"/>
    </row>
    <row r="10468" spans="1:5" x14ac:dyDescent="0.25">
      <c r="A10468" s="22"/>
      <c r="B10468" s="23"/>
      <c r="C10468" s="23"/>
      <c r="D10468" s="23"/>
      <c r="E10468" s="23"/>
    </row>
    <row r="10469" spans="1:5" x14ac:dyDescent="0.25">
      <c r="A10469" s="22"/>
      <c r="B10469" s="23"/>
      <c r="C10469" s="23"/>
      <c r="D10469" s="23"/>
      <c r="E10469" s="23"/>
    </row>
    <row r="10470" spans="1:5" x14ac:dyDescent="0.25">
      <c r="A10470" s="22"/>
      <c r="B10470" s="23"/>
      <c r="C10470" s="23"/>
      <c r="D10470" s="23"/>
      <c r="E10470" s="23"/>
    </row>
    <row r="10471" spans="1:5" x14ac:dyDescent="0.25">
      <c r="A10471" s="22"/>
      <c r="B10471" s="23"/>
      <c r="C10471" s="23"/>
      <c r="D10471" s="23"/>
      <c r="E10471" s="23"/>
    </row>
    <row r="10472" spans="1:5" x14ac:dyDescent="0.25">
      <c r="A10472" s="22"/>
      <c r="B10472" s="23"/>
      <c r="C10472" s="23"/>
      <c r="D10472" s="23"/>
      <c r="E10472" s="23"/>
    </row>
    <row r="10473" spans="1:5" x14ac:dyDescent="0.25">
      <c r="A10473" s="22"/>
      <c r="B10473" s="23"/>
      <c r="C10473" s="23"/>
      <c r="D10473" s="23"/>
      <c r="E10473" s="23"/>
    </row>
    <row r="10474" spans="1:5" x14ac:dyDescent="0.25">
      <c r="A10474" s="22"/>
      <c r="B10474" s="23"/>
      <c r="C10474" s="23"/>
      <c r="D10474" s="23"/>
      <c r="E10474" s="23"/>
    </row>
    <row r="10475" spans="1:5" x14ac:dyDescent="0.25">
      <c r="A10475" s="22"/>
      <c r="B10475" s="23"/>
      <c r="C10475" s="23"/>
      <c r="D10475" s="23"/>
      <c r="E10475" s="23"/>
    </row>
    <row r="10476" spans="1:5" x14ac:dyDescent="0.25">
      <c r="A10476" s="22"/>
      <c r="B10476" s="23"/>
      <c r="C10476" s="23"/>
      <c r="D10476" s="23"/>
      <c r="E10476" s="23"/>
    </row>
    <row r="10477" spans="1:5" x14ac:dyDescent="0.25">
      <c r="A10477" s="22"/>
      <c r="B10477" s="23"/>
      <c r="C10477" s="23"/>
      <c r="D10477" s="23"/>
      <c r="E10477" s="23"/>
    </row>
    <row r="10478" spans="1:5" x14ac:dyDescent="0.25">
      <c r="A10478" s="22"/>
      <c r="B10478" s="23"/>
      <c r="C10478" s="23"/>
      <c r="D10478" s="23"/>
      <c r="E10478" s="23"/>
    </row>
    <row r="10479" spans="1:5" x14ac:dyDescent="0.25">
      <c r="A10479" s="22"/>
      <c r="B10479" s="23"/>
      <c r="C10479" s="23"/>
      <c r="D10479" s="23"/>
      <c r="E10479" s="23"/>
    </row>
    <row r="10480" spans="1:5" x14ac:dyDescent="0.25">
      <c r="A10480" s="22"/>
      <c r="B10480" s="23"/>
      <c r="C10480" s="23"/>
      <c r="D10480" s="23"/>
      <c r="E10480" s="23"/>
    </row>
    <row r="10481" spans="1:5" x14ac:dyDescent="0.25">
      <c r="A10481" s="22"/>
      <c r="B10481" s="23"/>
      <c r="C10481" s="23"/>
      <c r="D10481" s="23"/>
      <c r="E10481" s="23"/>
    </row>
    <row r="10482" spans="1:5" x14ac:dyDescent="0.25">
      <c r="A10482" s="22"/>
      <c r="B10482" s="23"/>
      <c r="C10482" s="23"/>
      <c r="D10482" s="23"/>
      <c r="E10482" s="23"/>
    </row>
    <row r="10483" spans="1:5" x14ac:dyDescent="0.25">
      <c r="A10483" s="22"/>
      <c r="B10483" s="23"/>
      <c r="C10483" s="23"/>
      <c r="D10483" s="23"/>
      <c r="E10483" s="23"/>
    </row>
    <row r="10484" spans="1:5" x14ac:dyDescent="0.25">
      <c r="A10484" s="22"/>
      <c r="B10484" s="23"/>
      <c r="C10484" s="23"/>
      <c r="D10484" s="23"/>
      <c r="E10484" s="23"/>
    </row>
    <row r="10485" spans="1:5" x14ac:dyDescent="0.25">
      <c r="A10485" s="22"/>
      <c r="B10485" s="23"/>
      <c r="C10485" s="23"/>
      <c r="D10485" s="23"/>
      <c r="E10485" s="23"/>
    </row>
    <row r="10486" spans="1:5" x14ac:dyDescent="0.25">
      <c r="A10486" s="22"/>
      <c r="B10486" s="23"/>
      <c r="C10486" s="23"/>
      <c r="D10486" s="23"/>
      <c r="E10486" s="23"/>
    </row>
    <row r="10487" spans="1:5" x14ac:dyDescent="0.25">
      <c r="A10487" s="22"/>
      <c r="B10487" s="23"/>
      <c r="C10487" s="23"/>
      <c r="D10487" s="23"/>
      <c r="E10487" s="23"/>
    </row>
    <row r="10488" spans="1:5" x14ac:dyDescent="0.25">
      <c r="A10488" s="22"/>
      <c r="B10488" s="23"/>
      <c r="C10488" s="23"/>
      <c r="D10488" s="23"/>
      <c r="E10488" s="23"/>
    </row>
    <row r="10489" spans="1:5" x14ac:dyDescent="0.25">
      <c r="A10489" s="22"/>
      <c r="B10489" s="23"/>
      <c r="C10489" s="23"/>
      <c r="D10489" s="23"/>
      <c r="E10489" s="23"/>
    </row>
    <row r="10490" spans="1:5" x14ac:dyDescent="0.25">
      <c r="A10490" s="22"/>
      <c r="B10490" s="23"/>
      <c r="C10490" s="23"/>
      <c r="D10490" s="23"/>
      <c r="E10490" s="23"/>
    </row>
    <row r="10491" spans="1:5" x14ac:dyDescent="0.25">
      <c r="A10491" s="22"/>
      <c r="B10491" s="23"/>
      <c r="C10491" s="23"/>
      <c r="D10491" s="23"/>
      <c r="E10491" s="23"/>
    </row>
    <row r="10492" spans="1:5" x14ac:dyDescent="0.25">
      <c r="A10492" s="22"/>
      <c r="B10492" s="23"/>
      <c r="C10492" s="23"/>
      <c r="D10492" s="23"/>
      <c r="E10492" s="23"/>
    </row>
    <row r="10493" spans="1:5" x14ac:dyDescent="0.25">
      <c r="A10493" s="22"/>
      <c r="B10493" s="23"/>
      <c r="C10493" s="23"/>
      <c r="D10493" s="23"/>
      <c r="E10493" s="23"/>
    </row>
    <row r="10494" spans="1:5" x14ac:dyDescent="0.25">
      <c r="A10494" s="22"/>
      <c r="B10494" s="23"/>
      <c r="C10494" s="23"/>
      <c r="D10494" s="23"/>
      <c r="E10494" s="23"/>
    </row>
    <row r="10495" spans="1:5" x14ac:dyDescent="0.25">
      <c r="A10495" s="22"/>
      <c r="B10495" s="23"/>
      <c r="C10495" s="23"/>
      <c r="D10495" s="23"/>
      <c r="E10495" s="23"/>
    </row>
    <row r="10496" spans="1:5" x14ac:dyDescent="0.25">
      <c r="A10496" s="22"/>
      <c r="B10496" s="23"/>
      <c r="C10496" s="23"/>
      <c r="D10496" s="23"/>
      <c r="E10496" s="23"/>
    </row>
    <row r="10497" spans="1:5" x14ac:dyDescent="0.25">
      <c r="A10497" s="22"/>
      <c r="B10497" s="23"/>
      <c r="C10497" s="23"/>
      <c r="D10497" s="23"/>
      <c r="E10497" s="23"/>
    </row>
    <row r="10498" spans="1:5" x14ac:dyDescent="0.25">
      <c r="A10498" s="22"/>
      <c r="B10498" s="23"/>
      <c r="C10498" s="23"/>
      <c r="D10498" s="23"/>
      <c r="E10498" s="23"/>
    </row>
    <row r="10499" spans="1:5" x14ac:dyDescent="0.25">
      <c r="A10499" s="22"/>
      <c r="B10499" s="23"/>
      <c r="C10499" s="23"/>
      <c r="D10499" s="23"/>
      <c r="E10499" s="23"/>
    </row>
    <row r="10500" spans="1:5" x14ac:dyDescent="0.25">
      <c r="A10500" s="22"/>
      <c r="B10500" s="23"/>
      <c r="C10500" s="23"/>
      <c r="D10500" s="23"/>
      <c r="E10500" s="23"/>
    </row>
    <row r="10501" spans="1:5" x14ac:dyDescent="0.25">
      <c r="A10501" s="22"/>
      <c r="B10501" s="23"/>
      <c r="C10501" s="23"/>
      <c r="D10501" s="23"/>
      <c r="E10501" s="23"/>
    </row>
    <row r="10502" spans="1:5" x14ac:dyDescent="0.25">
      <c r="A10502" s="22"/>
      <c r="B10502" s="23"/>
      <c r="C10502" s="23"/>
      <c r="D10502" s="23"/>
      <c r="E10502" s="23"/>
    </row>
    <row r="10503" spans="1:5" x14ac:dyDescent="0.25">
      <c r="A10503" s="22"/>
      <c r="B10503" s="23"/>
      <c r="C10503" s="23"/>
      <c r="D10503" s="23"/>
      <c r="E10503" s="23"/>
    </row>
    <row r="10504" spans="1:5" x14ac:dyDescent="0.25">
      <c r="A10504" s="22"/>
      <c r="B10504" s="23"/>
      <c r="C10504" s="23"/>
      <c r="D10504" s="23"/>
      <c r="E10504" s="23"/>
    </row>
    <row r="10505" spans="1:5" x14ac:dyDescent="0.25">
      <c r="A10505" s="22"/>
      <c r="B10505" s="23"/>
      <c r="C10505" s="23"/>
      <c r="D10505" s="23"/>
      <c r="E10505" s="23"/>
    </row>
    <row r="10506" spans="1:5" x14ac:dyDescent="0.25">
      <c r="A10506" s="22"/>
      <c r="B10506" s="23"/>
      <c r="C10506" s="23"/>
      <c r="D10506" s="23"/>
      <c r="E10506" s="23"/>
    </row>
    <row r="10507" spans="1:5" x14ac:dyDescent="0.25">
      <c r="A10507" s="22"/>
      <c r="B10507" s="23"/>
      <c r="C10507" s="23"/>
      <c r="D10507" s="23"/>
      <c r="E10507" s="23"/>
    </row>
    <row r="10508" spans="1:5" x14ac:dyDescent="0.25">
      <c r="A10508" s="22"/>
      <c r="B10508" s="23"/>
      <c r="C10508" s="23"/>
      <c r="D10508" s="23"/>
      <c r="E10508" s="23"/>
    </row>
    <row r="10509" spans="1:5" x14ac:dyDescent="0.25">
      <c r="A10509" s="22"/>
      <c r="B10509" s="23"/>
      <c r="C10509" s="23"/>
      <c r="D10509" s="23"/>
      <c r="E10509" s="23"/>
    </row>
    <row r="10510" spans="1:5" x14ac:dyDescent="0.25">
      <c r="A10510" s="22"/>
      <c r="B10510" s="23"/>
      <c r="C10510" s="23"/>
      <c r="D10510" s="23"/>
      <c r="E10510" s="23"/>
    </row>
    <row r="10511" spans="1:5" x14ac:dyDescent="0.25">
      <c r="A10511" s="22"/>
      <c r="B10511" s="23"/>
      <c r="C10511" s="23"/>
      <c r="D10511" s="23"/>
      <c r="E10511" s="23"/>
    </row>
    <row r="10512" spans="1:5" x14ac:dyDescent="0.25">
      <c r="A10512" s="22"/>
      <c r="B10512" s="23"/>
      <c r="C10512" s="23"/>
      <c r="D10512" s="23"/>
      <c r="E10512" s="23"/>
    </row>
    <row r="10513" spans="1:5" x14ac:dyDescent="0.25">
      <c r="A10513" s="22"/>
      <c r="B10513" s="23"/>
      <c r="C10513" s="23"/>
      <c r="D10513" s="23"/>
      <c r="E10513" s="23"/>
    </row>
    <row r="10514" spans="1:5" x14ac:dyDescent="0.25">
      <c r="A10514" s="22"/>
      <c r="B10514" s="23"/>
      <c r="C10514" s="23"/>
      <c r="D10514" s="23"/>
      <c r="E10514" s="23"/>
    </row>
    <row r="10515" spans="1:5" x14ac:dyDescent="0.25">
      <c r="A10515" s="22"/>
      <c r="B10515" s="23"/>
      <c r="C10515" s="23"/>
      <c r="D10515" s="23"/>
      <c r="E10515" s="23"/>
    </row>
    <row r="10516" spans="1:5" x14ac:dyDescent="0.25">
      <c r="A10516" s="22"/>
      <c r="B10516" s="23"/>
      <c r="C10516" s="23"/>
      <c r="D10516" s="23"/>
      <c r="E10516" s="23"/>
    </row>
    <row r="10517" spans="1:5" x14ac:dyDescent="0.25">
      <c r="A10517" s="22"/>
      <c r="B10517" s="23"/>
      <c r="C10517" s="23"/>
      <c r="D10517" s="23"/>
      <c r="E10517" s="23"/>
    </row>
    <row r="10518" spans="1:5" x14ac:dyDescent="0.25">
      <c r="A10518" s="22"/>
      <c r="B10518" s="23"/>
      <c r="C10518" s="23"/>
      <c r="D10518" s="23"/>
      <c r="E10518" s="23"/>
    </row>
    <row r="10519" spans="1:5" x14ac:dyDescent="0.25">
      <c r="A10519" s="22"/>
      <c r="B10519" s="23"/>
      <c r="C10519" s="23"/>
      <c r="D10519" s="23"/>
      <c r="E10519" s="23"/>
    </row>
    <row r="10520" spans="1:5" x14ac:dyDescent="0.25">
      <c r="A10520" s="22"/>
      <c r="B10520" s="23"/>
      <c r="C10520" s="23"/>
      <c r="D10520" s="23"/>
      <c r="E10520" s="23"/>
    </row>
    <row r="10521" spans="1:5" x14ac:dyDescent="0.25">
      <c r="A10521" s="22"/>
      <c r="B10521" s="23"/>
      <c r="C10521" s="23"/>
      <c r="D10521" s="23"/>
      <c r="E10521" s="23"/>
    </row>
    <row r="10522" spans="1:5" x14ac:dyDescent="0.25">
      <c r="A10522" s="22"/>
      <c r="B10522" s="23"/>
      <c r="C10522" s="23"/>
      <c r="D10522" s="23"/>
      <c r="E10522" s="23"/>
    </row>
    <row r="10523" spans="1:5" x14ac:dyDescent="0.25">
      <c r="A10523" s="22"/>
      <c r="B10523" s="23"/>
      <c r="C10523" s="23"/>
      <c r="D10523" s="23"/>
      <c r="E10523" s="23"/>
    </row>
    <row r="10524" spans="1:5" x14ac:dyDescent="0.25">
      <c r="A10524" s="22"/>
      <c r="B10524" s="23"/>
      <c r="C10524" s="23"/>
      <c r="D10524" s="23"/>
      <c r="E10524" s="23"/>
    </row>
    <row r="10525" spans="1:5" x14ac:dyDescent="0.25">
      <c r="A10525" s="22"/>
      <c r="B10525" s="23"/>
      <c r="C10525" s="23"/>
      <c r="D10525" s="23"/>
      <c r="E10525" s="23"/>
    </row>
    <row r="10526" spans="1:5" x14ac:dyDescent="0.25">
      <c r="A10526" s="22"/>
      <c r="B10526" s="23"/>
      <c r="C10526" s="23"/>
      <c r="D10526" s="23"/>
      <c r="E10526" s="23"/>
    </row>
    <row r="10527" spans="1:5" x14ac:dyDescent="0.25">
      <c r="A10527" s="22"/>
      <c r="B10527" s="23"/>
      <c r="C10527" s="23"/>
      <c r="D10527" s="23"/>
      <c r="E10527" s="23"/>
    </row>
    <row r="10528" spans="1:5" x14ac:dyDescent="0.25">
      <c r="A10528" s="22"/>
      <c r="B10528" s="23"/>
      <c r="C10528" s="23"/>
      <c r="D10528" s="23"/>
      <c r="E10528" s="23"/>
    </row>
    <row r="10529" spans="1:5" x14ac:dyDescent="0.25">
      <c r="A10529" s="22"/>
      <c r="B10529" s="23"/>
      <c r="C10529" s="23"/>
      <c r="D10529" s="23"/>
      <c r="E10529" s="23"/>
    </row>
    <row r="10530" spans="1:5" x14ac:dyDescent="0.25">
      <c r="A10530" s="22"/>
      <c r="B10530" s="23"/>
      <c r="C10530" s="23"/>
      <c r="D10530" s="23"/>
      <c r="E10530" s="23"/>
    </row>
    <row r="10531" spans="1:5" x14ac:dyDescent="0.25">
      <c r="A10531" s="22"/>
      <c r="B10531" s="23"/>
      <c r="C10531" s="23"/>
      <c r="D10531" s="23"/>
      <c r="E10531" s="23"/>
    </row>
    <row r="10532" spans="1:5" x14ac:dyDescent="0.25">
      <c r="A10532" s="22"/>
      <c r="B10532" s="23"/>
      <c r="C10532" s="23"/>
      <c r="D10532" s="23"/>
      <c r="E10532" s="23"/>
    </row>
    <row r="10533" spans="1:5" x14ac:dyDescent="0.25">
      <c r="A10533" s="22"/>
      <c r="B10533" s="23"/>
      <c r="C10533" s="23"/>
      <c r="D10533" s="23"/>
      <c r="E10533" s="23"/>
    </row>
    <row r="10534" spans="1:5" x14ac:dyDescent="0.25">
      <c r="A10534" s="22"/>
      <c r="B10534" s="23"/>
      <c r="C10534" s="23"/>
      <c r="D10534" s="23"/>
      <c r="E10534" s="23"/>
    </row>
    <row r="10535" spans="1:5" x14ac:dyDescent="0.25">
      <c r="A10535" s="22"/>
      <c r="B10535" s="23"/>
      <c r="C10535" s="23"/>
      <c r="D10535" s="23"/>
      <c r="E10535" s="23"/>
    </row>
    <row r="10536" spans="1:5" x14ac:dyDescent="0.25">
      <c r="A10536" s="22"/>
      <c r="B10536" s="23"/>
      <c r="C10536" s="23"/>
      <c r="D10536" s="23"/>
      <c r="E10536" s="23"/>
    </row>
    <row r="10537" spans="1:5" x14ac:dyDescent="0.25">
      <c r="A10537" s="22"/>
      <c r="B10537" s="23"/>
      <c r="C10537" s="23"/>
      <c r="D10537" s="23"/>
      <c r="E10537" s="23"/>
    </row>
    <row r="10538" spans="1:5" x14ac:dyDescent="0.25">
      <c r="A10538" s="22"/>
      <c r="B10538" s="23"/>
      <c r="C10538" s="23"/>
      <c r="D10538" s="23"/>
      <c r="E10538" s="23"/>
    </row>
    <row r="10539" spans="1:5" x14ac:dyDescent="0.25">
      <c r="A10539" s="22"/>
      <c r="B10539" s="23"/>
      <c r="C10539" s="23"/>
      <c r="D10539" s="23"/>
      <c r="E10539" s="23"/>
    </row>
    <row r="10540" spans="1:5" x14ac:dyDescent="0.25">
      <c r="A10540" s="22"/>
      <c r="B10540" s="23"/>
      <c r="C10540" s="23"/>
      <c r="D10540" s="23"/>
      <c r="E10540" s="23"/>
    </row>
    <row r="10541" spans="1:5" x14ac:dyDescent="0.25">
      <c r="A10541" s="22"/>
      <c r="B10541" s="23"/>
      <c r="C10541" s="23"/>
      <c r="D10541" s="23"/>
      <c r="E10541" s="23"/>
    </row>
    <row r="10542" spans="1:5" x14ac:dyDescent="0.25">
      <c r="A10542" s="22"/>
      <c r="B10542" s="23"/>
      <c r="C10542" s="23"/>
      <c r="D10542" s="23"/>
      <c r="E10542" s="23"/>
    </row>
    <row r="10543" spans="1:5" x14ac:dyDescent="0.25">
      <c r="A10543" s="22"/>
      <c r="B10543" s="23"/>
      <c r="C10543" s="23"/>
      <c r="D10543" s="23"/>
      <c r="E10543" s="23"/>
    </row>
    <row r="10544" spans="1:5" x14ac:dyDescent="0.25">
      <c r="A10544" s="22"/>
      <c r="B10544" s="23"/>
      <c r="C10544" s="23"/>
      <c r="D10544" s="23"/>
      <c r="E10544" s="23"/>
    </row>
    <row r="10545" spans="1:5" x14ac:dyDescent="0.25">
      <c r="A10545" s="22"/>
      <c r="B10545" s="23"/>
      <c r="C10545" s="23"/>
      <c r="D10545" s="23"/>
      <c r="E10545" s="23"/>
    </row>
    <row r="10546" spans="1:5" x14ac:dyDescent="0.25">
      <c r="A10546" s="22"/>
      <c r="B10546" s="23"/>
      <c r="C10546" s="23"/>
      <c r="D10546" s="23"/>
      <c r="E10546" s="23"/>
    </row>
    <row r="10547" spans="1:5" x14ac:dyDescent="0.25">
      <c r="A10547" s="22"/>
      <c r="B10547" s="23"/>
      <c r="C10547" s="23"/>
      <c r="D10547" s="23"/>
      <c r="E10547" s="23"/>
    </row>
    <row r="10548" spans="1:5" x14ac:dyDescent="0.25">
      <c r="A10548" s="22"/>
      <c r="B10548" s="23"/>
      <c r="C10548" s="23"/>
      <c r="D10548" s="23"/>
      <c r="E10548" s="23"/>
    </row>
    <row r="10549" spans="1:5" x14ac:dyDescent="0.25">
      <c r="A10549" s="22"/>
      <c r="B10549" s="23"/>
      <c r="C10549" s="23"/>
      <c r="D10549" s="23"/>
      <c r="E10549" s="23"/>
    </row>
    <row r="10550" spans="1:5" x14ac:dyDescent="0.25">
      <c r="A10550" s="22"/>
      <c r="B10550" s="23"/>
      <c r="C10550" s="23"/>
      <c r="D10550" s="23"/>
      <c r="E10550" s="23"/>
    </row>
    <row r="10551" spans="1:5" x14ac:dyDescent="0.25">
      <c r="A10551" s="22"/>
      <c r="B10551" s="23"/>
      <c r="C10551" s="23"/>
      <c r="D10551" s="23"/>
      <c r="E10551" s="23"/>
    </row>
    <row r="10552" spans="1:5" x14ac:dyDescent="0.25">
      <c r="A10552" s="22"/>
      <c r="B10552" s="23"/>
      <c r="C10552" s="23"/>
      <c r="D10552" s="23"/>
      <c r="E10552" s="23"/>
    </row>
    <row r="10553" spans="1:5" x14ac:dyDescent="0.25">
      <c r="A10553" s="22"/>
      <c r="B10553" s="23"/>
      <c r="C10553" s="23"/>
      <c r="D10553" s="23"/>
      <c r="E10553" s="23"/>
    </row>
    <row r="10554" spans="1:5" x14ac:dyDescent="0.25">
      <c r="A10554" s="22"/>
      <c r="B10554" s="23"/>
      <c r="C10554" s="23"/>
      <c r="D10554" s="23"/>
      <c r="E10554" s="23"/>
    </row>
    <row r="10555" spans="1:5" x14ac:dyDescent="0.25">
      <c r="A10555" s="22"/>
      <c r="B10555" s="23"/>
      <c r="C10555" s="23"/>
      <c r="D10555" s="23"/>
      <c r="E10555" s="23"/>
    </row>
    <row r="10556" spans="1:5" x14ac:dyDescent="0.25">
      <c r="A10556" s="22"/>
      <c r="B10556" s="23"/>
      <c r="C10556" s="23"/>
      <c r="D10556" s="23"/>
      <c r="E10556" s="23"/>
    </row>
    <row r="10557" spans="1:5" x14ac:dyDescent="0.25">
      <c r="A10557" s="22"/>
      <c r="B10557" s="23"/>
      <c r="C10557" s="23"/>
      <c r="D10557" s="23"/>
      <c r="E10557" s="23"/>
    </row>
    <row r="10558" spans="1:5" x14ac:dyDescent="0.25">
      <c r="A10558" s="22"/>
      <c r="B10558" s="23"/>
      <c r="C10558" s="23"/>
      <c r="D10558" s="23"/>
      <c r="E10558" s="23"/>
    </row>
    <row r="10559" spans="1:5" x14ac:dyDescent="0.25">
      <c r="A10559" s="22"/>
      <c r="B10559" s="23"/>
      <c r="C10559" s="23"/>
      <c r="D10559" s="23"/>
      <c r="E10559" s="23"/>
    </row>
    <row r="10560" spans="1:5" x14ac:dyDescent="0.25">
      <c r="A10560" s="22"/>
      <c r="B10560" s="23"/>
      <c r="C10560" s="23"/>
      <c r="D10560" s="23"/>
      <c r="E10560" s="23"/>
    </row>
    <row r="10561" spans="1:5" x14ac:dyDescent="0.25">
      <c r="A10561" s="22"/>
      <c r="B10561" s="23"/>
      <c r="C10561" s="23"/>
      <c r="D10561" s="23"/>
      <c r="E10561" s="23"/>
    </row>
    <row r="10562" spans="1:5" x14ac:dyDescent="0.25">
      <c r="A10562" s="22"/>
      <c r="B10562" s="23"/>
      <c r="C10562" s="23"/>
      <c r="D10562" s="23"/>
      <c r="E10562" s="23"/>
    </row>
    <row r="10563" spans="1:5" x14ac:dyDescent="0.25">
      <c r="A10563" s="22"/>
      <c r="B10563" s="23"/>
      <c r="C10563" s="23"/>
      <c r="D10563" s="23"/>
      <c r="E10563" s="23"/>
    </row>
    <row r="10564" spans="1:5" x14ac:dyDescent="0.25">
      <c r="A10564" s="22"/>
      <c r="B10564" s="23"/>
      <c r="C10564" s="23"/>
      <c r="D10564" s="23"/>
      <c r="E10564" s="23"/>
    </row>
    <row r="10565" spans="1:5" x14ac:dyDescent="0.25">
      <c r="A10565" s="22"/>
      <c r="B10565" s="23"/>
      <c r="C10565" s="23"/>
      <c r="D10565" s="23"/>
      <c r="E10565" s="23"/>
    </row>
    <row r="10566" spans="1:5" x14ac:dyDescent="0.25">
      <c r="A10566" s="22"/>
      <c r="B10566" s="23"/>
      <c r="C10566" s="23"/>
      <c r="D10566" s="23"/>
      <c r="E10566" s="23"/>
    </row>
    <row r="10567" spans="1:5" x14ac:dyDescent="0.25">
      <c r="A10567" s="22"/>
      <c r="B10567" s="23"/>
      <c r="C10567" s="23"/>
      <c r="D10567" s="23"/>
      <c r="E10567" s="23"/>
    </row>
    <row r="10568" spans="1:5" x14ac:dyDescent="0.25">
      <c r="A10568" s="22"/>
      <c r="B10568" s="23"/>
      <c r="C10568" s="23"/>
      <c r="D10568" s="23"/>
      <c r="E10568" s="23"/>
    </row>
    <row r="10569" spans="1:5" x14ac:dyDescent="0.25">
      <c r="A10569" s="22"/>
      <c r="B10569" s="23"/>
      <c r="C10569" s="23"/>
      <c r="D10569" s="23"/>
      <c r="E10569" s="23"/>
    </row>
    <row r="10570" spans="1:5" x14ac:dyDescent="0.25">
      <c r="A10570" s="22"/>
      <c r="B10570" s="23"/>
      <c r="C10570" s="23"/>
      <c r="D10570" s="23"/>
      <c r="E10570" s="23"/>
    </row>
    <row r="10571" spans="1:5" x14ac:dyDescent="0.25">
      <c r="A10571" s="22"/>
      <c r="B10571" s="23"/>
      <c r="C10571" s="23"/>
      <c r="D10571" s="23"/>
      <c r="E10571" s="23"/>
    </row>
    <row r="10572" spans="1:5" x14ac:dyDescent="0.25">
      <c r="A10572" s="22"/>
      <c r="B10572" s="23"/>
      <c r="C10572" s="23"/>
      <c r="D10572" s="23"/>
      <c r="E10572" s="23"/>
    </row>
    <row r="10573" spans="1:5" x14ac:dyDescent="0.25">
      <c r="A10573" s="22"/>
      <c r="B10573" s="23"/>
      <c r="C10573" s="23"/>
      <c r="D10573" s="23"/>
      <c r="E10573" s="23"/>
    </row>
    <row r="10574" spans="1:5" x14ac:dyDescent="0.25">
      <c r="A10574" s="22"/>
      <c r="B10574" s="23"/>
      <c r="C10574" s="23"/>
      <c r="D10574" s="23"/>
      <c r="E10574" s="23"/>
    </row>
    <row r="10575" spans="1:5" x14ac:dyDescent="0.25">
      <c r="A10575" s="22"/>
      <c r="B10575" s="23"/>
      <c r="C10575" s="23"/>
      <c r="D10575" s="23"/>
      <c r="E10575" s="23"/>
    </row>
    <row r="10576" spans="1:5" x14ac:dyDescent="0.25">
      <c r="A10576" s="22"/>
      <c r="B10576" s="23"/>
      <c r="C10576" s="23"/>
      <c r="D10576" s="23"/>
      <c r="E10576" s="23"/>
    </row>
    <row r="10577" spans="1:5" x14ac:dyDescent="0.25">
      <c r="A10577" s="22"/>
      <c r="B10577" s="23"/>
      <c r="C10577" s="23"/>
      <c r="D10577" s="23"/>
      <c r="E10577" s="23"/>
    </row>
    <row r="10578" spans="1:5" x14ac:dyDescent="0.25">
      <c r="A10578" s="22"/>
      <c r="B10578" s="23"/>
      <c r="C10578" s="23"/>
      <c r="D10578" s="23"/>
      <c r="E10578" s="23"/>
    </row>
    <row r="10579" spans="1:5" x14ac:dyDescent="0.25">
      <c r="A10579" s="22"/>
      <c r="B10579" s="23"/>
      <c r="C10579" s="23"/>
      <c r="D10579" s="23"/>
      <c r="E10579" s="23"/>
    </row>
    <row r="10580" spans="1:5" x14ac:dyDescent="0.25">
      <c r="A10580" s="22"/>
      <c r="B10580" s="23"/>
      <c r="C10580" s="23"/>
      <c r="D10580" s="23"/>
      <c r="E10580" s="23"/>
    </row>
    <row r="10581" spans="1:5" x14ac:dyDescent="0.25">
      <c r="A10581" s="22"/>
      <c r="B10581" s="23"/>
      <c r="C10581" s="23"/>
      <c r="D10581" s="23"/>
      <c r="E10581" s="23"/>
    </row>
    <row r="10582" spans="1:5" x14ac:dyDescent="0.25">
      <c r="A10582" s="22"/>
      <c r="B10582" s="23"/>
      <c r="C10582" s="23"/>
      <c r="D10582" s="23"/>
      <c r="E10582" s="23"/>
    </row>
    <row r="10583" spans="1:5" x14ac:dyDescent="0.25">
      <c r="A10583" s="22"/>
      <c r="B10583" s="23"/>
      <c r="C10583" s="23"/>
      <c r="D10583" s="23"/>
      <c r="E10583" s="23"/>
    </row>
    <row r="10584" spans="1:5" x14ac:dyDescent="0.25">
      <c r="A10584" s="22"/>
      <c r="B10584" s="23"/>
      <c r="C10584" s="23"/>
      <c r="D10584" s="23"/>
      <c r="E10584" s="23"/>
    </row>
    <row r="10585" spans="1:5" x14ac:dyDescent="0.25">
      <c r="A10585" s="22"/>
      <c r="B10585" s="23"/>
      <c r="C10585" s="23"/>
      <c r="D10585" s="23"/>
      <c r="E10585" s="23"/>
    </row>
    <row r="10586" spans="1:5" x14ac:dyDescent="0.25">
      <c r="A10586" s="22"/>
      <c r="B10586" s="23"/>
      <c r="C10586" s="23"/>
      <c r="D10586" s="23"/>
      <c r="E10586" s="23"/>
    </row>
    <row r="10587" spans="1:5" x14ac:dyDescent="0.25">
      <c r="A10587" s="22"/>
      <c r="B10587" s="23"/>
      <c r="C10587" s="23"/>
      <c r="D10587" s="23"/>
      <c r="E10587" s="23"/>
    </row>
    <row r="10588" spans="1:5" x14ac:dyDescent="0.25">
      <c r="A10588" s="22"/>
      <c r="B10588" s="23"/>
      <c r="C10588" s="23"/>
      <c r="D10588" s="23"/>
      <c r="E10588" s="23"/>
    </row>
    <row r="10589" spans="1:5" x14ac:dyDescent="0.25">
      <c r="A10589" s="22"/>
      <c r="B10589" s="23"/>
      <c r="C10589" s="23"/>
      <c r="D10589" s="23"/>
      <c r="E10589" s="23"/>
    </row>
    <row r="10590" spans="1:5" x14ac:dyDescent="0.25">
      <c r="A10590" s="22"/>
      <c r="B10590" s="23"/>
      <c r="C10590" s="23"/>
      <c r="D10590" s="23"/>
      <c r="E10590" s="23"/>
    </row>
    <row r="10591" spans="1:5" x14ac:dyDescent="0.25">
      <c r="A10591" s="22"/>
      <c r="B10591" s="23"/>
      <c r="C10591" s="23"/>
      <c r="D10591" s="23"/>
      <c r="E10591" s="23"/>
    </row>
    <row r="10592" spans="1:5" x14ac:dyDescent="0.25">
      <c r="A10592" s="22"/>
      <c r="B10592" s="23"/>
      <c r="C10592" s="23"/>
      <c r="D10592" s="23"/>
      <c r="E10592" s="23"/>
    </row>
    <row r="10593" spans="1:5" x14ac:dyDescent="0.25">
      <c r="A10593" s="22"/>
      <c r="B10593" s="23"/>
      <c r="C10593" s="23"/>
      <c r="D10593" s="23"/>
      <c r="E10593" s="23"/>
    </row>
    <row r="10594" spans="1:5" x14ac:dyDescent="0.25">
      <c r="A10594" s="22"/>
      <c r="B10594" s="23"/>
      <c r="C10594" s="23"/>
      <c r="D10594" s="23"/>
      <c r="E10594" s="23"/>
    </row>
    <row r="10595" spans="1:5" x14ac:dyDescent="0.25">
      <c r="A10595" s="22"/>
      <c r="B10595" s="23"/>
      <c r="C10595" s="23"/>
      <c r="D10595" s="23"/>
      <c r="E10595" s="23"/>
    </row>
    <row r="10596" spans="1:5" x14ac:dyDescent="0.25">
      <c r="A10596" s="22"/>
      <c r="B10596" s="23"/>
      <c r="C10596" s="23"/>
      <c r="D10596" s="23"/>
      <c r="E10596" s="23"/>
    </row>
    <row r="10597" spans="1:5" x14ac:dyDescent="0.25">
      <c r="A10597" s="22"/>
      <c r="B10597" s="23"/>
      <c r="C10597" s="23"/>
      <c r="D10597" s="23"/>
      <c r="E10597" s="23"/>
    </row>
    <row r="10598" spans="1:5" x14ac:dyDescent="0.25">
      <c r="A10598" s="22"/>
      <c r="B10598" s="23"/>
      <c r="C10598" s="23"/>
      <c r="D10598" s="23"/>
      <c r="E10598" s="23"/>
    </row>
    <row r="10599" spans="1:5" x14ac:dyDescent="0.25">
      <c r="A10599" s="22"/>
      <c r="B10599" s="23"/>
      <c r="C10599" s="23"/>
      <c r="D10599" s="23"/>
      <c r="E10599" s="23"/>
    </row>
    <row r="10600" spans="1:5" x14ac:dyDescent="0.25">
      <c r="A10600" s="22"/>
      <c r="B10600" s="23"/>
      <c r="C10600" s="23"/>
      <c r="D10600" s="23"/>
      <c r="E10600" s="23"/>
    </row>
    <row r="10601" spans="1:5" x14ac:dyDescent="0.25">
      <c r="A10601" s="22"/>
      <c r="B10601" s="23"/>
      <c r="C10601" s="23"/>
      <c r="D10601" s="23"/>
      <c r="E10601" s="23"/>
    </row>
    <row r="10602" spans="1:5" x14ac:dyDescent="0.25">
      <c r="A10602" s="22"/>
      <c r="B10602" s="23"/>
      <c r="C10602" s="23"/>
      <c r="D10602" s="23"/>
      <c r="E10602" s="23"/>
    </row>
    <row r="10603" spans="1:5" x14ac:dyDescent="0.25">
      <c r="A10603" s="22"/>
      <c r="B10603" s="23"/>
      <c r="C10603" s="23"/>
      <c r="D10603" s="23"/>
      <c r="E10603" s="23"/>
    </row>
    <row r="10604" spans="1:5" x14ac:dyDescent="0.25">
      <c r="A10604" s="22"/>
      <c r="B10604" s="23"/>
      <c r="C10604" s="23"/>
      <c r="D10604" s="23"/>
      <c r="E10604" s="23"/>
    </row>
    <row r="10605" spans="1:5" x14ac:dyDescent="0.25">
      <c r="A10605" s="22"/>
      <c r="B10605" s="23"/>
      <c r="C10605" s="23"/>
      <c r="D10605" s="23"/>
      <c r="E10605" s="23"/>
    </row>
    <row r="10606" spans="1:5" x14ac:dyDescent="0.25">
      <c r="A10606" s="22"/>
      <c r="B10606" s="23"/>
      <c r="C10606" s="23"/>
      <c r="D10606" s="23"/>
      <c r="E10606" s="23"/>
    </row>
    <row r="10607" spans="1:5" x14ac:dyDescent="0.25">
      <c r="A10607" s="22"/>
      <c r="B10607" s="23"/>
      <c r="C10607" s="23"/>
      <c r="D10607" s="23"/>
      <c r="E10607" s="23"/>
    </row>
    <row r="10608" spans="1:5" x14ac:dyDescent="0.25">
      <c r="A10608" s="22"/>
      <c r="B10608" s="23"/>
      <c r="C10608" s="23"/>
      <c r="D10608" s="23"/>
      <c r="E10608" s="23"/>
    </row>
    <row r="10609" spans="1:5" x14ac:dyDescent="0.25">
      <c r="A10609" s="22"/>
      <c r="B10609" s="23"/>
      <c r="C10609" s="23"/>
      <c r="D10609" s="23"/>
      <c r="E10609" s="23"/>
    </row>
    <row r="10610" spans="1:5" x14ac:dyDescent="0.25">
      <c r="A10610" s="22"/>
      <c r="B10610" s="23"/>
      <c r="C10610" s="23"/>
      <c r="D10610" s="23"/>
      <c r="E10610" s="23"/>
    </row>
    <row r="10611" spans="1:5" x14ac:dyDescent="0.25">
      <c r="A10611" s="22"/>
      <c r="B10611" s="23"/>
      <c r="C10611" s="23"/>
      <c r="D10611" s="23"/>
      <c r="E10611" s="23"/>
    </row>
    <row r="10612" spans="1:5" x14ac:dyDescent="0.25">
      <c r="A10612" s="22"/>
      <c r="B10612" s="23"/>
      <c r="C10612" s="23"/>
      <c r="D10612" s="23"/>
      <c r="E10612" s="23"/>
    </row>
    <row r="10613" spans="1:5" x14ac:dyDescent="0.25">
      <c r="A10613" s="22"/>
      <c r="B10613" s="23"/>
      <c r="C10613" s="23"/>
      <c r="D10613" s="23"/>
      <c r="E10613" s="23"/>
    </row>
    <row r="10614" spans="1:5" x14ac:dyDescent="0.25">
      <c r="A10614" s="22"/>
      <c r="B10614" s="23"/>
      <c r="C10614" s="23"/>
      <c r="D10614" s="23"/>
      <c r="E10614" s="23"/>
    </row>
    <row r="10615" spans="1:5" x14ac:dyDescent="0.25">
      <c r="A10615" s="22"/>
      <c r="B10615" s="23"/>
      <c r="C10615" s="23"/>
      <c r="D10615" s="23"/>
      <c r="E10615" s="23"/>
    </row>
    <row r="10616" spans="1:5" x14ac:dyDescent="0.25">
      <c r="A10616" s="22"/>
      <c r="B10616" s="23"/>
      <c r="C10616" s="23"/>
      <c r="D10616" s="23"/>
      <c r="E10616" s="23"/>
    </row>
    <row r="10617" spans="1:5" x14ac:dyDescent="0.25">
      <c r="A10617" s="22"/>
      <c r="B10617" s="23"/>
      <c r="C10617" s="23"/>
      <c r="D10617" s="23"/>
      <c r="E10617" s="23"/>
    </row>
    <row r="10618" spans="1:5" x14ac:dyDescent="0.25">
      <c r="A10618" s="22"/>
      <c r="B10618" s="23"/>
      <c r="C10618" s="23"/>
      <c r="D10618" s="23"/>
      <c r="E10618" s="23"/>
    </row>
    <row r="10619" spans="1:5" x14ac:dyDescent="0.25">
      <c r="A10619" s="22"/>
      <c r="B10619" s="23"/>
      <c r="C10619" s="23"/>
      <c r="D10619" s="23"/>
      <c r="E10619" s="23"/>
    </row>
    <row r="10620" spans="1:5" x14ac:dyDescent="0.25">
      <c r="A10620" s="22"/>
      <c r="B10620" s="23"/>
      <c r="C10620" s="23"/>
      <c r="D10620" s="23"/>
      <c r="E10620" s="23"/>
    </row>
    <row r="10621" spans="1:5" x14ac:dyDescent="0.25">
      <c r="A10621" s="22"/>
      <c r="B10621" s="23"/>
      <c r="C10621" s="23"/>
      <c r="D10621" s="23"/>
      <c r="E10621" s="23"/>
    </row>
    <row r="10622" spans="1:5" x14ac:dyDescent="0.25">
      <c r="A10622" s="22"/>
      <c r="B10622" s="23"/>
      <c r="C10622" s="23"/>
      <c r="D10622" s="23"/>
      <c r="E10622" s="23"/>
    </row>
    <row r="10623" spans="1:5" x14ac:dyDescent="0.25">
      <c r="A10623" s="22"/>
      <c r="B10623" s="23"/>
      <c r="C10623" s="23"/>
      <c r="D10623" s="23"/>
      <c r="E10623" s="23"/>
    </row>
    <row r="10624" spans="1:5" x14ac:dyDescent="0.25">
      <c r="A10624" s="22"/>
      <c r="B10624" s="23"/>
      <c r="C10624" s="23"/>
      <c r="D10624" s="23"/>
      <c r="E10624" s="23"/>
    </row>
    <row r="10625" spans="1:5" x14ac:dyDescent="0.25">
      <c r="A10625" s="22"/>
      <c r="B10625" s="23"/>
      <c r="C10625" s="23"/>
      <c r="D10625" s="23"/>
      <c r="E10625" s="23"/>
    </row>
    <row r="10626" spans="1:5" x14ac:dyDescent="0.25">
      <c r="A10626" s="22"/>
      <c r="B10626" s="23"/>
      <c r="C10626" s="23"/>
      <c r="D10626" s="23"/>
      <c r="E10626" s="23"/>
    </row>
    <row r="10627" spans="1:5" x14ac:dyDescent="0.25">
      <c r="A10627" s="22"/>
      <c r="B10627" s="23"/>
      <c r="C10627" s="23"/>
      <c r="D10627" s="23"/>
      <c r="E10627" s="23"/>
    </row>
    <row r="10628" spans="1:5" x14ac:dyDescent="0.25">
      <c r="A10628" s="22"/>
      <c r="B10628" s="23"/>
      <c r="C10628" s="23"/>
      <c r="D10628" s="23"/>
      <c r="E10628" s="23"/>
    </row>
    <row r="10629" spans="1:5" x14ac:dyDescent="0.25">
      <c r="A10629" s="22"/>
      <c r="B10629" s="23"/>
      <c r="C10629" s="23"/>
      <c r="D10629" s="23"/>
      <c r="E10629" s="23"/>
    </row>
    <row r="10630" spans="1:5" x14ac:dyDescent="0.25">
      <c r="A10630" s="22"/>
      <c r="B10630" s="23"/>
      <c r="C10630" s="23"/>
      <c r="D10630" s="23"/>
      <c r="E10630" s="23"/>
    </row>
    <row r="10631" spans="1:5" x14ac:dyDescent="0.25">
      <c r="A10631" s="22"/>
      <c r="B10631" s="23"/>
      <c r="C10631" s="23"/>
      <c r="D10631" s="23"/>
      <c r="E10631" s="23"/>
    </row>
    <row r="10632" spans="1:5" x14ac:dyDescent="0.25">
      <c r="A10632" s="22"/>
      <c r="B10632" s="23"/>
      <c r="C10632" s="23"/>
      <c r="D10632" s="23"/>
      <c r="E10632" s="23"/>
    </row>
    <row r="10633" spans="1:5" x14ac:dyDescent="0.25">
      <c r="A10633" s="22"/>
      <c r="B10633" s="23"/>
      <c r="C10633" s="23"/>
      <c r="D10633" s="23"/>
      <c r="E10633" s="23"/>
    </row>
    <row r="10634" spans="1:5" x14ac:dyDescent="0.25">
      <c r="A10634" s="22"/>
      <c r="B10634" s="23"/>
      <c r="C10634" s="23"/>
      <c r="D10634" s="23"/>
      <c r="E10634" s="23"/>
    </row>
    <row r="10635" spans="1:5" x14ac:dyDescent="0.25">
      <c r="A10635" s="22"/>
      <c r="B10635" s="23"/>
      <c r="C10635" s="23"/>
      <c r="D10635" s="23"/>
      <c r="E10635" s="23"/>
    </row>
    <row r="10636" spans="1:5" x14ac:dyDescent="0.25">
      <c r="A10636" s="22"/>
      <c r="B10636" s="23"/>
      <c r="C10636" s="23"/>
      <c r="D10636" s="23"/>
      <c r="E10636" s="23"/>
    </row>
    <row r="10637" spans="1:5" x14ac:dyDescent="0.25">
      <c r="A10637" s="22"/>
      <c r="B10637" s="23"/>
      <c r="C10637" s="23"/>
      <c r="D10637" s="23"/>
      <c r="E10637" s="23"/>
    </row>
    <row r="10638" spans="1:5" x14ac:dyDescent="0.25">
      <c r="A10638" s="22"/>
      <c r="B10638" s="23"/>
      <c r="C10638" s="23"/>
      <c r="D10638" s="23"/>
      <c r="E10638" s="23"/>
    </row>
    <row r="10639" spans="1:5" x14ac:dyDescent="0.25">
      <c r="A10639" s="22"/>
      <c r="B10639" s="23"/>
      <c r="C10639" s="23"/>
      <c r="D10639" s="23"/>
      <c r="E10639" s="23"/>
    </row>
    <row r="10640" spans="1:5" x14ac:dyDescent="0.25">
      <c r="A10640" s="22"/>
      <c r="B10640" s="23"/>
      <c r="C10640" s="23"/>
      <c r="D10640" s="23"/>
      <c r="E10640" s="23"/>
    </row>
    <row r="10641" spans="1:5" x14ac:dyDescent="0.25">
      <c r="A10641" s="22"/>
      <c r="B10641" s="23"/>
      <c r="C10641" s="23"/>
      <c r="D10641" s="23"/>
      <c r="E10641" s="23"/>
    </row>
    <row r="10642" spans="1:5" x14ac:dyDescent="0.25">
      <c r="A10642" s="22"/>
      <c r="B10642" s="23"/>
      <c r="C10642" s="23"/>
      <c r="D10642" s="23"/>
      <c r="E10642" s="23"/>
    </row>
    <row r="10643" spans="1:5" x14ac:dyDescent="0.25">
      <c r="A10643" s="22"/>
      <c r="B10643" s="23"/>
      <c r="C10643" s="23"/>
      <c r="D10643" s="23"/>
      <c r="E10643" s="23"/>
    </row>
    <row r="10644" spans="1:5" x14ac:dyDescent="0.25">
      <c r="A10644" s="22"/>
      <c r="B10644" s="23"/>
      <c r="C10644" s="23"/>
      <c r="D10644" s="23"/>
      <c r="E10644" s="23"/>
    </row>
    <row r="10645" spans="1:5" x14ac:dyDescent="0.25">
      <c r="A10645" s="22"/>
      <c r="B10645" s="23"/>
      <c r="C10645" s="23"/>
      <c r="D10645" s="23"/>
      <c r="E10645" s="23"/>
    </row>
    <row r="10646" spans="1:5" x14ac:dyDescent="0.25">
      <c r="A10646" s="22"/>
      <c r="B10646" s="23"/>
      <c r="C10646" s="23"/>
      <c r="D10646" s="23"/>
      <c r="E10646" s="23"/>
    </row>
    <row r="10647" spans="1:5" x14ac:dyDescent="0.25">
      <c r="A10647" s="22"/>
      <c r="B10647" s="23"/>
      <c r="C10647" s="23"/>
      <c r="D10647" s="23"/>
      <c r="E10647" s="23"/>
    </row>
    <row r="10648" spans="1:5" x14ac:dyDescent="0.25">
      <c r="A10648" s="22"/>
      <c r="B10648" s="23"/>
      <c r="C10648" s="23"/>
      <c r="D10648" s="23"/>
      <c r="E10648" s="23"/>
    </row>
    <row r="10649" spans="1:5" x14ac:dyDescent="0.25">
      <c r="A10649" s="22"/>
      <c r="B10649" s="23"/>
      <c r="C10649" s="23"/>
      <c r="D10649" s="23"/>
      <c r="E10649" s="23"/>
    </row>
    <row r="10650" spans="1:5" x14ac:dyDescent="0.25">
      <c r="A10650" s="22"/>
      <c r="B10650" s="23"/>
      <c r="C10650" s="23"/>
      <c r="D10650" s="23"/>
      <c r="E10650" s="23"/>
    </row>
    <row r="10651" spans="1:5" x14ac:dyDescent="0.25">
      <c r="A10651" s="22"/>
      <c r="B10651" s="23"/>
      <c r="C10651" s="23"/>
      <c r="D10651" s="23"/>
      <c r="E10651" s="23"/>
    </row>
    <row r="10652" spans="1:5" x14ac:dyDescent="0.25">
      <c r="A10652" s="22"/>
      <c r="B10652" s="23"/>
      <c r="C10652" s="23"/>
      <c r="D10652" s="23"/>
      <c r="E10652" s="23"/>
    </row>
    <row r="10653" spans="1:5" x14ac:dyDescent="0.25">
      <c r="A10653" s="22"/>
      <c r="B10653" s="23"/>
      <c r="C10653" s="23"/>
      <c r="D10653" s="23"/>
      <c r="E10653" s="23"/>
    </row>
    <row r="10654" spans="1:5" x14ac:dyDescent="0.25">
      <c r="A10654" s="22"/>
      <c r="B10654" s="23"/>
      <c r="C10654" s="23"/>
      <c r="D10654" s="23"/>
      <c r="E10654" s="23"/>
    </row>
    <row r="10655" spans="1:5" x14ac:dyDescent="0.25">
      <c r="A10655" s="22"/>
      <c r="B10655" s="23"/>
      <c r="C10655" s="23"/>
      <c r="D10655" s="23"/>
      <c r="E10655" s="23"/>
    </row>
    <row r="10656" spans="1:5" x14ac:dyDescent="0.25">
      <c r="A10656" s="22"/>
      <c r="B10656" s="23"/>
      <c r="C10656" s="23"/>
      <c r="D10656" s="23"/>
      <c r="E10656" s="23"/>
    </row>
    <row r="10657" spans="1:5" x14ac:dyDescent="0.25">
      <c r="A10657" s="22"/>
      <c r="B10657" s="23"/>
      <c r="C10657" s="23"/>
      <c r="D10657" s="23"/>
      <c r="E10657" s="23"/>
    </row>
    <row r="10658" spans="1:5" x14ac:dyDescent="0.25">
      <c r="A10658" s="22"/>
      <c r="B10658" s="23"/>
      <c r="C10658" s="23"/>
      <c r="D10658" s="23"/>
      <c r="E10658" s="23"/>
    </row>
    <row r="10659" spans="1:5" x14ac:dyDescent="0.25">
      <c r="A10659" s="22"/>
      <c r="B10659" s="23"/>
      <c r="C10659" s="23"/>
      <c r="D10659" s="23"/>
      <c r="E10659" s="23"/>
    </row>
    <row r="10660" spans="1:5" x14ac:dyDescent="0.25">
      <c r="A10660" s="22"/>
      <c r="B10660" s="23"/>
      <c r="C10660" s="23"/>
      <c r="D10660" s="23"/>
      <c r="E10660" s="23"/>
    </row>
    <row r="10661" spans="1:5" x14ac:dyDescent="0.25">
      <c r="A10661" s="22"/>
      <c r="B10661" s="23"/>
      <c r="C10661" s="23"/>
      <c r="D10661" s="23"/>
      <c r="E10661" s="23"/>
    </row>
    <row r="10662" spans="1:5" x14ac:dyDescent="0.25">
      <c r="A10662" s="22"/>
      <c r="B10662" s="23"/>
      <c r="C10662" s="23"/>
      <c r="D10662" s="23"/>
      <c r="E10662" s="23"/>
    </row>
    <row r="10663" spans="1:5" x14ac:dyDescent="0.25">
      <c r="A10663" s="22"/>
      <c r="B10663" s="23"/>
      <c r="C10663" s="23"/>
      <c r="D10663" s="23"/>
      <c r="E10663" s="23"/>
    </row>
    <row r="10664" spans="1:5" x14ac:dyDescent="0.25">
      <c r="A10664" s="22"/>
      <c r="B10664" s="23"/>
      <c r="C10664" s="23"/>
      <c r="D10664" s="23"/>
      <c r="E10664" s="23"/>
    </row>
    <row r="10665" spans="1:5" x14ac:dyDescent="0.25">
      <c r="A10665" s="22"/>
      <c r="B10665" s="23"/>
      <c r="C10665" s="23"/>
      <c r="D10665" s="23"/>
      <c r="E10665" s="23"/>
    </row>
    <row r="10666" spans="1:5" x14ac:dyDescent="0.25">
      <c r="A10666" s="22"/>
      <c r="B10666" s="23"/>
      <c r="C10666" s="23"/>
      <c r="D10666" s="23"/>
      <c r="E10666" s="23"/>
    </row>
    <row r="10667" spans="1:5" x14ac:dyDescent="0.25">
      <c r="A10667" s="22"/>
      <c r="B10667" s="23"/>
      <c r="C10667" s="23"/>
      <c r="D10667" s="23"/>
      <c r="E10667" s="23"/>
    </row>
    <row r="10668" spans="1:5" x14ac:dyDescent="0.25">
      <c r="A10668" s="22"/>
      <c r="B10668" s="23"/>
      <c r="C10668" s="23"/>
      <c r="D10668" s="23"/>
      <c r="E10668" s="23"/>
    </row>
    <row r="10669" spans="1:5" x14ac:dyDescent="0.25">
      <c r="A10669" s="22"/>
      <c r="B10669" s="23"/>
      <c r="C10669" s="23"/>
      <c r="D10669" s="23"/>
      <c r="E10669" s="23"/>
    </row>
    <row r="10670" spans="1:5" x14ac:dyDescent="0.25">
      <c r="A10670" s="22"/>
      <c r="B10670" s="23"/>
      <c r="C10670" s="23"/>
      <c r="D10670" s="23"/>
      <c r="E10670" s="23"/>
    </row>
    <row r="10671" spans="1:5" x14ac:dyDescent="0.25">
      <c r="A10671" s="22"/>
      <c r="B10671" s="23"/>
      <c r="C10671" s="23"/>
      <c r="D10671" s="23"/>
      <c r="E10671" s="23"/>
    </row>
    <row r="10672" spans="1:5" x14ac:dyDescent="0.25">
      <c r="A10672" s="22"/>
      <c r="B10672" s="23"/>
      <c r="C10672" s="23"/>
      <c r="D10672" s="23"/>
      <c r="E10672" s="23"/>
    </row>
    <row r="10673" spans="1:5" x14ac:dyDescent="0.25">
      <c r="A10673" s="22"/>
      <c r="B10673" s="23"/>
      <c r="C10673" s="23"/>
      <c r="D10673" s="23"/>
      <c r="E10673" s="23"/>
    </row>
    <row r="10674" spans="1:5" x14ac:dyDescent="0.25">
      <c r="A10674" s="22"/>
      <c r="B10674" s="23"/>
      <c r="C10674" s="23"/>
      <c r="D10674" s="23"/>
      <c r="E10674" s="23"/>
    </row>
    <row r="10675" spans="1:5" x14ac:dyDescent="0.25">
      <c r="A10675" s="22"/>
      <c r="B10675" s="23"/>
      <c r="C10675" s="23"/>
      <c r="D10675" s="23"/>
      <c r="E10675" s="23"/>
    </row>
    <row r="10676" spans="1:5" x14ac:dyDescent="0.25">
      <c r="A10676" s="22"/>
      <c r="B10676" s="23"/>
      <c r="C10676" s="23"/>
      <c r="D10676" s="23"/>
      <c r="E10676" s="23"/>
    </row>
    <row r="10677" spans="1:5" x14ac:dyDescent="0.25">
      <c r="A10677" s="22"/>
      <c r="B10677" s="23"/>
      <c r="C10677" s="23"/>
      <c r="D10677" s="23"/>
      <c r="E10677" s="23"/>
    </row>
    <row r="10678" spans="1:5" x14ac:dyDescent="0.25">
      <c r="A10678" s="22"/>
      <c r="B10678" s="23"/>
      <c r="C10678" s="23"/>
      <c r="D10678" s="23"/>
      <c r="E10678" s="23"/>
    </row>
    <row r="10679" spans="1:5" x14ac:dyDescent="0.25">
      <c r="A10679" s="22"/>
      <c r="B10679" s="23"/>
      <c r="C10679" s="23"/>
      <c r="D10679" s="23"/>
      <c r="E10679" s="23"/>
    </row>
    <row r="10680" spans="1:5" x14ac:dyDescent="0.25">
      <c r="A10680" s="22"/>
      <c r="B10680" s="23"/>
      <c r="C10680" s="23"/>
      <c r="D10680" s="23"/>
      <c r="E10680" s="23"/>
    </row>
    <row r="10681" spans="1:5" x14ac:dyDescent="0.25">
      <c r="A10681" s="22"/>
      <c r="B10681" s="23"/>
      <c r="C10681" s="23"/>
      <c r="D10681" s="23"/>
      <c r="E10681" s="23"/>
    </row>
    <row r="10682" spans="1:5" x14ac:dyDescent="0.25">
      <c r="A10682" s="22"/>
      <c r="B10682" s="23"/>
      <c r="C10682" s="23"/>
      <c r="D10682" s="23"/>
      <c r="E10682" s="23"/>
    </row>
    <row r="10683" spans="1:5" x14ac:dyDescent="0.25">
      <c r="A10683" s="22"/>
      <c r="B10683" s="23"/>
      <c r="C10683" s="23"/>
      <c r="D10683" s="23"/>
      <c r="E10683" s="23"/>
    </row>
    <row r="10684" spans="1:5" x14ac:dyDescent="0.25">
      <c r="A10684" s="22"/>
      <c r="B10684" s="23"/>
      <c r="C10684" s="23"/>
      <c r="D10684" s="23"/>
      <c r="E10684" s="23"/>
    </row>
    <row r="10685" spans="1:5" x14ac:dyDescent="0.25">
      <c r="A10685" s="22"/>
      <c r="B10685" s="23"/>
      <c r="C10685" s="23"/>
      <c r="D10685" s="23"/>
      <c r="E10685" s="23"/>
    </row>
    <row r="10686" spans="1:5" x14ac:dyDescent="0.25">
      <c r="A10686" s="22"/>
      <c r="B10686" s="23"/>
      <c r="C10686" s="23"/>
      <c r="D10686" s="23"/>
      <c r="E10686" s="23"/>
    </row>
    <row r="10687" spans="1:5" x14ac:dyDescent="0.25">
      <c r="A10687" s="22"/>
      <c r="B10687" s="23"/>
      <c r="C10687" s="23"/>
      <c r="D10687" s="23"/>
      <c r="E10687" s="23"/>
    </row>
    <row r="10688" spans="1:5" x14ac:dyDescent="0.25">
      <c r="A10688" s="22"/>
      <c r="B10688" s="23"/>
      <c r="C10688" s="23"/>
      <c r="D10688" s="23"/>
      <c r="E10688" s="23"/>
    </row>
    <row r="10689" spans="1:5" x14ac:dyDescent="0.25">
      <c r="A10689" s="22"/>
      <c r="B10689" s="23"/>
      <c r="C10689" s="23"/>
      <c r="D10689" s="23"/>
      <c r="E10689" s="23"/>
    </row>
    <row r="10690" spans="1:5" x14ac:dyDescent="0.25">
      <c r="A10690" s="22"/>
      <c r="B10690" s="23"/>
      <c r="C10690" s="23"/>
      <c r="D10690" s="23"/>
      <c r="E10690" s="23"/>
    </row>
    <row r="10691" spans="1:5" x14ac:dyDescent="0.25">
      <c r="A10691" s="22"/>
      <c r="B10691" s="23"/>
      <c r="C10691" s="23"/>
      <c r="D10691" s="23"/>
      <c r="E10691" s="23"/>
    </row>
    <row r="10692" spans="1:5" x14ac:dyDescent="0.25">
      <c r="A10692" s="22"/>
      <c r="B10692" s="23"/>
      <c r="C10692" s="23"/>
      <c r="D10692" s="23"/>
      <c r="E10692" s="23"/>
    </row>
    <row r="10693" spans="1:5" x14ac:dyDescent="0.25">
      <c r="A10693" s="22"/>
      <c r="B10693" s="23"/>
      <c r="C10693" s="23"/>
      <c r="D10693" s="23"/>
      <c r="E10693" s="23"/>
    </row>
    <row r="10694" spans="1:5" x14ac:dyDescent="0.25">
      <c r="A10694" s="22"/>
      <c r="B10694" s="23"/>
      <c r="C10694" s="23"/>
      <c r="D10694" s="23"/>
      <c r="E10694" s="23"/>
    </row>
    <row r="10695" spans="1:5" x14ac:dyDescent="0.25">
      <c r="A10695" s="22"/>
      <c r="B10695" s="23"/>
      <c r="C10695" s="23"/>
      <c r="D10695" s="23"/>
      <c r="E10695" s="23"/>
    </row>
    <row r="10696" spans="1:5" x14ac:dyDescent="0.25">
      <c r="A10696" s="22"/>
      <c r="B10696" s="23"/>
      <c r="C10696" s="23"/>
      <c r="D10696" s="23"/>
      <c r="E10696" s="23"/>
    </row>
    <row r="10697" spans="1:5" x14ac:dyDescent="0.25">
      <c r="A10697" s="22"/>
      <c r="B10697" s="23"/>
      <c r="C10697" s="23"/>
      <c r="D10697" s="23"/>
      <c r="E10697" s="23"/>
    </row>
    <row r="10698" spans="1:5" x14ac:dyDescent="0.25">
      <c r="A10698" s="22"/>
      <c r="B10698" s="23"/>
      <c r="C10698" s="23"/>
      <c r="D10698" s="23"/>
      <c r="E10698" s="23"/>
    </row>
    <row r="10699" spans="1:5" x14ac:dyDescent="0.25">
      <c r="A10699" s="22"/>
      <c r="B10699" s="23"/>
      <c r="C10699" s="23"/>
      <c r="D10699" s="23"/>
      <c r="E10699" s="23"/>
    </row>
    <row r="10700" spans="1:5" x14ac:dyDescent="0.25">
      <c r="A10700" s="22"/>
      <c r="B10700" s="23"/>
      <c r="C10700" s="23"/>
      <c r="D10700" s="23"/>
      <c r="E10700" s="23"/>
    </row>
    <row r="10701" spans="1:5" x14ac:dyDescent="0.25">
      <c r="A10701" s="22"/>
      <c r="B10701" s="23"/>
      <c r="C10701" s="23"/>
      <c r="D10701" s="23"/>
      <c r="E10701" s="23"/>
    </row>
    <row r="10702" spans="1:5" x14ac:dyDescent="0.25">
      <c r="A10702" s="22"/>
      <c r="B10702" s="23"/>
      <c r="C10702" s="23"/>
      <c r="D10702" s="23"/>
      <c r="E10702" s="23"/>
    </row>
    <row r="10703" spans="1:5" x14ac:dyDescent="0.25">
      <c r="A10703" s="22"/>
      <c r="B10703" s="23"/>
      <c r="C10703" s="23"/>
      <c r="D10703" s="23"/>
      <c r="E10703" s="23"/>
    </row>
    <row r="10704" spans="1:5" x14ac:dyDescent="0.25">
      <c r="A10704" s="22"/>
      <c r="B10704" s="23"/>
      <c r="C10704" s="23"/>
      <c r="D10704" s="23"/>
      <c r="E10704" s="23"/>
    </row>
    <row r="10705" spans="1:5" x14ac:dyDescent="0.25">
      <c r="A10705" s="22"/>
      <c r="B10705" s="23"/>
      <c r="C10705" s="23"/>
      <c r="D10705" s="23"/>
      <c r="E10705" s="23"/>
    </row>
    <row r="10706" spans="1:5" x14ac:dyDescent="0.25">
      <c r="A10706" s="22"/>
      <c r="B10706" s="23"/>
      <c r="C10706" s="23"/>
      <c r="D10706" s="23"/>
      <c r="E10706" s="23"/>
    </row>
    <row r="10707" spans="1:5" x14ac:dyDescent="0.25">
      <c r="A10707" s="22"/>
      <c r="B10707" s="23"/>
      <c r="C10707" s="23"/>
      <c r="D10707" s="23"/>
      <c r="E10707" s="23"/>
    </row>
    <row r="10708" spans="1:5" x14ac:dyDescent="0.25">
      <c r="A10708" s="22"/>
      <c r="B10708" s="23"/>
      <c r="C10708" s="23"/>
      <c r="D10708" s="23"/>
      <c r="E10708" s="23"/>
    </row>
    <row r="10709" spans="1:5" x14ac:dyDescent="0.25">
      <c r="A10709" s="22"/>
      <c r="B10709" s="23"/>
      <c r="C10709" s="23"/>
      <c r="D10709" s="23"/>
      <c r="E10709" s="23"/>
    </row>
    <row r="10710" spans="1:5" x14ac:dyDescent="0.25">
      <c r="A10710" s="22"/>
      <c r="B10710" s="23"/>
      <c r="C10710" s="23"/>
      <c r="D10710" s="23"/>
      <c r="E10710" s="23"/>
    </row>
    <row r="10711" spans="1:5" x14ac:dyDescent="0.25">
      <c r="A10711" s="22"/>
      <c r="B10711" s="23"/>
      <c r="C10711" s="23"/>
      <c r="D10711" s="23"/>
      <c r="E10711" s="23"/>
    </row>
    <row r="10712" spans="1:5" x14ac:dyDescent="0.25">
      <c r="A10712" s="22"/>
      <c r="B10712" s="23"/>
      <c r="C10712" s="23"/>
      <c r="D10712" s="23"/>
      <c r="E10712" s="23"/>
    </row>
    <row r="10713" spans="1:5" x14ac:dyDescent="0.25">
      <c r="A10713" s="22"/>
      <c r="B10713" s="23"/>
      <c r="C10713" s="23"/>
      <c r="D10713" s="23"/>
      <c r="E10713" s="23"/>
    </row>
    <row r="10714" spans="1:5" x14ac:dyDescent="0.25">
      <c r="A10714" s="22"/>
      <c r="B10714" s="23"/>
      <c r="C10714" s="23"/>
      <c r="D10714" s="23"/>
      <c r="E10714" s="23"/>
    </row>
    <row r="10715" spans="1:5" x14ac:dyDescent="0.25">
      <c r="A10715" s="22"/>
      <c r="B10715" s="23"/>
      <c r="C10715" s="23"/>
      <c r="D10715" s="23"/>
      <c r="E10715" s="23"/>
    </row>
    <row r="10716" spans="1:5" x14ac:dyDescent="0.25">
      <c r="A10716" s="22"/>
      <c r="B10716" s="23"/>
      <c r="C10716" s="23"/>
      <c r="D10716" s="23"/>
      <c r="E10716" s="23"/>
    </row>
    <row r="10717" spans="1:5" x14ac:dyDescent="0.25">
      <c r="A10717" s="22"/>
      <c r="B10717" s="23"/>
      <c r="C10717" s="23"/>
      <c r="D10717" s="23"/>
      <c r="E10717" s="23"/>
    </row>
    <row r="10718" spans="1:5" x14ac:dyDescent="0.25">
      <c r="A10718" s="22"/>
      <c r="B10718" s="23"/>
      <c r="C10718" s="23"/>
      <c r="D10718" s="23"/>
      <c r="E10718" s="23"/>
    </row>
    <row r="10719" spans="1:5" x14ac:dyDescent="0.25">
      <c r="A10719" s="22"/>
      <c r="B10719" s="23"/>
      <c r="C10719" s="23"/>
      <c r="D10719" s="23"/>
      <c r="E10719" s="23"/>
    </row>
    <row r="10720" spans="1:5" x14ac:dyDescent="0.25">
      <c r="A10720" s="22"/>
      <c r="B10720" s="23"/>
      <c r="C10720" s="23"/>
      <c r="D10720" s="23"/>
      <c r="E10720" s="23"/>
    </row>
    <row r="10721" spans="1:5" x14ac:dyDescent="0.25">
      <c r="A10721" s="22"/>
      <c r="B10721" s="23"/>
      <c r="C10721" s="23"/>
      <c r="D10721" s="23"/>
      <c r="E10721" s="23"/>
    </row>
    <row r="10722" spans="1:5" x14ac:dyDescent="0.25">
      <c r="A10722" s="22"/>
      <c r="B10722" s="23"/>
      <c r="C10722" s="23"/>
      <c r="D10722" s="23"/>
      <c r="E10722" s="23"/>
    </row>
    <row r="10723" spans="1:5" x14ac:dyDescent="0.25">
      <c r="A10723" s="22"/>
      <c r="B10723" s="23"/>
      <c r="C10723" s="23"/>
      <c r="D10723" s="23"/>
      <c r="E10723" s="23"/>
    </row>
    <row r="10724" spans="1:5" x14ac:dyDescent="0.25">
      <c r="A10724" s="22"/>
      <c r="B10724" s="23"/>
      <c r="C10724" s="23"/>
      <c r="D10724" s="23"/>
      <c r="E10724" s="23"/>
    </row>
    <row r="10725" spans="1:5" x14ac:dyDescent="0.25">
      <c r="A10725" s="22"/>
      <c r="B10725" s="23"/>
      <c r="C10725" s="23"/>
      <c r="D10725" s="23"/>
      <c r="E10725" s="23"/>
    </row>
    <row r="10726" spans="1:5" x14ac:dyDescent="0.25">
      <c r="A10726" s="22"/>
      <c r="B10726" s="23"/>
      <c r="C10726" s="23"/>
      <c r="D10726" s="23"/>
      <c r="E10726" s="23"/>
    </row>
    <row r="10727" spans="1:5" x14ac:dyDescent="0.25">
      <c r="A10727" s="22"/>
      <c r="B10727" s="23"/>
      <c r="C10727" s="23"/>
      <c r="D10727" s="23"/>
      <c r="E10727" s="23"/>
    </row>
    <row r="10728" spans="1:5" x14ac:dyDescent="0.25">
      <c r="A10728" s="22"/>
      <c r="B10728" s="23"/>
      <c r="C10728" s="23"/>
      <c r="D10728" s="23"/>
      <c r="E10728" s="23"/>
    </row>
    <row r="10729" spans="1:5" x14ac:dyDescent="0.25">
      <c r="A10729" s="22"/>
      <c r="B10729" s="23"/>
      <c r="C10729" s="23"/>
      <c r="D10729" s="23"/>
      <c r="E10729" s="23"/>
    </row>
    <row r="10730" spans="1:5" x14ac:dyDescent="0.25">
      <c r="A10730" s="22"/>
      <c r="B10730" s="23"/>
      <c r="C10730" s="23"/>
      <c r="D10730" s="23"/>
      <c r="E10730" s="23"/>
    </row>
    <row r="10731" spans="1:5" x14ac:dyDescent="0.25">
      <c r="A10731" s="22"/>
      <c r="B10731" s="23"/>
      <c r="C10731" s="23"/>
      <c r="D10731" s="23"/>
      <c r="E10731" s="23"/>
    </row>
    <row r="10732" spans="1:5" x14ac:dyDescent="0.25">
      <c r="A10732" s="22"/>
      <c r="B10732" s="23"/>
      <c r="C10732" s="23"/>
      <c r="D10732" s="23"/>
      <c r="E10732" s="23"/>
    </row>
    <row r="10733" spans="1:5" x14ac:dyDescent="0.25">
      <c r="A10733" s="22"/>
      <c r="B10733" s="23"/>
      <c r="C10733" s="23"/>
      <c r="D10733" s="23"/>
      <c r="E10733" s="23"/>
    </row>
    <row r="10734" spans="1:5" x14ac:dyDescent="0.25">
      <c r="A10734" s="22"/>
      <c r="B10734" s="23"/>
      <c r="C10734" s="23"/>
      <c r="D10734" s="23"/>
      <c r="E10734" s="23"/>
    </row>
    <row r="10735" spans="1:5" x14ac:dyDescent="0.25">
      <c r="A10735" s="22"/>
      <c r="B10735" s="23"/>
      <c r="C10735" s="23"/>
      <c r="D10735" s="23"/>
      <c r="E10735" s="23"/>
    </row>
    <row r="10736" spans="1:5" x14ac:dyDescent="0.25">
      <c r="A10736" s="22"/>
      <c r="B10736" s="23"/>
      <c r="C10736" s="23"/>
      <c r="D10736" s="23"/>
      <c r="E10736" s="23"/>
    </row>
    <row r="10737" spans="1:5" x14ac:dyDescent="0.25">
      <c r="A10737" s="22"/>
      <c r="B10737" s="23"/>
      <c r="C10737" s="23"/>
      <c r="D10737" s="23"/>
      <c r="E10737" s="23"/>
    </row>
    <row r="10738" spans="1:5" x14ac:dyDescent="0.25">
      <c r="A10738" s="22"/>
      <c r="B10738" s="23"/>
      <c r="C10738" s="23"/>
      <c r="D10738" s="23"/>
      <c r="E10738" s="23"/>
    </row>
    <row r="10739" spans="1:5" x14ac:dyDescent="0.25">
      <c r="A10739" s="22"/>
      <c r="B10739" s="23"/>
      <c r="C10739" s="23"/>
      <c r="D10739" s="23"/>
      <c r="E10739" s="23"/>
    </row>
    <row r="10740" spans="1:5" x14ac:dyDescent="0.25">
      <c r="A10740" s="22"/>
      <c r="B10740" s="23"/>
      <c r="C10740" s="23"/>
      <c r="D10740" s="23"/>
      <c r="E10740" s="23"/>
    </row>
    <row r="10741" spans="1:5" x14ac:dyDescent="0.25">
      <c r="A10741" s="22"/>
      <c r="B10741" s="23"/>
      <c r="C10741" s="23"/>
      <c r="D10741" s="23"/>
      <c r="E10741" s="23"/>
    </row>
    <row r="10742" spans="1:5" x14ac:dyDescent="0.25">
      <c r="A10742" s="22"/>
      <c r="B10742" s="23"/>
      <c r="C10742" s="23"/>
      <c r="D10742" s="23"/>
      <c r="E10742" s="23"/>
    </row>
    <row r="10743" spans="1:5" x14ac:dyDescent="0.25">
      <c r="A10743" s="22"/>
      <c r="B10743" s="23"/>
      <c r="C10743" s="23"/>
      <c r="D10743" s="23"/>
      <c r="E10743" s="23"/>
    </row>
    <row r="10744" spans="1:5" x14ac:dyDescent="0.25">
      <c r="A10744" s="22"/>
      <c r="B10744" s="23"/>
      <c r="C10744" s="23"/>
      <c r="D10744" s="23"/>
      <c r="E10744" s="23"/>
    </row>
    <row r="10745" spans="1:5" x14ac:dyDescent="0.25">
      <c r="A10745" s="22"/>
      <c r="B10745" s="23"/>
      <c r="C10745" s="23"/>
      <c r="D10745" s="23"/>
      <c r="E10745" s="23"/>
    </row>
    <row r="10746" spans="1:5" x14ac:dyDescent="0.25">
      <c r="A10746" s="22"/>
      <c r="B10746" s="23"/>
      <c r="C10746" s="23"/>
      <c r="D10746" s="23"/>
      <c r="E10746" s="23"/>
    </row>
    <row r="10747" spans="1:5" x14ac:dyDescent="0.25">
      <c r="A10747" s="22"/>
      <c r="B10747" s="23"/>
      <c r="C10747" s="23"/>
      <c r="D10747" s="23"/>
      <c r="E10747" s="23"/>
    </row>
    <row r="10748" spans="1:5" x14ac:dyDescent="0.25">
      <c r="A10748" s="22"/>
      <c r="B10748" s="23"/>
      <c r="C10748" s="23"/>
      <c r="D10748" s="23"/>
      <c r="E10748" s="23"/>
    </row>
    <row r="10749" spans="1:5" x14ac:dyDescent="0.25">
      <c r="A10749" s="22"/>
      <c r="B10749" s="23"/>
      <c r="C10749" s="23"/>
      <c r="D10749" s="23"/>
      <c r="E10749" s="23"/>
    </row>
    <row r="10750" spans="1:5" x14ac:dyDescent="0.25">
      <c r="A10750" s="22"/>
      <c r="B10750" s="23"/>
      <c r="C10750" s="23"/>
      <c r="D10750" s="23"/>
      <c r="E10750" s="23"/>
    </row>
    <row r="10751" spans="1:5" x14ac:dyDescent="0.25">
      <c r="A10751" s="22"/>
      <c r="B10751" s="23"/>
      <c r="C10751" s="23"/>
      <c r="D10751" s="23"/>
      <c r="E10751" s="23"/>
    </row>
    <row r="10752" spans="1:5" x14ac:dyDescent="0.25">
      <c r="A10752" s="22"/>
      <c r="B10752" s="23"/>
      <c r="C10752" s="23"/>
      <c r="D10752" s="23"/>
      <c r="E10752" s="23"/>
    </row>
    <row r="10753" spans="1:5" x14ac:dyDescent="0.25">
      <c r="A10753" s="22"/>
      <c r="B10753" s="23"/>
      <c r="C10753" s="23"/>
      <c r="D10753" s="23"/>
      <c r="E10753" s="23"/>
    </row>
    <row r="10754" spans="1:5" x14ac:dyDescent="0.25">
      <c r="A10754" s="22"/>
      <c r="B10754" s="23"/>
      <c r="C10754" s="23"/>
      <c r="D10754" s="23"/>
      <c r="E10754" s="23"/>
    </row>
    <row r="10755" spans="1:5" x14ac:dyDescent="0.25">
      <c r="A10755" s="22"/>
      <c r="B10755" s="23"/>
      <c r="C10755" s="23"/>
      <c r="D10755" s="23"/>
      <c r="E10755" s="23"/>
    </row>
    <row r="10756" spans="1:5" x14ac:dyDescent="0.25">
      <c r="A10756" s="22"/>
      <c r="B10756" s="23"/>
      <c r="C10756" s="23"/>
      <c r="D10756" s="23"/>
      <c r="E10756" s="23"/>
    </row>
    <row r="10757" spans="1:5" x14ac:dyDescent="0.25">
      <c r="A10757" s="22"/>
      <c r="B10757" s="23"/>
      <c r="C10757" s="23"/>
      <c r="D10757" s="23"/>
      <c r="E10757" s="23"/>
    </row>
    <row r="10758" spans="1:5" x14ac:dyDescent="0.25">
      <c r="A10758" s="22"/>
      <c r="B10758" s="23"/>
      <c r="C10758" s="23"/>
      <c r="D10758" s="23"/>
      <c r="E10758" s="23"/>
    </row>
    <row r="10759" spans="1:5" x14ac:dyDescent="0.25">
      <c r="A10759" s="22"/>
      <c r="B10759" s="23"/>
      <c r="C10759" s="23"/>
      <c r="D10759" s="23"/>
      <c r="E10759" s="23"/>
    </row>
    <row r="10760" spans="1:5" x14ac:dyDescent="0.25">
      <c r="A10760" s="22"/>
      <c r="B10760" s="23"/>
      <c r="C10760" s="23"/>
      <c r="D10760" s="23"/>
      <c r="E10760" s="23"/>
    </row>
    <row r="10761" spans="1:5" x14ac:dyDescent="0.25">
      <c r="A10761" s="22"/>
      <c r="B10761" s="23"/>
      <c r="C10761" s="23"/>
      <c r="D10761" s="23"/>
      <c r="E10761" s="23"/>
    </row>
    <row r="10762" spans="1:5" x14ac:dyDescent="0.25">
      <c r="A10762" s="22"/>
      <c r="B10762" s="23"/>
      <c r="C10762" s="23"/>
      <c r="D10762" s="23"/>
      <c r="E10762" s="23"/>
    </row>
    <row r="10763" spans="1:5" x14ac:dyDescent="0.25">
      <c r="A10763" s="22"/>
      <c r="B10763" s="23"/>
      <c r="C10763" s="23"/>
      <c r="D10763" s="23"/>
      <c r="E10763" s="23"/>
    </row>
    <row r="10764" spans="1:5" x14ac:dyDescent="0.25">
      <c r="A10764" s="22"/>
      <c r="B10764" s="23"/>
      <c r="C10764" s="23"/>
      <c r="D10764" s="23"/>
      <c r="E10764" s="23"/>
    </row>
    <row r="10765" spans="1:5" x14ac:dyDescent="0.25">
      <c r="A10765" s="22"/>
      <c r="B10765" s="23"/>
      <c r="C10765" s="23"/>
      <c r="D10765" s="23"/>
      <c r="E10765" s="23"/>
    </row>
    <row r="10766" spans="1:5" x14ac:dyDescent="0.25">
      <c r="A10766" s="22"/>
      <c r="B10766" s="23"/>
      <c r="C10766" s="23"/>
      <c r="D10766" s="23"/>
      <c r="E10766" s="23"/>
    </row>
    <row r="10767" spans="1:5" x14ac:dyDescent="0.25">
      <c r="A10767" s="22"/>
      <c r="B10767" s="23"/>
      <c r="C10767" s="23"/>
      <c r="D10767" s="23"/>
      <c r="E10767" s="23"/>
    </row>
    <row r="10768" spans="1:5" x14ac:dyDescent="0.25">
      <c r="A10768" s="22"/>
      <c r="B10768" s="23"/>
      <c r="C10768" s="23"/>
      <c r="D10768" s="23"/>
      <c r="E10768" s="23"/>
    </row>
    <row r="10769" spans="1:5" x14ac:dyDescent="0.25">
      <c r="A10769" s="22"/>
      <c r="B10769" s="23"/>
      <c r="C10769" s="23"/>
      <c r="D10769" s="23"/>
      <c r="E10769" s="23"/>
    </row>
    <row r="10770" spans="1:5" x14ac:dyDescent="0.25">
      <c r="A10770" s="22"/>
      <c r="B10770" s="23"/>
      <c r="C10770" s="23"/>
      <c r="D10770" s="23"/>
      <c r="E10770" s="23"/>
    </row>
    <row r="10771" spans="1:5" x14ac:dyDescent="0.25">
      <c r="A10771" s="22"/>
      <c r="B10771" s="23"/>
      <c r="C10771" s="23"/>
      <c r="D10771" s="23"/>
      <c r="E10771" s="23"/>
    </row>
    <row r="10772" spans="1:5" x14ac:dyDescent="0.25">
      <c r="A10772" s="22"/>
      <c r="B10772" s="23"/>
      <c r="C10772" s="23"/>
      <c r="D10772" s="23"/>
      <c r="E10772" s="23"/>
    </row>
    <row r="10773" spans="1:5" x14ac:dyDescent="0.25">
      <c r="A10773" s="22"/>
      <c r="B10773" s="23"/>
      <c r="C10773" s="23"/>
      <c r="D10773" s="23"/>
      <c r="E10773" s="23"/>
    </row>
    <row r="10774" spans="1:5" x14ac:dyDescent="0.25">
      <c r="A10774" s="22"/>
      <c r="B10774" s="23"/>
      <c r="C10774" s="23"/>
      <c r="D10774" s="23"/>
      <c r="E10774" s="23"/>
    </row>
    <row r="10775" spans="1:5" x14ac:dyDescent="0.25">
      <c r="A10775" s="22"/>
      <c r="B10775" s="23"/>
      <c r="C10775" s="23"/>
      <c r="D10775" s="23"/>
      <c r="E10775" s="23"/>
    </row>
    <row r="10776" spans="1:5" x14ac:dyDescent="0.25">
      <c r="A10776" s="22"/>
      <c r="B10776" s="23"/>
      <c r="C10776" s="23"/>
      <c r="D10776" s="23"/>
      <c r="E10776" s="23"/>
    </row>
    <row r="10777" spans="1:5" x14ac:dyDescent="0.25">
      <c r="A10777" s="22"/>
      <c r="B10777" s="23"/>
      <c r="C10777" s="23"/>
      <c r="D10777" s="23"/>
      <c r="E10777" s="23"/>
    </row>
    <row r="10778" spans="1:5" x14ac:dyDescent="0.25">
      <c r="A10778" s="22"/>
      <c r="B10778" s="23"/>
      <c r="C10778" s="23"/>
      <c r="D10778" s="23"/>
      <c r="E10778" s="23"/>
    </row>
    <row r="10779" spans="1:5" x14ac:dyDescent="0.25">
      <c r="A10779" s="22"/>
      <c r="B10779" s="23"/>
      <c r="C10779" s="23"/>
      <c r="D10779" s="23"/>
      <c r="E10779" s="23"/>
    </row>
    <row r="10780" spans="1:5" x14ac:dyDescent="0.25">
      <c r="A10780" s="22"/>
      <c r="B10780" s="23"/>
      <c r="C10780" s="23"/>
      <c r="D10780" s="23"/>
      <c r="E10780" s="23"/>
    </row>
    <row r="10781" spans="1:5" x14ac:dyDescent="0.25">
      <c r="A10781" s="22"/>
      <c r="B10781" s="23"/>
      <c r="C10781" s="23"/>
      <c r="D10781" s="23"/>
      <c r="E10781" s="23"/>
    </row>
    <row r="10782" spans="1:5" x14ac:dyDescent="0.25">
      <c r="A10782" s="22"/>
      <c r="B10782" s="23"/>
      <c r="C10782" s="23"/>
      <c r="D10782" s="23"/>
      <c r="E10782" s="23"/>
    </row>
    <row r="10783" spans="1:5" x14ac:dyDescent="0.25">
      <c r="A10783" s="22"/>
      <c r="B10783" s="23"/>
      <c r="C10783" s="23"/>
      <c r="D10783" s="23"/>
      <c r="E10783" s="23"/>
    </row>
    <row r="10784" spans="1:5" x14ac:dyDescent="0.25">
      <c r="A10784" s="22"/>
      <c r="B10784" s="23"/>
      <c r="C10784" s="23"/>
      <c r="D10784" s="23"/>
      <c r="E10784" s="23"/>
    </row>
    <row r="10785" spans="1:5" x14ac:dyDescent="0.25">
      <c r="A10785" s="22"/>
      <c r="B10785" s="23"/>
      <c r="C10785" s="23"/>
      <c r="D10785" s="23"/>
      <c r="E10785" s="23"/>
    </row>
    <row r="10786" spans="1:5" x14ac:dyDescent="0.25">
      <c r="A10786" s="22"/>
      <c r="B10786" s="23"/>
      <c r="C10786" s="23"/>
      <c r="D10786" s="23"/>
      <c r="E10786" s="23"/>
    </row>
    <row r="10787" spans="1:5" x14ac:dyDescent="0.25">
      <c r="A10787" s="22"/>
      <c r="B10787" s="23"/>
      <c r="C10787" s="23"/>
      <c r="D10787" s="23"/>
      <c r="E10787" s="23"/>
    </row>
    <row r="10788" spans="1:5" x14ac:dyDescent="0.25">
      <c r="A10788" s="22"/>
      <c r="B10788" s="23"/>
      <c r="C10788" s="23"/>
      <c r="D10788" s="23"/>
      <c r="E10788" s="23"/>
    </row>
    <row r="10789" spans="1:5" x14ac:dyDescent="0.25">
      <c r="A10789" s="22"/>
      <c r="B10789" s="23"/>
      <c r="C10789" s="23"/>
      <c r="D10789" s="23"/>
      <c r="E10789" s="23"/>
    </row>
    <row r="10790" spans="1:5" x14ac:dyDescent="0.25">
      <c r="A10790" s="22"/>
      <c r="B10790" s="23"/>
      <c r="C10790" s="23"/>
      <c r="D10790" s="23"/>
      <c r="E10790" s="23"/>
    </row>
    <row r="10791" spans="1:5" x14ac:dyDescent="0.25">
      <c r="A10791" s="22"/>
      <c r="B10791" s="23"/>
      <c r="C10791" s="23"/>
      <c r="D10791" s="23"/>
      <c r="E10791" s="23"/>
    </row>
    <row r="10792" spans="1:5" x14ac:dyDescent="0.25">
      <c r="A10792" s="22"/>
      <c r="B10792" s="23"/>
      <c r="C10792" s="23"/>
      <c r="D10792" s="23"/>
      <c r="E10792" s="23"/>
    </row>
    <row r="10793" spans="1:5" x14ac:dyDescent="0.25">
      <c r="A10793" s="22"/>
      <c r="B10793" s="23"/>
      <c r="C10793" s="23"/>
      <c r="D10793" s="23"/>
      <c r="E10793" s="23"/>
    </row>
    <row r="10794" spans="1:5" x14ac:dyDescent="0.25">
      <c r="A10794" s="22"/>
      <c r="B10794" s="23"/>
      <c r="C10794" s="23"/>
      <c r="D10794" s="23"/>
      <c r="E10794" s="23"/>
    </row>
    <row r="10795" spans="1:5" x14ac:dyDescent="0.25">
      <c r="A10795" s="22"/>
      <c r="B10795" s="23"/>
      <c r="C10795" s="23"/>
      <c r="D10795" s="23"/>
      <c r="E10795" s="23"/>
    </row>
    <row r="10796" spans="1:5" x14ac:dyDescent="0.25">
      <c r="A10796" s="22"/>
      <c r="B10796" s="23"/>
      <c r="C10796" s="23"/>
      <c r="D10796" s="23"/>
      <c r="E10796" s="23"/>
    </row>
    <row r="10797" spans="1:5" x14ac:dyDescent="0.25">
      <c r="A10797" s="22"/>
      <c r="B10797" s="23"/>
      <c r="C10797" s="23"/>
      <c r="D10797" s="23"/>
      <c r="E10797" s="23"/>
    </row>
    <row r="10798" spans="1:5" x14ac:dyDescent="0.25">
      <c r="A10798" s="22"/>
      <c r="B10798" s="23"/>
      <c r="C10798" s="23"/>
      <c r="D10798" s="23"/>
      <c r="E10798" s="23"/>
    </row>
    <row r="10799" spans="1:5" x14ac:dyDescent="0.25">
      <c r="A10799" s="22"/>
      <c r="B10799" s="23"/>
      <c r="C10799" s="23"/>
      <c r="D10799" s="23"/>
      <c r="E10799" s="23"/>
    </row>
    <row r="10800" spans="1:5" x14ac:dyDescent="0.25">
      <c r="A10800" s="22"/>
      <c r="B10800" s="23"/>
      <c r="C10800" s="23"/>
      <c r="D10800" s="23"/>
      <c r="E10800" s="23"/>
    </row>
    <row r="10801" spans="1:5" x14ac:dyDescent="0.25">
      <c r="A10801" s="22"/>
      <c r="B10801" s="23"/>
      <c r="C10801" s="23"/>
      <c r="D10801" s="23"/>
      <c r="E10801" s="23"/>
    </row>
    <row r="10802" spans="1:5" x14ac:dyDescent="0.25">
      <c r="A10802" s="22"/>
      <c r="B10802" s="23"/>
      <c r="C10802" s="23"/>
      <c r="D10802" s="23"/>
      <c r="E10802" s="23"/>
    </row>
    <row r="10803" spans="1:5" x14ac:dyDescent="0.25">
      <c r="A10803" s="22"/>
      <c r="B10803" s="23"/>
      <c r="C10803" s="23"/>
      <c r="D10803" s="23"/>
      <c r="E10803" s="23"/>
    </row>
    <row r="10804" spans="1:5" x14ac:dyDescent="0.25">
      <c r="A10804" s="22"/>
      <c r="B10804" s="23"/>
      <c r="C10804" s="23"/>
      <c r="D10804" s="23"/>
      <c r="E10804" s="23"/>
    </row>
    <row r="10805" spans="1:5" x14ac:dyDescent="0.25">
      <c r="A10805" s="22"/>
      <c r="B10805" s="23"/>
      <c r="C10805" s="23"/>
      <c r="D10805" s="23"/>
      <c r="E10805" s="23"/>
    </row>
    <row r="10806" spans="1:5" x14ac:dyDescent="0.25">
      <c r="A10806" s="22"/>
      <c r="B10806" s="23"/>
      <c r="C10806" s="23"/>
      <c r="D10806" s="23"/>
      <c r="E10806" s="23"/>
    </row>
    <row r="10807" spans="1:5" x14ac:dyDescent="0.25">
      <c r="A10807" s="22"/>
      <c r="B10807" s="23"/>
      <c r="C10807" s="23"/>
      <c r="D10807" s="23"/>
      <c r="E10807" s="23"/>
    </row>
    <row r="10808" spans="1:5" x14ac:dyDescent="0.25">
      <c r="A10808" s="22"/>
      <c r="B10808" s="23"/>
      <c r="C10808" s="23"/>
      <c r="D10808" s="23"/>
      <c r="E10808" s="23"/>
    </row>
    <row r="10809" spans="1:5" x14ac:dyDescent="0.25">
      <c r="A10809" s="22"/>
      <c r="B10809" s="23"/>
      <c r="C10809" s="23"/>
      <c r="D10809" s="23"/>
      <c r="E10809" s="23"/>
    </row>
    <row r="10810" spans="1:5" x14ac:dyDescent="0.25">
      <c r="A10810" s="22"/>
      <c r="B10810" s="23"/>
      <c r="C10810" s="23"/>
      <c r="D10810" s="23"/>
      <c r="E10810" s="23"/>
    </row>
    <row r="10811" spans="1:5" x14ac:dyDescent="0.25">
      <c r="A10811" s="22"/>
      <c r="B10811" s="23"/>
      <c r="C10811" s="23"/>
      <c r="D10811" s="23"/>
      <c r="E10811" s="23"/>
    </row>
    <row r="10812" spans="1:5" x14ac:dyDescent="0.25">
      <c r="A10812" s="22"/>
      <c r="B10812" s="23"/>
      <c r="C10812" s="23"/>
      <c r="D10812" s="23"/>
      <c r="E10812" s="23"/>
    </row>
    <row r="10813" spans="1:5" x14ac:dyDescent="0.25">
      <c r="A10813" s="22"/>
      <c r="B10813" s="23"/>
      <c r="C10813" s="23"/>
      <c r="D10813" s="23"/>
      <c r="E10813" s="23"/>
    </row>
    <row r="10814" spans="1:5" x14ac:dyDescent="0.25">
      <c r="A10814" s="22"/>
      <c r="B10814" s="23"/>
      <c r="C10814" s="23"/>
      <c r="D10814" s="23"/>
      <c r="E10814" s="23"/>
    </row>
    <row r="10815" spans="1:5" x14ac:dyDescent="0.25">
      <c r="A10815" s="22"/>
      <c r="B10815" s="23"/>
      <c r="C10815" s="23"/>
      <c r="D10815" s="23"/>
      <c r="E10815" s="23"/>
    </row>
    <row r="10816" spans="1:5" x14ac:dyDescent="0.25">
      <c r="A10816" s="22"/>
      <c r="B10816" s="23"/>
      <c r="C10816" s="23"/>
      <c r="D10816" s="23"/>
      <c r="E10816" s="23"/>
    </row>
    <row r="10817" spans="1:5" x14ac:dyDescent="0.25">
      <c r="A10817" s="22"/>
      <c r="B10817" s="23"/>
      <c r="C10817" s="23"/>
      <c r="D10817" s="23"/>
      <c r="E10817" s="23"/>
    </row>
    <row r="10818" spans="1:5" x14ac:dyDescent="0.25">
      <c r="A10818" s="22"/>
      <c r="B10818" s="23"/>
      <c r="C10818" s="23"/>
      <c r="D10818" s="23"/>
      <c r="E10818" s="23"/>
    </row>
    <row r="10819" spans="1:5" x14ac:dyDescent="0.25">
      <c r="A10819" s="22"/>
      <c r="B10819" s="23"/>
      <c r="C10819" s="23"/>
      <c r="D10819" s="23"/>
      <c r="E10819" s="23"/>
    </row>
    <row r="10820" spans="1:5" x14ac:dyDescent="0.25">
      <c r="A10820" s="22"/>
      <c r="B10820" s="23"/>
      <c r="C10820" s="23"/>
      <c r="D10820" s="23"/>
      <c r="E10820" s="23"/>
    </row>
    <row r="10821" spans="1:5" x14ac:dyDescent="0.25">
      <c r="A10821" s="22"/>
      <c r="B10821" s="23"/>
      <c r="C10821" s="23"/>
      <c r="D10821" s="23"/>
      <c r="E10821" s="23"/>
    </row>
    <row r="10822" spans="1:5" x14ac:dyDescent="0.25">
      <c r="A10822" s="22"/>
      <c r="B10822" s="23"/>
      <c r="C10822" s="23"/>
      <c r="D10822" s="23"/>
      <c r="E10822" s="23"/>
    </row>
    <row r="10823" spans="1:5" x14ac:dyDescent="0.25">
      <c r="A10823" s="22"/>
      <c r="B10823" s="23"/>
      <c r="C10823" s="23"/>
      <c r="D10823" s="23"/>
      <c r="E10823" s="23"/>
    </row>
    <row r="10824" spans="1:5" x14ac:dyDescent="0.25">
      <c r="A10824" s="22"/>
      <c r="B10824" s="23"/>
      <c r="C10824" s="23"/>
      <c r="D10824" s="23"/>
      <c r="E10824" s="23"/>
    </row>
    <row r="10825" spans="1:5" x14ac:dyDescent="0.25">
      <c r="A10825" s="22"/>
      <c r="B10825" s="23"/>
      <c r="C10825" s="23"/>
      <c r="D10825" s="23"/>
      <c r="E10825" s="23"/>
    </row>
    <row r="10826" spans="1:5" x14ac:dyDescent="0.25">
      <c r="A10826" s="22"/>
      <c r="B10826" s="23"/>
      <c r="C10826" s="23"/>
      <c r="D10826" s="23"/>
      <c r="E10826" s="23"/>
    </row>
    <row r="10827" spans="1:5" x14ac:dyDescent="0.25">
      <c r="A10827" s="22"/>
      <c r="B10827" s="23"/>
      <c r="C10827" s="23"/>
      <c r="D10827" s="23"/>
      <c r="E10827" s="23"/>
    </row>
    <row r="10828" spans="1:5" x14ac:dyDescent="0.25">
      <c r="A10828" s="22"/>
      <c r="B10828" s="23"/>
      <c r="C10828" s="23"/>
      <c r="D10828" s="23"/>
      <c r="E10828" s="23"/>
    </row>
    <row r="10829" spans="1:5" x14ac:dyDescent="0.25">
      <c r="A10829" s="22"/>
      <c r="B10829" s="23"/>
      <c r="C10829" s="23"/>
      <c r="D10829" s="23"/>
      <c r="E10829" s="23"/>
    </row>
    <row r="10830" spans="1:5" x14ac:dyDescent="0.25">
      <c r="A10830" s="22"/>
      <c r="B10830" s="23"/>
      <c r="C10830" s="23"/>
      <c r="D10830" s="23"/>
      <c r="E10830" s="23"/>
    </row>
    <row r="10831" spans="1:5" x14ac:dyDescent="0.25">
      <c r="A10831" s="22"/>
      <c r="B10831" s="23"/>
      <c r="C10831" s="23"/>
      <c r="D10831" s="23"/>
      <c r="E10831" s="23"/>
    </row>
    <row r="10832" spans="1:5" x14ac:dyDescent="0.25">
      <c r="A10832" s="22"/>
      <c r="B10832" s="23"/>
      <c r="C10832" s="23"/>
      <c r="D10832" s="23"/>
      <c r="E10832" s="23"/>
    </row>
    <row r="10833" spans="1:5" x14ac:dyDescent="0.25">
      <c r="A10833" s="22"/>
      <c r="B10833" s="23"/>
      <c r="C10833" s="23"/>
      <c r="D10833" s="23"/>
      <c r="E10833" s="23"/>
    </row>
    <row r="10834" spans="1:5" x14ac:dyDescent="0.25">
      <c r="A10834" s="22"/>
      <c r="B10834" s="23"/>
      <c r="C10834" s="23"/>
      <c r="D10834" s="23"/>
      <c r="E10834" s="23"/>
    </row>
    <row r="10835" spans="1:5" x14ac:dyDescent="0.25">
      <c r="A10835" s="22"/>
      <c r="B10835" s="23"/>
      <c r="C10835" s="23"/>
      <c r="D10835" s="23"/>
      <c r="E10835" s="23"/>
    </row>
    <row r="10836" spans="1:5" x14ac:dyDescent="0.25">
      <c r="A10836" s="22"/>
      <c r="B10836" s="23"/>
      <c r="C10836" s="23"/>
      <c r="D10836" s="23"/>
      <c r="E10836" s="23"/>
    </row>
    <row r="10837" spans="1:5" x14ac:dyDescent="0.25">
      <c r="A10837" s="22"/>
      <c r="B10837" s="23"/>
      <c r="C10837" s="23"/>
      <c r="D10837" s="23"/>
      <c r="E10837" s="23"/>
    </row>
    <row r="10838" spans="1:5" x14ac:dyDescent="0.25">
      <c r="A10838" s="22"/>
      <c r="B10838" s="23"/>
      <c r="C10838" s="23"/>
      <c r="D10838" s="23"/>
      <c r="E10838" s="23"/>
    </row>
    <row r="10839" spans="1:5" x14ac:dyDescent="0.25">
      <c r="A10839" s="22"/>
      <c r="B10839" s="23"/>
      <c r="C10839" s="23"/>
      <c r="D10839" s="23"/>
      <c r="E10839" s="23"/>
    </row>
    <row r="10840" spans="1:5" x14ac:dyDescent="0.25">
      <c r="A10840" s="22"/>
      <c r="B10840" s="23"/>
      <c r="C10840" s="23"/>
      <c r="D10840" s="23"/>
      <c r="E10840" s="23"/>
    </row>
    <row r="10841" spans="1:5" x14ac:dyDescent="0.25">
      <c r="A10841" s="22"/>
      <c r="B10841" s="23"/>
      <c r="C10841" s="23"/>
      <c r="D10841" s="23"/>
      <c r="E10841" s="23"/>
    </row>
    <row r="10842" spans="1:5" x14ac:dyDescent="0.25">
      <c r="A10842" s="22"/>
      <c r="B10842" s="23"/>
      <c r="C10842" s="23"/>
      <c r="D10842" s="23"/>
      <c r="E10842" s="23"/>
    </row>
    <row r="10843" spans="1:5" x14ac:dyDescent="0.25">
      <c r="A10843" s="22"/>
      <c r="B10843" s="23"/>
      <c r="C10843" s="23"/>
      <c r="D10843" s="23"/>
      <c r="E10843" s="23"/>
    </row>
    <row r="10844" spans="1:5" x14ac:dyDescent="0.25">
      <c r="A10844" s="22"/>
      <c r="B10844" s="23"/>
      <c r="C10844" s="23"/>
      <c r="D10844" s="23"/>
      <c r="E10844" s="23"/>
    </row>
    <row r="10845" spans="1:5" x14ac:dyDescent="0.25">
      <c r="A10845" s="22"/>
      <c r="B10845" s="23"/>
      <c r="C10845" s="23"/>
      <c r="D10845" s="23"/>
      <c r="E10845" s="23"/>
    </row>
    <row r="10846" spans="1:5" x14ac:dyDescent="0.25">
      <c r="A10846" s="22"/>
      <c r="B10846" s="23"/>
      <c r="C10846" s="23"/>
      <c r="D10846" s="23"/>
      <c r="E10846" s="23"/>
    </row>
    <row r="10847" spans="1:5" x14ac:dyDescent="0.25">
      <c r="A10847" s="22"/>
      <c r="B10847" s="23"/>
      <c r="C10847" s="23"/>
      <c r="D10847" s="23"/>
      <c r="E10847" s="23"/>
    </row>
    <row r="10848" spans="1:5" x14ac:dyDescent="0.25">
      <c r="A10848" s="22"/>
      <c r="B10848" s="23"/>
      <c r="C10848" s="23"/>
      <c r="D10848" s="23"/>
      <c r="E10848" s="23"/>
    </row>
    <row r="10849" spans="1:5" x14ac:dyDescent="0.25">
      <c r="A10849" s="22"/>
      <c r="B10849" s="23"/>
      <c r="C10849" s="23"/>
      <c r="D10849" s="23"/>
      <c r="E10849" s="23"/>
    </row>
    <row r="10850" spans="1:5" x14ac:dyDescent="0.25">
      <c r="A10850" s="22"/>
      <c r="B10850" s="23"/>
      <c r="C10850" s="23"/>
      <c r="D10850" s="23"/>
      <c r="E10850" s="23"/>
    </row>
    <row r="10851" spans="1:5" x14ac:dyDescent="0.25">
      <c r="A10851" s="22"/>
      <c r="B10851" s="23"/>
      <c r="C10851" s="23"/>
      <c r="D10851" s="23"/>
      <c r="E10851" s="23"/>
    </row>
    <row r="10852" spans="1:5" x14ac:dyDescent="0.25">
      <c r="A10852" s="22"/>
      <c r="B10852" s="23"/>
      <c r="C10852" s="23"/>
      <c r="D10852" s="23"/>
      <c r="E10852" s="23"/>
    </row>
    <row r="10853" spans="1:5" x14ac:dyDescent="0.25">
      <c r="A10853" s="22"/>
      <c r="B10853" s="23"/>
      <c r="C10853" s="23"/>
      <c r="D10853" s="23"/>
      <c r="E10853" s="23"/>
    </row>
    <row r="10854" spans="1:5" x14ac:dyDescent="0.25">
      <c r="A10854" s="22"/>
      <c r="B10854" s="23"/>
      <c r="C10854" s="23"/>
      <c r="D10854" s="23"/>
      <c r="E10854" s="23"/>
    </row>
    <row r="10855" spans="1:5" x14ac:dyDescent="0.25">
      <c r="A10855" s="22"/>
      <c r="B10855" s="23"/>
      <c r="C10855" s="23"/>
      <c r="D10855" s="23"/>
      <c r="E10855" s="23"/>
    </row>
    <row r="10856" spans="1:5" x14ac:dyDescent="0.25">
      <c r="A10856" s="22"/>
      <c r="B10856" s="23"/>
      <c r="C10856" s="23"/>
      <c r="D10856" s="23"/>
      <c r="E10856" s="23"/>
    </row>
    <row r="10857" spans="1:5" x14ac:dyDescent="0.25">
      <c r="A10857" s="22"/>
      <c r="B10857" s="23"/>
      <c r="C10857" s="23"/>
      <c r="D10857" s="23"/>
      <c r="E10857" s="23"/>
    </row>
    <row r="10858" spans="1:5" x14ac:dyDescent="0.25">
      <c r="A10858" s="22"/>
      <c r="B10858" s="23"/>
      <c r="C10858" s="23"/>
      <c r="D10858" s="23"/>
      <c r="E10858" s="23"/>
    </row>
    <row r="10859" spans="1:5" x14ac:dyDescent="0.25">
      <c r="A10859" s="22"/>
      <c r="B10859" s="23"/>
      <c r="C10859" s="23"/>
      <c r="D10859" s="23"/>
      <c r="E10859" s="23"/>
    </row>
    <row r="10860" spans="1:5" x14ac:dyDescent="0.25">
      <c r="A10860" s="22"/>
      <c r="B10860" s="23"/>
      <c r="C10860" s="23"/>
      <c r="D10860" s="23"/>
      <c r="E10860" s="23"/>
    </row>
    <row r="10861" spans="1:5" x14ac:dyDescent="0.25">
      <c r="A10861" s="22"/>
      <c r="B10861" s="23"/>
      <c r="C10861" s="23"/>
      <c r="D10861" s="23"/>
      <c r="E10861" s="23"/>
    </row>
    <row r="10862" spans="1:5" x14ac:dyDescent="0.25">
      <c r="A10862" s="22"/>
      <c r="B10862" s="23"/>
      <c r="C10862" s="23"/>
      <c r="D10862" s="23"/>
      <c r="E10862" s="23"/>
    </row>
    <row r="10863" spans="1:5" x14ac:dyDescent="0.25">
      <c r="A10863" s="22"/>
      <c r="B10863" s="23"/>
      <c r="C10863" s="23"/>
      <c r="D10863" s="23"/>
      <c r="E10863" s="23"/>
    </row>
    <row r="10864" spans="1:5" x14ac:dyDescent="0.25">
      <c r="A10864" s="22"/>
      <c r="B10864" s="23"/>
      <c r="C10864" s="23"/>
      <c r="D10864" s="23"/>
      <c r="E10864" s="23"/>
    </row>
    <row r="10865" spans="1:5" x14ac:dyDescent="0.25">
      <c r="A10865" s="22"/>
      <c r="B10865" s="23"/>
      <c r="C10865" s="23"/>
      <c r="D10865" s="23"/>
      <c r="E10865" s="23"/>
    </row>
    <row r="10866" spans="1:5" x14ac:dyDescent="0.25">
      <c r="A10866" s="22"/>
      <c r="B10866" s="23"/>
      <c r="C10866" s="23"/>
      <c r="D10866" s="23"/>
      <c r="E10866" s="23"/>
    </row>
    <row r="10867" spans="1:5" x14ac:dyDescent="0.25">
      <c r="A10867" s="22"/>
      <c r="B10867" s="23"/>
      <c r="C10867" s="23"/>
      <c r="D10867" s="23"/>
      <c r="E10867" s="23"/>
    </row>
    <row r="10868" spans="1:5" x14ac:dyDescent="0.25">
      <c r="A10868" s="22"/>
      <c r="B10868" s="23"/>
      <c r="C10868" s="23"/>
      <c r="D10868" s="23"/>
      <c r="E10868" s="23"/>
    </row>
    <row r="10869" spans="1:5" x14ac:dyDescent="0.25">
      <c r="A10869" s="22"/>
      <c r="B10869" s="23"/>
      <c r="C10869" s="23"/>
      <c r="D10869" s="23"/>
      <c r="E10869" s="23"/>
    </row>
    <row r="10870" spans="1:5" x14ac:dyDescent="0.25">
      <c r="A10870" s="22"/>
      <c r="B10870" s="23"/>
      <c r="C10870" s="23"/>
      <c r="D10870" s="23"/>
      <c r="E10870" s="23"/>
    </row>
    <row r="10871" spans="1:5" x14ac:dyDescent="0.25">
      <c r="A10871" s="22"/>
      <c r="B10871" s="23"/>
      <c r="C10871" s="23"/>
      <c r="D10871" s="23"/>
      <c r="E10871" s="23"/>
    </row>
    <row r="10872" spans="1:5" x14ac:dyDescent="0.25">
      <c r="A10872" s="22"/>
      <c r="B10872" s="23"/>
      <c r="C10872" s="23"/>
      <c r="D10872" s="23"/>
      <c r="E10872" s="23"/>
    </row>
    <row r="10873" spans="1:5" x14ac:dyDescent="0.25">
      <c r="A10873" s="22"/>
      <c r="B10873" s="23"/>
      <c r="C10873" s="23"/>
      <c r="D10873" s="23"/>
      <c r="E10873" s="23"/>
    </row>
    <row r="10874" spans="1:5" x14ac:dyDescent="0.25">
      <c r="A10874" s="22"/>
      <c r="B10874" s="23"/>
      <c r="C10874" s="23"/>
      <c r="D10874" s="23"/>
      <c r="E10874" s="23"/>
    </row>
    <row r="10875" spans="1:5" x14ac:dyDescent="0.25">
      <c r="A10875" s="22"/>
      <c r="B10875" s="23"/>
      <c r="C10875" s="23"/>
      <c r="D10875" s="23"/>
      <c r="E10875" s="23"/>
    </row>
    <row r="10876" spans="1:5" x14ac:dyDescent="0.25">
      <c r="A10876" s="22"/>
      <c r="B10876" s="23"/>
      <c r="C10876" s="23"/>
      <c r="D10876" s="23"/>
      <c r="E10876" s="23"/>
    </row>
    <row r="10877" spans="1:5" x14ac:dyDescent="0.25">
      <c r="A10877" s="22"/>
      <c r="B10877" s="23"/>
      <c r="C10877" s="23"/>
      <c r="D10877" s="23"/>
      <c r="E10877" s="23"/>
    </row>
    <row r="10878" spans="1:5" x14ac:dyDescent="0.25">
      <c r="A10878" s="22"/>
      <c r="B10878" s="23"/>
      <c r="C10878" s="23"/>
      <c r="D10878" s="23"/>
      <c r="E10878" s="23"/>
    </row>
    <row r="10879" spans="1:5" x14ac:dyDescent="0.25">
      <c r="A10879" s="22"/>
      <c r="B10879" s="23"/>
      <c r="C10879" s="23"/>
      <c r="D10879" s="23"/>
      <c r="E10879" s="23"/>
    </row>
    <row r="10880" spans="1:5" x14ac:dyDescent="0.25">
      <c r="A10880" s="22"/>
      <c r="B10880" s="23"/>
      <c r="C10880" s="23"/>
      <c r="D10880" s="23"/>
      <c r="E10880" s="23"/>
    </row>
    <row r="10881" spans="1:5" x14ac:dyDescent="0.25">
      <c r="A10881" s="22"/>
      <c r="B10881" s="23"/>
      <c r="C10881" s="23"/>
      <c r="D10881" s="23"/>
      <c r="E10881" s="23"/>
    </row>
    <row r="10882" spans="1:5" x14ac:dyDescent="0.25">
      <c r="A10882" s="22"/>
      <c r="B10882" s="23"/>
      <c r="C10882" s="23"/>
      <c r="D10882" s="23"/>
      <c r="E10882" s="23"/>
    </row>
    <row r="10883" spans="1:5" x14ac:dyDescent="0.25">
      <c r="A10883" s="22"/>
      <c r="B10883" s="23"/>
      <c r="C10883" s="23"/>
      <c r="D10883" s="23"/>
      <c r="E10883" s="23"/>
    </row>
    <row r="10884" spans="1:5" x14ac:dyDescent="0.25">
      <c r="A10884" s="22"/>
      <c r="B10884" s="23"/>
      <c r="C10884" s="23"/>
      <c r="D10884" s="23"/>
      <c r="E10884" s="23"/>
    </row>
    <row r="10885" spans="1:5" x14ac:dyDescent="0.25">
      <c r="A10885" s="22"/>
      <c r="B10885" s="23"/>
      <c r="C10885" s="23"/>
      <c r="D10885" s="23"/>
      <c r="E10885" s="23"/>
    </row>
    <row r="10886" spans="1:5" x14ac:dyDescent="0.25">
      <c r="A10886" s="22"/>
      <c r="B10886" s="23"/>
      <c r="C10886" s="23"/>
      <c r="D10886" s="23"/>
      <c r="E10886" s="23"/>
    </row>
    <row r="10887" spans="1:5" x14ac:dyDescent="0.25">
      <c r="A10887" s="22"/>
      <c r="B10887" s="23"/>
      <c r="C10887" s="23"/>
      <c r="D10887" s="23"/>
      <c r="E10887" s="23"/>
    </row>
    <row r="10888" spans="1:5" x14ac:dyDescent="0.25">
      <c r="A10888" s="22"/>
      <c r="B10888" s="23"/>
      <c r="C10888" s="23"/>
      <c r="D10888" s="23"/>
      <c r="E10888" s="23"/>
    </row>
    <row r="10889" spans="1:5" x14ac:dyDescent="0.25">
      <c r="A10889" s="22"/>
      <c r="B10889" s="23"/>
      <c r="C10889" s="23"/>
      <c r="D10889" s="23"/>
      <c r="E10889" s="23"/>
    </row>
    <row r="10890" spans="1:5" x14ac:dyDescent="0.25">
      <c r="A10890" s="22"/>
      <c r="B10890" s="23"/>
      <c r="C10890" s="23"/>
      <c r="D10890" s="23"/>
      <c r="E10890" s="23"/>
    </row>
    <row r="10891" spans="1:5" x14ac:dyDescent="0.25">
      <c r="A10891" s="22"/>
      <c r="B10891" s="23"/>
      <c r="C10891" s="23"/>
      <c r="D10891" s="23"/>
      <c r="E10891" s="23"/>
    </row>
    <row r="10892" spans="1:5" x14ac:dyDescent="0.25">
      <c r="A10892" s="22"/>
      <c r="B10892" s="23"/>
      <c r="C10892" s="23"/>
      <c r="D10892" s="23"/>
      <c r="E10892" s="23"/>
    </row>
    <row r="10893" spans="1:5" x14ac:dyDescent="0.25">
      <c r="A10893" s="22"/>
      <c r="B10893" s="23"/>
      <c r="C10893" s="23"/>
      <c r="D10893" s="23"/>
      <c r="E10893" s="23"/>
    </row>
    <row r="10894" spans="1:5" x14ac:dyDescent="0.25">
      <c r="A10894" s="22"/>
      <c r="B10894" s="23"/>
      <c r="C10894" s="23"/>
      <c r="D10894" s="23"/>
      <c r="E10894" s="23"/>
    </row>
    <row r="10895" spans="1:5" x14ac:dyDescent="0.25">
      <c r="A10895" s="22"/>
      <c r="B10895" s="23"/>
      <c r="C10895" s="23"/>
      <c r="D10895" s="23"/>
      <c r="E10895" s="23"/>
    </row>
    <row r="10896" spans="1:5" x14ac:dyDescent="0.25">
      <c r="A10896" s="22"/>
      <c r="B10896" s="23"/>
      <c r="C10896" s="23"/>
      <c r="D10896" s="23"/>
      <c r="E10896" s="23"/>
    </row>
    <row r="10897" spans="1:5" x14ac:dyDescent="0.25">
      <c r="A10897" s="22"/>
      <c r="B10897" s="23"/>
      <c r="C10897" s="23"/>
      <c r="D10897" s="23"/>
      <c r="E10897" s="23"/>
    </row>
    <row r="10898" spans="1:5" x14ac:dyDescent="0.25">
      <c r="A10898" s="22"/>
      <c r="B10898" s="23"/>
      <c r="C10898" s="23"/>
      <c r="D10898" s="23"/>
      <c r="E10898" s="23"/>
    </row>
    <row r="10899" spans="1:5" x14ac:dyDescent="0.25">
      <c r="A10899" s="22"/>
      <c r="B10899" s="23"/>
      <c r="C10899" s="23"/>
      <c r="D10899" s="23"/>
      <c r="E10899" s="23"/>
    </row>
    <row r="10900" spans="1:5" x14ac:dyDescent="0.25">
      <c r="A10900" s="22"/>
      <c r="B10900" s="23"/>
      <c r="C10900" s="23"/>
      <c r="D10900" s="23"/>
      <c r="E10900" s="23"/>
    </row>
    <row r="10901" spans="1:5" x14ac:dyDescent="0.25">
      <c r="A10901" s="22"/>
      <c r="B10901" s="23"/>
      <c r="C10901" s="23"/>
      <c r="D10901" s="23"/>
      <c r="E10901" s="23"/>
    </row>
    <row r="10902" spans="1:5" x14ac:dyDescent="0.25">
      <c r="A10902" s="22"/>
      <c r="B10902" s="23"/>
      <c r="C10902" s="23"/>
      <c r="D10902" s="23"/>
      <c r="E10902" s="23"/>
    </row>
    <row r="10903" spans="1:5" x14ac:dyDescent="0.25">
      <c r="A10903" s="22"/>
      <c r="B10903" s="23"/>
      <c r="C10903" s="23"/>
      <c r="D10903" s="23"/>
      <c r="E10903" s="23"/>
    </row>
    <row r="10904" spans="1:5" x14ac:dyDescent="0.25">
      <c r="A10904" s="22"/>
      <c r="B10904" s="23"/>
      <c r="C10904" s="23"/>
      <c r="D10904" s="23"/>
      <c r="E10904" s="23"/>
    </row>
    <row r="10905" spans="1:5" x14ac:dyDescent="0.25">
      <c r="A10905" s="22"/>
      <c r="B10905" s="23"/>
      <c r="C10905" s="23"/>
      <c r="D10905" s="23"/>
      <c r="E10905" s="23"/>
    </row>
    <row r="10906" spans="1:5" x14ac:dyDescent="0.25">
      <c r="A10906" s="22"/>
      <c r="B10906" s="23"/>
      <c r="C10906" s="23"/>
      <c r="D10906" s="23"/>
      <c r="E10906" s="23"/>
    </row>
    <row r="10907" spans="1:5" x14ac:dyDescent="0.25">
      <c r="A10907" s="22"/>
      <c r="B10907" s="23"/>
      <c r="C10907" s="23"/>
      <c r="D10907" s="23"/>
      <c r="E10907" s="23"/>
    </row>
    <row r="10908" spans="1:5" x14ac:dyDescent="0.25">
      <c r="A10908" s="22"/>
      <c r="B10908" s="23"/>
      <c r="C10908" s="23"/>
      <c r="D10908" s="23"/>
      <c r="E10908" s="23"/>
    </row>
    <row r="10909" spans="1:5" x14ac:dyDescent="0.25">
      <c r="A10909" s="22"/>
      <c r="B10909" s="23"/>
      <c r="C10909" s="23"/>
      <c r="D10909" s="23"/>
      <c r="E10909" s="23"/>
    </row>
    <row r="10910" spans="1:5" x14ac:dyDescent="0.25">
      <c r="A10910" s="22"/>
      <c r="B10910" s="23"/>
      <c r="C10910" s="23"/>
      <c r="D10910" s="23"/>
      <c r="E10910" s="23"/>
    </row>
    <row r="10911" spans="1:5" x14ac:dyDescent="0.25">
      <c r="A10911" s="22"/>
      <c r="B10911" s="23"/>
      <c r="C10911" s="23"/>
      <c r="D10911" s="23"/>
      <c r="E10911" s="23"/>
    </row>
    <row r="10912" spans="1:5" x14ac:dyDescent="0.25">
      <c r="A10912" s="22"/>
      <c r="B10912" s="23"/>
      <c r="C10912" s="23"/>
      <c r="D10912" s="23"/>
      <c r="E10912" s="23"/>
    </row>
    <row r="10913" spans="1:5" x14ac:dyDescent="0.25">
      <c r="A10913" s="22"/>
      <c r="B10913" s="23"/>
      <c r="C10913" s="23"/>
      <c r="D10913" s="23"/>
      <c r="E10913" s="23"/>
    </row>
    <row r="10914" spans="1:5" x14ac:dyDescent="0.25">
      <c r="A10914" s="22"/>
      <c r="B10914" s="23"/>
      <c r="C10914" s="23"/>
      <c r="D10914" s="23"/>
      <c r="E10914" s="23"/>
    </row>
    <row r="10915" spans="1:5" x14ac:dyDescent="0.25">
      <c r="A10915" s="22"/>
      <c r="B10915" s="23"/>
      <c r="C10915" s="23"/>
      <c r="D10915" s="23"/>
      <c r="E10915" s="23"/>
    </row>
    <row r="10916" spans="1:5" x14ac:dyDescent="0.25">
      <c r="A10916" s="22"/>
      <c r="B10916" s="23"/>
      <c r="C10916" s="23"/>
      <c r="D10916" s="23"/>
      <c r="E10916" s="23"/>
    </row>
    <row r="10917" spans="1:5" x14ac:dyDescent="0.25">
      <c r="A10917" s="22"/>
      <c r="B10917" s="23"/>
      <c r="C10917" s="23"/>
      <c r="D10917" s="23"/>
      <c r="E10917" s="23"/>
    </row>
    <row r="10918" spans="1:5" x14ac:dyDescent="0.25">
      <c r="A10918" s="22"/>
      <c r="B10918" s="23"/>
      <c r="C10918" s="23"/>
      <c r="D10918" s="23"/>
      <c r="E10918" s="23"/>
    </row>
    <row r="10919" spans="1:5" x14ac:dyDescent="0.25">
      <c r="A10919" s="22"/>
      <c r="B10919" s="23"/>
      <c r="C10919" s="23"/>
      <c r="D10919" s="23"/>
      <c r="E10919" s="23"/>
    </row>
    <row r="10920" spans="1:5" x14ac:dyDescent="0.25">
      <c r="A10920" s="22"/>
      <c r="B10920" s="23"/>
      <c r="C10920" s="23"/>
      <c r="D10920" s="23"/>
      <c r="E10920" s="23"/>
    </row>
    <row r="10921" spans="1:5" x14ac:dyDescent="0.25">
      <c r="A10921" s="22"/>
      <c r="B10921" s="23"/>
      <c r="C10921" s="23"/>
      <c r="D10921" s="23"/>
      <c r="E10921" s="23"/>
    </row>
    <row r="10922" spans="1:5" x14ac:dyDescent="0.25">
      <c r="A10922" s="22"/>
      <c r="B10922" s="23"/>
      <c r="C10922" s="23"/>
      <c r="D10922" s="23"/>
      <c r="E10922" s="23"/>
    </row>
    <row r="10923" spans="1:5" x14ac:dyDescent="0.25">
      <c r="A10923" s="22"/>
      <c r="B10923" s="23"/>
      <c r="C10923" s="23"/>
      <c r="D10923" s="23"/>
      <c r="E10923" s="23"/>
    </row>
    <row r="10924" spans="1:5" x14ac:dyDescent="0.25">
      <c r="A10924" s="22"/>
      <c r="B10924" s="23"/>
      <c r="C10924" s="23"/>
      <c r="D10924" s="23"/>
      <c r="E10924" s="23"/>
    </row>
    <row r="10925" spans="1:5" x14ac:dyDescent="0.25">
      <c r="A10925" s="22"/>
      <c r="B10925" s="23"/>
      <c r="C10925" s="23"/>
      <c r="D10925" s="23"/>
      <c r="E10925" s="23"/>
    </row>
    <row r="10926" spans="1:5" x14ac:dyDescent="0.25">
      <c r="A10926" s="22"/>
      <c r="B10926" s="23"/>
      <c r="C10926" s="23"/>
      <c r="D10926" s="23"/>
      <c r="E10926" s="23"/>
    </row>
    <row r="10927" spans="1:5" x14ac:dyDescent="0.25">
      <c r="A10927" s="22"/>
      <c r="B10927" s="23"/>
      <c r="C10927" s="23"/>
      <c r="D10927" s="23"/>
      <c r="E10927" s="23"/>
    </row>
    <row r="10928" spans="1:5" x14ac:dyDescent="0.25">
      <c r="A10928" s="22"/>
      <c r="B10928" s="23"/>
      <c r="C10928" s="23"/>
      <c r="D10928" s="23"/>
      <c r="E10928" s="23"/>
    </row>
    <row r="10929" spans="1:5" x14ac:dyDescent="0.25">
      <c r="A10929" s="22"/>
      <c r="B10929" s="23"/>
      <c r="C10929" s="23"/>
      <c r="D10929" s="23"/>
      <c r="E10929" s="23"/>
    </row>
    <row r="10930" spans="1:5" x14ac:dyDescent="0.25">
      <c r="A10930" s="22"/>
      <c r="B10930" s="23"/>
      <c r="C10930" s="23"/>
      <c r="D10930" s="23"/>
      <c r="E10930" s="23"/>
    </row>
    <row r="10931" spans="1:5" x14ac:dyDescent="0.25">
      <c r="A10931" s="22"/>
      <c r="B10931" s="23"/>
      <c r="C10931" s="23"/>
      <c r="D10931" s="23"/>
      <c r="E10931" s="23"/>
    </row>
    <row r="10932" spans="1:5" x14ac:dyDescent="0.25">
      <c r="A10932" s="22"/>
      <c r="B10932" s="23"/>
      <c r="C10932" s="23"/>
      <c r="D10932" s="23"/>
      <c r="E10932" s="23"/>
    </row>
    <row r="10933" spans="1:5" x14ac:dyDescent="0.25">
      <c r="A10933" s="22"/>
      <c r="B10933" s="23"/>
      <c r="C10933" s="23"/>
      <c r="D10933" s="23"/>
      <c r="E10933" s="23"/>
    </row>
    <row r="10934" spans="1:5" x14ac:dyDescent="0.25">
      <c r="A10934" s="22"/>
      <c r="B10934" s="23"/>
      <c r="C10934" s="23"/>
      <c r="D10934" s="23"/>
      <c r="E10934" s="23"/>
    </row>
    <row r="10935" spans="1:5" x14ac:dyDescent="0.25">
      <c r="A10935" s="22"/>
      <c r="B10935" s="23"/>
      <c r="C10935" s="23"/>
      <c r="D10935" s="23"/>
      <c r="E10935" s="23"/>
    </row>
    <row r="10936" spans="1:5" x14ac:dyDescent="0.25">
      <c r="A10936" s="22"/>
      <c r="B10936" s="23"/>
      <c r="C10936" s="23"/>
      <c r="D10936" s="23"/>
      <c r="E10936" s="23"/>
    </row>
    <row r="10937" spans="1:5" x14ac:dyDescent="0.25">
      <c r="A10937" s="22"/>
      <c r="B10937" s="23"/>
      <c r="C10937" s="23"/>
      <c r="D10937" s="23"/>
      <c r="E10937" s="23"/>
    </row>
    <row r="10938" spans="1:5" x14ac:dyDescent="0.25">
      <c r="A10938" s="22"/>
      <c r="B10938" s="23"/>
      <c r="C10938" s="23"/>
      <c r="D10938" s="23"/>
      <c r="E10938" s="23"/>
    </row>
    <row r="10939" spans="1:5" x14ac:dyDescent="0.25">
      <c r="A10939" s="22"/>
      <c r="B10939" s="23"/>
      <c r="C10939" s="23"/>
      <c r="D10939" s="23"/>
      <c r="E10939" s="23"/>
    </row>
    <row r="10940" spans="1:5" x14ac:dyDescent="0.25">
      <c r="A10940" s="22"/>
      <c r="B10940" s="23"/>
      <c r="C10940" s="23"/>
      <c r="D10940" s="23"/>
      <c r="E10940" s="23"/>
    </row>
    <row r="10941" spans="1:5" x14ac:dyDescent="0.25">
      <c r="A10941" s="22"/>
      <c r="B10941" s="23"/>
      <c r="C10941" s="23"/>
      <c r="D10941" s="23"/>
      <c r="E10941" s="23"/>
    </row>
    <row r="10942" spans="1:5" x14ac:dyDescent="0.25">
      <c r="A10942" s="22"/>
      <c r="B10942" s="23"/>
      <c r="C10942" s="23"/>
      <c r="D10942" s="23"/>
      <c r="E10942" s="23"/>
    </row>
    <row r="10943" spans="1:5" x14ac:dyDescent="0.25">
      <c r="A10943" s="22"/>
      <c r="B10943" s="23"/>
      <c r="C10943" s="23"/>
      <c r="D10943" s="23"/>
      <c r="E10943" s="23"/>
    </row>
    <row r="10944" spans="1:5" x14ac:dyDescent="0.25">
      <c r="A10944" s="22"/>
      <c r="B10944" s="23"/>
      <c r="C10944" s="23"/>
      <c r="D10944" s="23"/>
      <c r="E10944" s="23"/>
    </row>
    <row r="10945" spans="1:5" x14ac:dyDescent="0.25">
      <c r="A10945" s="22"/>
      <c r="B10945" s="23"/>
      <c r="C10945" s="23"/>
      <c r="D10945" s="23"/>
      <c r="E10945" s="23"/>
    </row>
    <row r="10946" spans="1:5" x14ac:dyDescent="0.25">
      <c r="A10946" s="22"/>
      <c r="B10946" s="23"/>
      <c r="C10946" s="23"/>
      <c r="D10946" s="23"/>
      <c r="E10946" s="23"/>
    </row>
    <row r="10947" spans="1:5" x14ac:dyDescent="0.25">
      <c r="A10947" s="22"/>
      <c r="B10947" s="23"/>
      <c r="C10947" s="23"/>
      <c r="D10947" s="23"/>
      <c r="E10947" s="23"/>
    </row>
    <row r="10948" spans="1:5" x14ac:dyDescent="0.25">
      <c r="A10948" s="22"/>
      <c r="B10948" s="23"/>
      <c r="C10948" s="23"/>
      <c r="D10948" s="23"/>
      <c r="E10948" s="23"/>
    </row>
    <row r="10949" spans="1:5" x14ac:dyDescent="0.25">
      <c r="A10949" s="22"/>
      <c r="B10949" s="23"/>
      <c r="C10949" s="23"/>
      <c r="D10949" s="23"/>
      <c r="E10949" s="23"/>
    </row>
    <row r="10950" spans="1:5" x14ac:dyDescent="0.25">
      <c r="A10950" s="22"/>
      <c r="B10950" s="23"/>
      <c r="C10950" s="23"/>
      <c r="D10950" s="23"/>
      <c r="E10950" s="23"/>
    </row>
    <row r="10951" spans="1:5" x14ac:dyDescent="0.25">
      <c r="A10951" s="22"/>
      <c r="B10951" s="23"/>
      <c r="C10951" s="23"/>
      <c r="D10951" s="23"/>
      <c r="E10951" s="23"/>
    </row>
    <row r="10952" spans="1:5" x14ac:dyDescent="0.25">
      <c r="A10952" s="22"/>
      <c r="B10952" s="23"/>
      <c r="C10952" s="23"/>
      <c r="D10952" s="23"/>
      <c r="E10952" s="23"/>
    </row>
    <row r="10953" spans="1:5" x14ac:dyDescent="0.25">
      <c r="A10953" s="22"/>
      <c r="B10953" s="23"/>
      <c r="C10953" s="23"/>
      <c r="D10953" s="23"/>
      <c r="E10953" s="23"/>
    </row>
    <row r="10954" spans="1:5" x14ac:dyDescent="0.25">
      <c r="A10954" s="22"/>
      <c r="B10954" s="23"/>
      <c r="C10954" s="23"/>
      <c r="D10954" s="23"/>
      <c r="E10954" s="23"/>
    </row>
    <row r="10955" spans="1:5" x14ac:dyDescent="0.25">
      <c r="A10955" s="22"/>
      <c r="B10955" s="23"/>
      <c r="C10955" s="23"/>
      <c r="D10955" s="23"/>
      <c r="E10955" s="23"/>
    </row>
    <row r="10956" spans="1:5" x14ac:dyDescent="0.25">
      <c r="A10956" s="22"/>
      <c r="B10956" s="23"/>
      <c r="C10956" s="23"/>
      <c r="D10956" s="23"/>
      <c r="E10956" s="23"/>
    </row>
    <row r="10957" spans="1:5" x14ac:dyDescent="0.25">
      <c r="A10957" s="22"/>
      <c r="B10957" s="23"/>
      <c r="C10957" s="23"/>
      <c r="D10957" s="23"/>
      <c r="E10957" s="23"/>
    </row>
    <row r="10958" spans="1:5" x14ac:dyDescent="0.25">
      <c r="A10958" s="22"/>
      <c r="B10958" s="23"/>
      <c r="C10958" s="23"/>
      <c r="D10958" s="23"/>
      <c r="E10958" s="23"/>
    </row>
    <row r="10959" spans="1:5" x14ac:dyDescent="0.25">
      <c r="A10959" s="22"/>
      <c r="B10959" s="23"/>
      <c r="C10959" s="23"/>
      <c r="D10959" s="23"/>
      <c r="E10959" s="23"/>
    </row>
    <row r="10960" spans="1:5" x14ac:dyDescent="0.25">
      <c r="A10960" s="22"/>
      <c r="B10960" s="23"/>
      <c r="C10960" s="23"/>
      <c r="D10960" s="23"/>
      <c r="E10960" s="23"/>
    </row>
    <row r="10961" spans="1:5" x14ac:dyDescent="0.25">
      <c r="A10961" s="22"/>
      <c r="B10961" s="23"/>
      <c r="C10961" s="23"/>
      <c r="D10961" s="23"/>
      <c r="E10961" s="23"/>
    </row>
    <row r="10962" spans="1:5" x14ac:dyDescent="0.25">
      <c r="A10962" s="22"/>
      <c r="B10962" s="23"/>
      <c r="C10962" s="23"/>
      <c r="D10962" s="23"/>
      <c r="E10962" s="23"/>
    </row>
    <row r="10963" spans="1:5" x14ac:dyDescent="0.25">
      <c r="A10963" s="22"/>
      <c r="B10963" s="23"/>
      <c r="C10963" s="23"/>
      <c r="D10963" s="23"/>
      <c r="E10963" s="23"/>
    </row>
    <row r="10964" spans="1:5" x14ac:dyDescent="0.25">
      <c r="A10964" s="22"/>
      <c r="B10964" s="23"/>
      <c r="C10964" s="23"/>
      <c r="D10964" s="23"/>
      <c r="E10964" s="23"/>
    </row>
    <row r="10965" spans="1:5" x14ac:dyDescent="0.25">
      <c r="A10965" s="22"/>
      <c r="B10965" s="23"/>
      <c r="C10965" s="23"/>
      <c r="D10965" s="23"/>
      <c r="E10965" s="23"/>
    </row>
    <row r="10966" spans="1:5" x14ac:dyDescent="0.25">
      <c r="A10966" s="22"/>
      <c r="B10966" s="23"/>
      <c r="C10966" s="23"/>
      <c r="D10966" s="23"/>
      <c r="E10966" s="23"/>
    </row>
    <row r="10967" spans="1:5" x14ac:dyDescent="0.25">
      <c r="A10967" s="22"/>
      <c r="B10967" s="23"/>
      <c r="C10967" s="23"/>
      <c r="D10967" s="23"/>
      <c r="E10967" s="23"/>
    </row>
    <row r="10968" spans="1:5" x14ac:dyDescent="0.25">
      <c r="A10968" s="22"/>
      <c r="B10968" s="23"/>
      <c r="C10968" s="23"/>
      <c r="D10968" s="23"/>
      <c r="E10968" s="23"/>
    </row>
    <row r="10969" spans="1:5" x14ac:dyDescent="0.25">
      <c r="A10969" s="22"/>
      <c r="B10969" s="23"/>
      <c r="C10969" s="23"/>
      <c r="D10969" s="23"/>
      <c r="E10969" s="23"/>
    </row>
    <row r="10970" spans="1:5" x14ac:dyDescent="0.25">
      <c r="A10970" s="22"/>
      <c r="B10970" s="23"/>
      <c r="C10970" s="23"/>
      <c r="D10970" s="23"/>
      <c r="E10970" s="23"/>
    </row>
    <row r="10971" spans="1:5" x14ac:dyDescent="0.25">
      <c r="A10971" s="22"/>
      <c r="B10971" s="23"/>
      <c r="C10971" s="23"/>
      <c r="D10971" s="23"/>
      <c r="E10971" s="23"/>
    </row>
    <row r="10972" spans="1:5" x14ac:dyDescent="0.25">
      <c r="A10972" s="22"/>
      <c r="B10972" s="23"/>
      <c r="C10972" s="23"/>
      <c r="D10972" s="23"/>
      <c r="E10972" s="23"/>
    </row>
    <row r="10973" spans="1:5" x14ac:dyDescent="0.25">
      <c r="A10973" s="22"/>
      <c r="B10973" s="23"/>
      <c r="C10973" s="23"/>
      <c r="D10973" s="23"/>
      <c r="E10973" s="23"/>
    </row>
    <row r="10974" spans="1:5" x14ac:dyDescent="0.25">
      <c r="A10974" s="22"/>
      <c r="B10974" s="23"/>
      <c r="C10974" s="23"/>
      <c r="D10974" s="23"/>
      <c r="E10974" s="23"/>
    </row>
    <row r="10975" spans="1:5" x14ac:dyDescent="0.25">
      <c r="A10975" s="22"/>
      <c r="B10975" s="23"/>
      <c r="C10975" s="23"/>
      <c r="D10975" s="23"/>
      <c r="E10975" s="23"/>
    </row>
    <row r="10976" spans="1:5" x14ac:dyDescent="0.25">
      <c r="A10976" s="22"/>
      <c r="B10976" s="23"/>
      <c r="C10976" s="23"/>
      <c r="D10976" s="23"/>
      <c r="E10976" s="23"/>
    </row>
    <row r="10977" spans="1:5" x14ac:dyDescent="0.25">
      <c r="A10977" s="22"/>
      <c r="B10977" s="23"/>
      <c r="C10977" s="23"/>
      <c r="D10977" s="23"/>
      <c r="E10977" s="23"/>
    </row>
    <row r="10978" spans="1:5" x14ac:dyDescent="0.25">
      <c r="A10978" s="22"/>
      <c r="B10978" s="23"/>
      <c r="C10978" s="23"/>
      <c r="D10978" s="23"/>
      <c r="E10978" s="23"/>
    </row>
    <row r="10979" spans="1:5" x14ac:dyDescent="0.25">
      <c r="A10979" s="22"/>
      <c r="B10979" s="23"/>
      <c r="C10979" s="23"/>
      <c r="D10979" s="23"/>
      <c r="E10979" s="23"/>
    </row>
    <row r="10980" spans="1:5" x14ac:dyDescent="0.25">
      <c r="A10980" s="22"/>
      <c r="B10980" s="23"/>
      <c r="C10980" s="23"/>
      <c r="D10980" s="23"/>
      <c r="E10980" s="23"/>
    </row>
    <row r="10981" spans="1:5" x14ac:dyDescent="0.25">
      <c r="A10981" s="22"/>
      <c r="B10981" s="23"/>
      <c r="C10981" s="23"/>
      <c r="D10981" s="23"/>
      <c r="E10981" s="23"/>
    </row>
    <row r="10982" spans="1:5" x14ac:dyDescent="0.25">
      <c r="A10982" s="22"/>
      <c r="B10982" s="23"/>
      <c r="C10982" s="23"/>
      <c r="D10982" s="23"/>
      <c r="E10982" s="23"/>
    </row>
    <row r="10983" spans="1:5" x14ac:dyDescent="0.25">
      <c r="A10983" s="22"/>
      <c r="B10983" s="23"/>
      <c r="C10983" s="23"/>
      <c r="D10983" s="23"/>
      <c r="E10983" s="23"/>
    </row>
    <row r="10984" spans="1:5" x14ac:dyDescent="0.25">
      <c r="A10984" s="22"/>
      <c r="B10984" s="23"/>
      <c r="C10984" s="23"/>
      <c r="D10984" s="23"/>
      <c r="E10984" s="23"/>
    </row>
    <row r="10985" spans="1:5" x14ac:dyDescent="0.25">
      <c r="A10985" s="22"/>
      <c r="B10985" s="23"/>
      <c r="C10985" s="23"/>
      <c r="D10985" s="23"/>
      <c r="E10985" s="23"/>
    </row>
    <row r="10986" spans="1:5" x14ac:dyDescent="0.25">
      <c r="A10986" s="22"/>
      <c r="B10986" s="23"/>
      <c r="C10986" s="23"/>
      <c r="D10986" s="23"/>
      <c r="E10986" s="23"/>
    </row>
    <row r="10987" spans="1:5" x14ac:dyDescent="0.25">
      <c r="A10987" s="22"/>
      <c r="B10987" s="23"/>
      <c r="C10987" s="23"/>
      <c r="D10987" s="23"/>
      <c r="E10987" s="23"/>
    </row>
    <row r="10988" spans="1:5" x14ac:dyDescent="0.25">
      <c r="A10988" s="22"/>
      <c r="B10988" s="23"/>
      <c r="C10988" s="23"/>
      <c r="D10988" s="23"/>
      <c r="E10988" s="23"/>
    </row>
    <row r="10989" spans="1:5" x14ac:dyDescent="0.25">
      <c r="A10989" s="22"/>
      <c r="B10989" s="23"/>
      <c r="C10989" s="23"/>
      <c r="D10989" s="23"/>
      <c r="E10989" s="23"/>
    </row>
    <row r="10990" spans="1:5" x14ac:dyDescent="0.25">
      <c r="A10990" s="22"/>
      <c r="B10990" s="23"/>
      <c r="C10990" s="23"/>
      <c r="D10990" s="23"/>
      <c r="E10990" s="23"/>
    </row>
    <row r="10991" spans="1:5" x14ac:dyDescent="0.25">
      <c r="A10991" s="22"/>
      <c r="B10991" s="23"/>
      <c r="C10991" s="23"/>
      <c r="D10991" s="23"/>
      <c r="E10991" s="23"/>
    </row>
    <row r="10992" spans="1:5" x14ac:dyDescent="0.25">
      <c r="A10992" s="22"/>
      <c r="B10992" s="23"/>
      <c r="C10992" s="23"/>
      <c r="D10992" s="23"/>
      <c r="E10992" s="23"/>
    </row>
    <row r="10993" spans="1:5" x14ac:dyDescent="0.25">
      <c r="A10993" s="22"/>
      <c r="B10993" s="23"/>
      <c r="C10993" s="23"/>
      <c r="D10993" s="23"/>
      <c r="E10993" s="23"/>
    </row>
    <row r="10994" spans="1:5" x14ac:dyDescent="0.25">
      <c r="A10994" s="22"/>
      <c r="B10994" s="23"/>
      <c r="C10994" s="23"/>
      <c r="D10994" s="23"/>
      <c r="E10994" s="23"/>
    </row>
    <row r="10995" spans="1:5" x14ac:dyDescent="0.25">
      <c r="A10995" s="22"/>
      <c r="B10995" s="23"/>
      <c r="C10995" s="23"/>
      <c r="D10995" s="23"/>
      <c r="E10995" s="23"/>
    </row>
    <row r="10996" spans="1:5" x14ac:dyDescent="0.25">
      <c r="A10996" s="22"/>
      <c r="B10996" s="23"/>
      <c r="C10996" s="23"/>
      <c r="D10996" s="23"/>
      <c r="E10996" s="23"/>
    </row>
    <row r="10997" spans="1:5" x14ac:dyDescent="0.25">
      <c r="A10997" s="22"/>
      <c r="B10997" s="23"/>
      <c r="C10997" s="23"/>
      <c r="D10997" s="23"/>
      <c r="E10997" s="23"/>
    </row>
    <row r="10998" spans="1:5" x14ac:dyDescent="0.25">
      <c r="A10998" s="22"/>
      <c r="B10998" s="23"/>
      <c r="C10998" s="23"/>
      <c r="D10998" s="23"/>
      <c r="E10998" s="23"/>
    </row>
    <row r="10999" spans="1:5" x14ac:dyDescent="0.25">
      <c r="A10999" s="22"/>
      <c r="B10999" s="23"/>
      <c r="C10999" s="23"/>
      <c r="D10999" s="23"/>
      <c r="E10999" s="23"/>
    </row>
    <row r="11000" spans="1:5" x14ac:dyDescent="0.25">
      <c r="A11000" s="22"/>
      <c r="B11000" s="23"/>
      <c r="C11000" s="23"/>
      <c r="D11000" s="23"/>
      <c r="E11000" s="23"/>
    </row>
    <row r="11001" spans="1:5" x14ac:dyDescent="0.25">
      <c r="A11001" s="22"/>
      <c r="B11001" s="23"/>
      <c r="C11001" s="23"/>
      <c r="D11001" s="23"/>
      <c r="E11001" s="23"/>
    </row>
    <row r="11002" spans="1:5" x14ac:dyDescent="0.25">
      <c r="A11002" s="22"/>
      <c r="B11002" s="23"/>
      <c r="C11002" s="23"/>
      <c r="D11002" s="23"/>
      <c r="E11002" s="23"/>
    </row>
    <row r="11003" spans="1:5" x14ac:dyDescent="0.25">
      <c r="A11003" s="22"/>
      <c r="B11003" s="23"/>
      <c r="C11003" s="23"/>
      <c r="D11003" s="23"/>
      <c r="E11003" s="23"/>
    </row>
    <row r="11004" spans="1:5" x14ac:dyDescent="0.25">
      <c r="A11004" s="22"/>
      <c r="B11004" s="23"/>
      <c r="C11004" s="23"/>
      <c r="D11004" s="23"/>
      <c r="E11004" s="23"/>
    </row>
    <row r="11005" spans="1:5" x14ac:dyDescent="0.25">
      <c r="A11005" s="22"/>
      <c r="B11005" s="23"/>
      <c r="C11005" s="23"/>
      <c r="D11005" s="23"/>
      <c r="E11005" s="23"/>
    </row>
    <row r="11006" spans="1:5" x14ac:dyDescent="0.25">
      <c r="A11006" s="22"/>
      <c r="B11006" s="23"/>
      <c r="C11006" s="23"/>
      <c r="D11006" s="23"/>
      <c r="E11006" s="23"/>
    </row>
    <row r="11007" spans="1:5" x14ac:dyDescent="0.25">
      <c r="A11007" s="22"/>
      <c r="B11007" s="23"/>
      <c r="C11007" s="23"/>
      <c r="D11007" s="23"/>
      <c r="E11007" s="23"/>
    </row>
    <row r="11008" spans="1:5" x14ac:dyDescent="0.25">
      <c r="A11008" s="22"/>
      <c r="B11008" s="23"/>
      <c r="C11008" s="23"/>
      <c r="D11008" s="23"/>
      <c r="E11008" s="23"/>
    </row>
    <row r="11009" spans="1:5" x14ac:dyDescent="0.25">
      <c r="A11009" s="22"/>
      <c r="B11009" s="23"/>
      <c r="C11009" s="23"/>
      <c r="D11009" s="23"/>
      <c r="E11009" s="23"/>
    </row>
    <row r="11010" spans="1:5" x14ac:dyDescent="0.25">
      <c r="A11010" s="22"/>
      <c r="B11010" s="23"/>
      <c r="C11010" s="23"/>
      <c r="D11010" s="23"/>
      <c r="E11010" s="23"/>
    </row>
    <row r="11011" spans="1:5" x14ac:dyDescent="0.25">
      <c r="A11011" s="22"/>
      <c r="B11011" s="23"/>
      <c r="C11011" s="23"/>
      <c r="D11011" s="23"/>
      <c r="E11011" s="23"/>
    </row>
    <row r="11012" spans="1:5" x14ac:dyDescent="0.25">
      <c r="A11012" s="22"/>
      <c r="B11012" s="23"/>
      <c r="C11012" s="23"/>
      <c r="D11012" s="23"/>
      <c r="E11012" s="23"/>
    </row>
    <row r="11013" spans="1:5" x14ac:dyDescent="0.25">
      <c r="A11013" s="22"/>
      <c r="B11013" s="23"/>
      <c r="C11013" s="23"/>
      <c r="D11013" s="23"/>
      <c r="E11013" s="23"/>
    </row>
    <row r="11014" spans="1:5" x14ac:dyDescent="0.25">
      <c r="A11014" s="22"/>
      <c r="B11014" s="23"/>
      <c r="C11014" s="23"/>
      <c r="D11014" s="23"/>
      <c r="E11014" s="23"/>
    </row>
    <row r="11015" spans="1:5" x14ac:dyDescent="0.25">
      <c r="A11015" s="22"/>
      <c r="B11015" s="23"/>
      <c r="C11015" s="23"/>
      <c r="D11015" s="23"/>
      <c r="E11015" s="23"/>
    </row>
    <row r="11016" spans="1:5" x14ac:dyDescent="0.25">
      <c r="A11016" s="22"/>
      <c r="B11016" s="23"/>
      <c r="C11016" s="23"/>
      <c r="D11016" s="23"/>
      <c r="E11016" s="23"/>
    </row>
    <row r="11017" spans="1:5" x14ac:dyDescent="0.25">
      <c r="A11017" s="22"/>
      <c r="B11017" s="23"/>
      <c r="C11017" s="23"/>
      <c r="D11017" s="23"/>
      <c r="E11017" s="23"/>
    </row>
    <row r="11018" spans="1:5" x14ac:dyDescent="0.25">
      <c r="A11018" s="22"/>
      <c r="B11018" s="23"/>
      <c r="C11018" s="23"/>
      <c r="D11018" s="23"/>
      <c r="E11018" s="23"/>
    </row>
    <row r="11019" spans="1:5" x14ac:dyDescent="0.25">
      <c r="A11019" s="22"/>
      <c r="B11019" s="23"/>
      <c r="C11019" s="23"/>
      <c r="D11019" s="23"/>
      <c r="E11019" s="23"/>
    </row>
    <row r="11020" spans="1:5" x14ac:dyDescent="0.25">
      <c r="A11020" s="22"/>
      <c r="B11020" s="23"/>
      <c r="C11020" s="23"/>
      <c r="D11020" s="23"/>
      <c r="E11020" s="23"/>
    </row>
    <row r="11021" spans="1:5" x14ac:dyDescent="0.25">
      <c r="A11021" s="22"/>
      <c r="B11021" s="23"/>
      <c r="C11021" s="23"/>
      <c r="D11021" s="23"/>
      <c r="E11021" s="23"/>
    </row>
    <row r="11022" spans="1:5" x14ac:dyDescent="0.25">
      <c r="A11022" s="22"/>
      <c r="B11022" s="23"/>
      <c r="C11022" s="23"/>
      <c r="D11022" s="23"/>
      <c r="E11022" s="23"/>
    </row>
    <row r="11023" spans="1:5" x14ac:dyDescent="0.25">
      <c r="A11023" s="22"/>
      <c r="B11023" s="23"/>
      <c r="C11023" s="23"/>
      <c r="D11023" s="23"/>
      <c r="E11023" s="23"/>
    </row>
    <row r="11024" spans="1:5" x14ac:dyDescent="0.25">
      <c r="A11024" s="22"/>
      <c r="B11024" s="23"/>
      <c r="C11024" s="23"/>
      <c r="D11024" s="23"/>
      <c r="E11024" s="23"/>
    </row>
    <row r="11025" spans="1:5" x14ac:dyDescent="0.25">
      <c r="A11025" s="22"/>
      <c r="B11025" s="23"/>
      <c r="C11025" s="23"/>
      <c r="D11025" s="23"/>
      <c r="E11025" s="23"/>
    </row>
    <row r="11026" spans="1:5" x14ac:dyDescent="0.25">
      <c r="A11026" s="22"/>
      <c r="B11026" s="23"/>
      <c r="C11026" s="23"/>
      <c r="D11026" s="23"/>
      <c r="E11026" s="23"/>
    </row>
    <row r="11027" spans="1:5" x14ac:dyDescent="0.25">
      <c r="A11027" s="22"/>
      <c r="B11027" s="23"/>
      <c r="C11027" s="23"/>
      <c r="D11027" s="23"/>
      <c r="E11027" s="23"/>
    </row>
    <row r="11028" spans="1:5" x14ac:dyDescent="0.25">
      <c r="A11028" s="22"/>
      <c r="B11028" s="23"/>
      <c r="C11028" s="23"/>
      <c r="D11028" s="23"/>
      <c r="E11028" s="23"/>
    </row>
    <row r="11029" spans="1:5" x14ac:dyDescent="0.25">
      <c r="A11029" s="22"/>
      <c r="B11029" s="23"/>
      <c r="C11029" s="23"/>
      <c r="D11029" s="23"/>
      <c r="E11029" s="23"/>
    </row>
    <row r="11030" spans="1:5" x14ac:dyDescent="0.25">
      <c r="A11030" s="22"/>
      <c r="B11030" s="23"/>
      <c r="C11030" s="23"/>
      <c r="D11030" s="23"/>
      <c r="E11030" s="23"/>
    </row>
    <row r="11031" spans="1:5" x14ac:dyDescent="0.25">
      <c r="A11031" s="22"/>
      <c r="B11031" s="23"/>
      <c r="C11031" s="23"/>
      <c r="D11031" s="23"/>
      <c r="E11031" s="23"/>
    </row>
    <row r="11032" spans="1:5" x14ac:dyDescent="0.25">
      <c r="A11032" s="22"/>
      <c r="B11032" s="23"/>
      <c r="C11032" s="23"/>
      <c r="D11032" s="23"/>
      <c r="E11032" s="23"/>
    </row>
    <row r="11033" spans="1:5" x14ac:dyDescent="0.25">
      <c r="A11033" s="22"/>
      <c r="B11033" s="23"/>
      <c r="C11033" s="23"/>
      <c r="D11033" s="23"/>
      <c r="E11033" s="23"/>
    </row>
    <row r="11034" spans="1:5" x14ac:dyDescent="0.25">
      <c r="A11034" s="22"/>
      <c r="B11034" s="23"/>
      <c r="C11034" s="23"/>
      <c r="D11034" s="23"/>
      <c r="E11034" s="23"/>
    </row>
    <row r="11035" spans="1:5" x14ac:dyDescent="0.25">
      <c r="A11035" s="22"/>
      <c r="B11035" s="23"/>
      <c r="C11035" s="23"/>
      <c r="D11035" s="23"/>
      <c r="E11035" s="23"/>
    </row>
    <row r="11036" spans="1:5" x14ac:dyDescent="0.25">
      <c r="A11036" s="22"/>
      <c r="B11036" s="23"/>
      <c r="C11036" s="23"/>
      <c r="D11036" s="23"/>
      <c r="E11036" s="23"/>
    </row>
    <row r="11037" spans="1:5" x14ac:dyDescent="0.25">
      <c r="A11037" s="22"/>
      <c r="B11037" s="23"/>
      <c r="C11037" s="23"/>
      <c r="D11037" s="23"/>
      <c r="E11037" s="23"/>
    </row>
    <row r="11038" spans="1:5" x14ac:dyDescent="0.25">
      <c r="A11038" s="22"/>
      <c r="B11038" s="23"/>
      <c r="C11038" s="23"/>
      <c r="D11038" s="23"/>
      <c r="E11038" s="23"/>
    </row>
    <row r="11039" spans="1:5" x14ac:dyDescent="0.25">
      <c r="A11039" s="22"/>
      <c r="B11039" s="23"/>
      <c r="C11039" s="23"/>
      <c r="D11039" s="23"/>
      <c r="E11039" s="23"/>
    </row>
    <row r="11040" spans="1:5" x14ac:dyDescent="0.25">
      <c r="A11040" s="22"/>
      <c r="B11040" s="23"/>
      <c r="C11040" s="23"/>
      <c r="D11040" s="23"/>
      <c r="E11040" s="23"/>
    </row>
    <row r="11041" spans="1:5" x14ac:dyDescent="0.25">
      <c r="A11041" s="22"/>
      <c r="B11041" s="23"/>
      <c r="C11041" s="23"/>
      <c r="D11041" s="23"/>
      <c r="E11041" s="23"/>
    </row>
    <row r="11042" spans="1:5" x14ac:dyDescent="0.25">
      <c r="A11042" s="22"/>
      <c r="B11042" s="23"/>
      <c r="C11042" s="23"/>
      <c r="D11042" s="23"/>
      <c r="E11042" s="23"/>
    </row>
    <row r="11043" spans="1:5" x14ac:dyDescent="0.25">
      <c r="A11043" s="22"/>
      <c r="B11043" s="23"/>
      <c r="C11043" s="23"/>
      <c r="D11043" s="23"/>
      <c r="E11043" s="23"/>
    </row>
    <row r="11044" spans="1:5" x14ac:dyDescent="0.25">
      <c r="A11044" s="22"/>
      <c r="B11044" s="23"/>
      <c r="C11044" s="23"/>
      <c r="D11044" s="23"/>
      <c r="E11044" s="23"/>
    </row>
    <row r="11045" spans="1:5" x14ac:dyDescent="0.25">
      <c r="A11045" s="22"/>
      <c r="B11045" s="23"/>
      <c r="C11045" s="23"/>
      <c r="D11045" s="23"/>
      <c r="E11045" s="23"/>
    </row>
    <row r="11046" spans="1:5" x14ac:dyDescent="0.25">
      <c r="A11046" s="22"/>
      <c r="B11046" s="23"/>
      <c r="C11046" s="23"/>
      <c r="D11046" s="23"/>
      <c r="E11046" s="23"/>
    </row>
    <row r="11047" spans="1:5" x14ac:dyDescent="0.25">
      <c r="A11047" s="22"/>
      <c r="B11047" s="23"/>
      <c r="C11047" s="23"/>
      <c r="D11047" s="23"/>
      <c r="E11047" s="23"/>
    </row>
    <row r="11048" spans="1:5" x14ac:dyDescent="0.25">
      <c r="A11048" s="22"/>
      <c r="B11048" s="23"/>
      <c r="C11048" s="23"/>
      <c r="D11048" s="23"/>
      <c r="E11048" s="23"/>
    </row>
    <row r="11049" spans="1:5" x14ac:dyDescent="0.25">
      <c r="A11049" s="22"/>
      <c r="B11049" s="23"/>
      <c r="C11049" s="23"/>
      <c r="D11049" s="23"/>
      <c r="E11049" s="23"/>
    </row>
    <row r="11050" spans="1:5" x14ac:dyDescent="0.25">
      <c r="A11050" s="22"/>
      <c r="B11050" s="23"/>
      <c r="C11050" s="23"/>
      <c r="D11050" s="23"/>
      <c r="E11050" s="23"/>
    </row>
    <row r="11051" spans="1:5" x14ac:dyDescent="0.25">
      <c r="A11051" s="22"/>
      <c r="B11051" s="23"/>
      <c r="C11051" s="23"/>
      <c r="D11051" s="23"/>
      <c r="E11051" s="23"/>
    </row>
    <row r="11052" spans="1:5" x14ac:dyDescent="0.25">
      <c r="A11052" s="22"/>
      <c r="B11052" s="23"/>
      <c r="C11052" s="23"/>
      <c r="D11052" s="23"/>
      <c r="E11052" s="23"/>
    </row>
    <row r="11053" spans="1:5" x14ac:dyDescent="0.25">
      <c r="A11053" s="22"/>
      <c r="B11053" s="23"/>
      <c r="C11053" s="23"/>
      <c r="D11053" s="23"/>
      <c r="E11053" s="23"/>
    </row>
    <row r="11054" spans="1:5" x14ac:dyDescent="0.25">
      <c r="A11054" s="22"/>
      <c r="B11054" s="23"/>
      <c r="C11054" s="23"/>
      <c r="D11054" s="23"/>
      <c r="E11054" s="23"/>
    </row>
    <row r="11055" spans="1:5" x14ac:dyDescent="0.25">
      <c r="A11055" s="22"/>
      <c r="B11055" s="23"/>
      <c r="C11055" s="23"/>
      <c r="D11055" s="23"/>
      <c r="E11055" s="23"/>
    </row>
    <row r="11056" spans="1:5" x14ac:dyDescent="0.25">
      <c r="A11056" s="22"/>
      <c r="B11056" s="23"/>
      <c r="C11056" s="23"/>
      <c r="D11056" s="23"/>
      <c r="E11056" s="23"/>
    </row>
    <row r="11057" spans="1:5" x14ac:dyDescent="0.25">
      <c r="A11057" s="22"/>
      <c r="B11057" s="23"/>
      <c r="C11057" s="23"/>
      <c r="D11057" s="23"/>
      <c r="E11057" s="23"/>
    </row>
    <row r="11058" spans="1:5" x14ac:dyDescent="0.25">
      <c r="A11058" s="22"/>
      <c r="B11058" s="23"/>
      <c r="C11058" s="23"/>
      <c r="D11058" s="23"/>
      <c r="E11058" s="23"/>
    </row>
    <row r="11059" spans="1:5" x14ac:dyDescent="0.25">
      <c r="A11059" s="22"/>
      <c r="B11059" s="23"/>
      <c r="C11059" s="23"/>
      <c r="D11059" s="23"/>
      <c r="E11059" s="23"/>
    </row>
    <row r="11060" spans="1:5" x14ac:dyDescent="0.25">
      <c r="A11060" s="22"/>
      <c r="B11060" s="23"/>
      <c r="C11060" s="23"/>
      <c r="D11060" s="23"/>
      <c r="E11060" s="23"/>
    </row>
    <row r="11061" spans="1:5" x14ac:dyDescent="0.25">
      <c r="A11061" s="22"/>
      <c r="B11061" s="23"/>
      <c r="C11061" s="23"/>
      <c r="D11061" s="23"/>
      <c r="E11061" s="23"/>
    </row>
    <row r="11062" spans="1:5" x14ac:dyDescent="0.25">
      <c r="A11062" s="22"/>
      <c r="B11062" s="23"/>
      <c r="C11062" s="23"/>
      <c r="D11062" s="23"/>
      <c r="E11062" s="23"/>
    </row>
    <row r="11063" spans="1:5" x14ac:dyDescent="0.25">
      <c r="A11063" s="22"/>
      <c r="B11063" s="23"/>
      <c r="C11063" s="23"/>
      <c r="D11063" s="23"/>
      <c r="E11063" s="23"/>
    </row>
    <row r="11064" spans="1:5" x14ac:dyDescent="0.25">
      <c r="A11064" s="22"/>
      <c r="B11064" s="23"/>
      <c r="C11064" s="23"/>
      <c r="D11064" s="23"/>
      <c r="E11064" s="23"/>
    </row>
    <row r="11065" spans="1:5" x14ac:dyDescent="0.25">
      <c r="A11065" s="22"/>
      <c r="B11065" s="23"/>
      <c r="C11065" s="23"/>
      <c r="D11065" s="23"/>
      <c r="E11065" s="23"/>
    </row>
    <row r="11066" spans="1:5" x14ac:dyDescent="0.25">
      <c r="A11066" s="22"/>
      <c r="B11066" s="23"/>
      <c r="C11066" s="23"/>
      <c r="D11066" s="23"/>
      <c r="E11066" s="23"/>
    </row>
    <row r="11067" spans="1:5" x14ac:dyDescent="0.25">
      <c r="A11067" s="22"/>
      <c r="B11067" s="23"/>
      <c r="C11067" s="23"/>
      <c r="D11067" s="23"/>
      <c r="E11067" s="23"/>
    </row>
    <row r="11068" spans="1:5" x14ac:dyDescent="0.25">
      <c r="A11068" s="22"/>
      <c r="B11068" s="23"/>
      <c r="C11068" s="23"/>
      <c r="D11068" s="23"/>
      <c r="E11068" s="23"/>
    </row>
    <row r="11069" spans="1:5" x14ac:dyDescent="0.25">
      <c r="A11069" s="22"/>
      <c r="B11069" s="23"/>
      <c r="C11069" s="23"/>
      <c r="D11069" s="23"/>
      <c r="E11069" s="23"/>
    </row>
    <row r="11070" spans="1:5" x14ac:dyDescent="0.25">
      <c r="A11070" s="22"/>
      <c r="B11070" s="23"/>
      <c r="C11070" s="23"/>
      <c r="D11070" s="23"/>
      <c r="E11070" s="23"/>
    </row>
    <row r="11071" spans="1:5" x14ac:dyDescent="0.25">
      <c r="A11071" s="22"/>
      <c r="B11071" s="23"/>
      <c r="C11071" s="23"/>
      <c r="D11071" s="23"/>
      <c r="E11071" s="23"/>
    </row>
    <row r="11072" spans="1:5" x14ac:dyDescent="0.25">
      <c r="A11072" s="22"/>
      <c r="B11072" s="23"/>
      <c r="C11072" s="23"/>
      <c r="D11072" s="23"/>
      <c r="E11072" s="23"/>
    </row>
    <row r="11073" spans="1:5" x14ac:dyDescent="0.25">
      <c r="A11073" s="22"/>
      <c r="B11073" s="23"/>
      <c r="C11073" s="23"/>
      <c r="D11073" s="23"/>
      <c r="E11073" s="23"/>
    </row>
    <row r="11074" spans="1:5" x14ac:dyDescent="0.25">
      <c r="A11074" s="22"/>
      <c r="B11074" s="23"/>
      <c r="C11074" s="23"/>
      <c r="D11074" s="23"/>
      <c r="E11074" s="23"/>
    </row>
    <row r="11075" spans="1:5" x14ac:dyDescent="0.25">
      <c r="A11075" s="22"/>
      <c r="B11075" s="23"/>
      <c r="C11075" s="23"/>
      <c r="D11075" s="23"/>
      <c r="E11075" s="23"/>
    </row>
    <row r="11076" spans="1:5" x14ac:dyDescent="0.25">
      <c r="A11076" s="22"/>
      <c r="B11076" s="23"/>
      <c r="C11076" s="23"/>
      <c r="D11076" s="23"/>
      <c r="E11076" s="23"/>
    </row>
    <row r="11077" spans="1:5" x14ac:dyDescent="0.25">
      <c r="A11077" s="22"/>
      <c r="B11077" s="23"/>
      <c r="C11077" s="23"/>
      <c r="D11077" s="23"/>
      <c r="E11077" s="23"/>
    </row>
    <row r="11078" spans="1:5" x14ac:dyDescent="0.25">
      <c r="A11078" s="22"/>
      <c r="B11078" s="23"/>
      <c r="C11078" s="23"/>
      <c r="D11078" s="23"/>
      <c r="E11078" s="23"/>
    </row>
    <row r="11079" spans="1:5" x14ac:dyDescent="0.25">
      <c r="A11079" s="22"/>
      <c r="B11079" s="23"/>
      <c r="C11079" s="23"/>
      <c r="D11079" s="23"/>
      <c r="E11079" s="23"/>
    </row>
    <row r="11080" spans="1:5" x14ac:dyDescent="0.25">
      <c r="A11080" s="22"/>
      <c r="B11080" s="23"/>
      <c r="C11080" s="23"/>
      <c r="D11080" s="23"/>
      <c r="E11080" s="23"/>
    </row>
    <row r="11081" spans="1:5" x14ac:dyDescent="0.25">
      <c r="A11081" s="22"/>
      <c r="B11081" s="23"/>
      <c r="C11081" s="23"/>
      <c r="D11081" s="23"/>
      <c r="E11081" s="23"/>
    </row>
    <row r="11082" spans="1:5" x14ac:dyDescent="0.25">
      <c r="A11082" s="22"/>
      <c r="B11082" s="23"/>
      <c r="C11082" s="23"/>
      <c r="D11082" s="23"/>
      <c r="E11082" s="23"/>
    </row>
    <row r="11083" spans="1:5" x14ac:dyDescent="0.25">
      <c r="A11083" s="22"/>
      <c r="B11083" s="23"/>
      <c r="C11083" s="23"/>
      <c r="D11083" s="23"/>
      <c r="E11083" s="23"/>
    </row>
    <row r="11084" spans="1:5" x14ac:dyDescent="0.25">
      <c r="A11084" s="22"/>
      <c r="B11084" s="23"/>
      <c r="C11084" s="23"/>
      <c r="D11084" s="23"/>
      <c r="E11084" s="23"/>
    </row>
    <row r="11085" spans="1:5" x14ac:dyDescent="0.25">
      <c r="A11085" s="22"/>
      <c r="B11085" s="23"/>
      <c r="C11085" s="23"/>
      <c r="D11085" s="23"/>
      <c r="E11085" s="23"/>
    </row>
    <row r="11086" spans="1:5" x14ac:dyDescent="0.25">
      <c r="A11086" s="22"/>
      <c r="B11086" s="23"/>
      <c r="C11086" s="23"/>
      <c r="D11086" s="23"/>
      <c r="E11086" s="23"/>
    </row>
    <row r="11087" spans="1:5" x14ac:dyDescent="0.25">
      <c r="A11087" s="22"/>
      <c r="B11087" s="23"/>
      <c r="C11087" s="23"/>
      <c r="D11087" s="23"/>
      <c r="E11087" s="23"/>
    </row>
    <row r="11088" spans="1:5" x14ac:dyDescent="0.25">
      <c r="A11088" s="22"/>
      <c r="B11088" s="23"/>
      <c r="C11088" s="23"/>
      <c r="D11088" s="23"/>
      <c r="E11088" s="23"/>
    </row>
    <row r="11089" spans="1:5" x14ac:dyDescent="0.25">
      <c r="A11089" s="22"/>
      <c r="B11089" s="23"/>
      <c r="C11089" s="23"/>
      <c r="D11089" s="23"/>
      <c r="E11089" s="23"/>
    </row>
    <row r="11090" spans="1:5" x14ac:dyDescent="0.25">
      <c r="A11090" s="22"/>
      <c r="B11090" s="23"/>
      <c r="C11090" s="23"/>
      <c r="D11090" s="23"/>
      <c r="E11090" s="23"/>
    </row>
    <row r="11091" spans="1:5" x14ac:dyDescent="0.25">
      <c r="A11091" s="22"/>
      <c r="B11091" s="23"/>
      <c r="C11091" s="23"/>
      <c r="D11091" s="23"/>
      <c r="E11091" s="23"/>
    </row>
    <row r="11092" spans="1:5" x14ac:dyDescent="0.25">
      <c r="A11092" s="22"/>
      <c r="B11092" s="23"/>
      <c r="C11092" s="23"/>
      <c r="D11092" s="23"/>
      <c r="E11092" s="23"/>
    </row>
    <row r="11093" spans="1:5" x14ac:dyDescent="0.25">
      <c r="A11093" s="22"/>
      <c r="B11093" s="23"/>
      <c r="C11093" s="23"/>
      <c r="D11093" s="23"/>
      <c r="E11093" s="23"/>
    </row>
    <row r="11094" spans="1:5" x14ac:dyDescent="0.25">
      <c r="A11094" s="22"/>
      <c r="B11094" s="23"/>
      <c r="C11094" s="23"/>
      <c r="D11094" s="23"/>
      <c r="E11094" s="23"/>
    </row>
    <row r="11095" spans="1:5" x14ac:dyDescent="0.25">
      <c r="A11095" s="22"/>
      <c r="B11095" s="23"/>
      <c r="C11095" s="23"/>
      <c r="D11095" s="23"/>
      <c r="E11095" s="23"/>
    </row>
    <row r="11096" spans="1:5" x14ac:dyDescent="0.25">
      <c r="A11096" s="22"/>
      <c r="B11096" s="23"/>
      <c r="C11096" s="23"/>
      <c r="D11096" s="23"/>
      <c r="E11096" s="23"/>
    </row>
    <row r="11097" spans="1:5" x14ac:dyDescent="0.25">
      <c r="A11097" s="22"/>
      <c r="B11097" s="23"/>
      <c r="C11097" s="23"/>
      <c r="D11097" s="23"/>
      <c r="E11097" s="23"/>
    </row>
    <row r="11098" spans="1:5" x14ac:dyDescent="0.25">
      <c r="A11098" s="22"/>
      <c r="B11098" s="23"/>
      <c r="C11098" s="23"/>
      <c r="D11098" s="23"/>
      <c r="E11098" s="23"/>
    </row>
    <row r="11099" spans="1:5" x14ac:dyDescent="0.25">
      <c r="A11099" s="22"/>
      <c r="B11099" s="23"/>
      <c r="C11099" s="23"/>
      <c r="D11099" s="23"/>
      <c r="E11099" s="23"/>
    </row>
    <row r="11100" spans="1:5" x14ac:dyDescent="0.25">
      <c r="A11100" s="22"/>
      <c r="B11100" s="23"/>
      <c r="C11100" s="23"/>
      <c r="D11100" s="23"/>
      <c r="E11100" s="23"/>
    </row>
    <row r="11101" spans="1:5" x14ac:dyDescent="0.25">
      <c r="A11101" s="22"/>
      <c r="B11101" s="23"/>
      <c r="C11101" s="23"/>
      <c r="D11101" s="23"/>
      <c r="E11101" s="23"/>
    </row>
    <row r="11102" spans="1:5" x14ac:dyDescent="0.25">
      <c r="A11102" s="22"/>
      <c r="B11102" s="23"/>
      <c r="C11102" s="23"/>
      <c r="D11102" s="23"/>
      <c r="E11102" s="23"/>
    </row>
    <row r="11103" spans="1:5" x14ac:dyDescent="0.25">
      <c r="A11103" s="22"/>
      <c r="B11103" s="23"/>
      <c r="C11103" s="23"/>
      <c r="D11103" s="23"/>
      <c r="E11103" s="23"/>
    </row>
    <row r="11104" spans="1:5" x14ac:dyDescent="0.25">
      <c r="A11104" s="22"/>
      <c r="B11104" s="23"/>
      <c r="C11104" s="23"/>
      <c r="D11104" s="23"/>
      <c r="E11104" s="23"/>
    </row>
    <row r="11105" spans="1:5" x14ac:dyDescent="0.25">
      <c r="A11105" s="22"/>
      <c r="B11105" s="23"/>
      <c r="C11105" s="23"/>
      <c r="D11105" s="23"/>
      <c r="E11105" s="23"/>
    </row>
    <row r="11106" spans="1:5" x14ac:dyDescent="0.25">
      <c r="A11106" s="22"/>
      <c r="B11106" s="23"/>
      <c r="C11106" s="23"/>
      <c r="D11106" s="23"/>
      <c r="E11106" s="23"/>
    </row>
    <row r="11107" spans="1:5" x14ac:dyDescent="0.25">
      <c r="A11107" s="22"/>
      <c r="B11107" s="23"/>
      <c r="C11107" s="23"/>
      <c r="D11107" s="23"/>
      <c r="E11107" s="23"/>
    </row>
    <row r="11108" spans="1:5" x14ac:dyDescent="0.25">
      <c r="A11108" s="22"/>
      <c r="B11108" s="23"/>
      <c r="C11108" s="23"/>
      <c r="D11108" s="23"/>
      <c r="E11108" s="23"/>
    </row>
    <row r="11109" spans="1:5" x14ac:dyDescent="0.25">
      <c r="A11109" s="22"/>
      <c r="B11109" s="23"/>
      <c r="C11109" s="23"/>
      <c r="D11109" s="23"/>
      <c r="E11109" s="23"/>
    </row>
    <row r="11110" spans="1:5" x14ac:dyDescent="0.25">
      <c r="A11110" s="22"/>
      <c r="B11110" s="23"/>
      <c r="C11110" s="23"/>
      <c r="D11110" s="23"/>
      <c r="E11110" s="23"/>
    </row>
    <row r="11111" spans="1:5" x14ac:dyDescent="0.25">
      <c r="A11111" s="22"/>
      <c r="B11111" s="23"/>
      <c r="C11111" s="23"/>
      <c r="D11111" s="23"/>
      <c r="E11111" s="23"/>
    </row>
    <row r="11112" spans="1:5" x14ac:dyDescent="0.25">
      <c r="A11112" s="22"/>
      <c r="B11112" s="23"/>
      <c r="C11112" s="23"/>
      <c r="D11112" s="23"/>
      <c r="E11112" s="23"/>
    </row>
    <row r="11113" spans="1:5" x14ac:dyDescent="0.25">
      <c r="A11113" s="22"/>
      <c r="B11113" s="23"/>
      <c r="C11113" s="23"/>
      <c r="D11113" s="23"/>
      <c r="E11113" s="23"/>
    </row>
    <row r="11114" spans="1:5" x14ac:dyDescent="0.25">
      <c r="A11114" s="22"/>
      <c r="B11114" s="23"/>
      <c r="C11114" s="23"/>
      <c r="D11114" s="23"/>
      <c r="E11114" s="23"/>
    </row>
    <row r="11115" spans="1:5" x14ac:dyDescent="0.25">
      <c r="A11115" s="22"/>
      <c r="B11115" s="23"/>
      <c r="C11115" s="23"/>
      <c r="D11115" s="23"/>
      <c r="E11115" s="23"/>
    </row>
    <row r="11116" spans="1:5" x14ac:dyDescent="0.25">
      <c r="A11116" s="22"/>
      <c r="B11116" s="23"/>
      <c r="C11116" s="23"/>
      <c r="D11116" s="23"/>
      <c r="E11116" s="23"/>
    </row>
    <row r="11117" spans="1:5" x14ac:dyDescent="0.25">
      <c r="A11117" s="22"/>
      <c r="B11117" s="23"/>
      <c r="C11117" s="23"/>
      <c r="D11117" s="23"/>
      <c r="E11117" s="23"/>
    </row>
    <row r="11118" spans="1:5" x14ac:dyDescent="0.25">
      <c r="A11118" s="22"/>
      <c r="B11118" s="23"/>
      <c r="C11118" s="23"/>
      <c r="D11118" s="23"/>
      <c r="E11118" s="23"/>
    </row>
    <row r="11119" spans="1:5" x14ac:dyDescent="0.25">
      <c r="A11119" s="22"/>
      <c r="B11119" s="23"/>
      <c r="C11119" s="23"/>
      <c r="D11119" s="23"/>
      <c r="E11119" s="23"/>
    </row>
    <row r="11120" spans="1:5" x14ac:dyDescent="0.25">
      <c r="A11120" s="22"/>
      <c r="B11120" s="23"/>
      <c r="C11120" s="23"/>
      <c r="D11120" s="23"/>
      <c r="E11120" s="23"/>
    </row>
    <row r="11121" spans="1:5" x14ac:dyDescent="0.25">
      <c r="A11121" s="22"/>
      <c r="B11121" s="23"/>
      <c r="C11121" s="23"/>
      <c r="D11121" s="23"/>
      <c r="E11121" s="23"/>
    </row>
    <row r="11122" spans="1:5" x14ac:dyDescent="0.25">
      <c r="A11122" s="22"/>
      <c r="B11122" s="23"/>
      <c r="C11122" s="23"/>
      <c r="D11122" s="23"/>
      <c r="E11122" s="23"/>
    </row>
    <row r="11123" spans="1:5" x14ac:dyDescent="0.25">
      <c r="A11123" s="22"/>
      <c r="B11123" s="23"/>
      <c r="C11123" s="23"/>
      <c r="D11123" s="23"/>
      <c r="E11123" s="23"/>
    </row>
    <row r="11124" spans="1:5" x14ac:dyDescent="0.25">
      <c r="A11124" s="22"/>
      <c r="B11124" s="23"/>
      <c r="C11124" s="23"/>
      <c r="D11124" s="23"/>
      <c r="E11124" s="23"/>
    </row>
    <row r="11125" spans="1:5" x14ac:dyDescent="0.25">
      <c r="A11125" s="22"/>
      <c r="B11125" s="23"/>
      <c r="C11125" s="23"/>
      <c r="D11125" s="23"/>
      <c r="E11125" s="23"/>
    </row>
    <row r="11126" spans="1:5" x14ac:dyDescent="0.25">
      <c r="A11126" s="22"/>
      <c r="B11126" s="23"/>
      <c r="C11126" s="23"/>
      <c r="D11126" s="23"/>
      <c r="E11126" s="23"/>
    </row>
    <row r="11127" spans="1:5" x14ac:dyDescent="0.25">
      <c r="A11127" s="22"/>
      <c r="B11127" s="23"/>
      <c r="C11127" s="23"/>
      <c r="D11127" s="23"/>
      <c r="E11127" s="23"/>
    </row>
    <row r="11128" spans="1:5" x14ac:dyDescent="0.25">
      <c r="A11128" s="22"/>
      <c r="B11128" s="23"/>
      <c r="C11128" s="23"/>
      <c r="D11128" s="23"/>
      <c r="E11128" s="23"/>
    </row>
    <row r="11129" spans="1:5" x14ac:dyDescent="0.25">
      <c r="A11129" s="22"/>
      <c r="B11129" s="23"/>
      <c r="C11129" s="23"/>
      <c r="D11129" s="23"/>
      <c r="E11129" s="23"/>
    </row>
    <row r="11130" spans="1:5" x14ac:dyDescent="0.25">
      <c r="A11130" s="22"/>
      <c r="B11130" s="23"/>
      <c r="C11130" s="23"/>
      <c r="D11130" s="23"/>
      <c r="E11130" s="23"/>
    </row>
    <row r="11131" spans="1:5" x14ac:dyDescent="0.25">
      <c r="A11131" s="22"/>
      <c r="B11131" s="23"/>
      <c r="C11131" s="23"/>
      <c r="D11131" s="23"/>
      <c r="E11131" s="23"/>
    </row>
    <row r="11132" spans="1:5" x14ac:dyDescent="0.25">
      <c r="A11132" s="22"/>
      <c r="B11132" s="23"/>
      <c r="C11132" s="23"/>
      <c r="D11132" s="23"/>
      <c r="E11132" s="23"/>
    </row>
    <row r="11133" spans="1:5" x14ac:dyDescent="0.25">
      <c r="A11133" s="22"/>
      <c r="B11133" s="23"/>
      <c r="C11133" s="23"/>
      <c r="D11133" s="23"/>
      <c r="E11133" s="23"/>
    </row>
    <row r="11134" spans="1:5" x14ac:dyDescent="0.25">
      <c r="A11134" s="22"/>
      <c r="B11134" s="23"/>
      <c r="C11134" s="23"/>
      <c r="D11134" s="23"/>
      <c r="E11134" s="23"/>
    </row>
    <row r="11135" spans="1:5" x14ac:dyDescent="0.25">
      <c r="A11135" s="22"/>
      <c r="B11135" s="23"/>
      <c r="C11135" s="23"/>
      <c r="D11135" s="23"/>
      <c r="E11135" s="23"/>
    </row>
    <row r="11136" spans="1:5" x14ac:dyDescent="0.25">
      <c r="A11136" s="22"/>
      <c r="B11136" s="23"/>
      <c r="C11136" s="23"/>
      <c r="D11136" s="23"/>
      <c r="E11136" s="23"/>
    </row>
    <row r="11137" spans="1:5" x14ac:dyDescent="0.25">
      <c r="A11137" s="22"/>
      <c r="B11137" s="23"/>
      <c r="C11137" s="23"/>
      <c r="D11137" s="23"/>
      <c r="E11137" s="23"/>
    </row>
    <row r="11138" spans="1:5" x14ac:dyDescent="0.25">
      <c r="A11138" s="22"/>
      <c r="B11138" s="23"/>
      <c r="C11138" s="23"/>
      <c r="D11138" s="23"/>
      <c r="E11138" s="23"/>
    </row>
  </sheetData>
  <sheetProtection sheet="1" objects="1" scenarios="1"/>
  <mergeCells count="14">
    <mergeCell ref="E12:G12"/>
    <mergeCell ref="E4:G4"/>
    <mergeCell ref="E6:G6"/>
    <mergeCell ref="E8:G8"/>
    <mergeCell ref="E10:G10"/>
    <mergeCell ref="E11:G11"/>
    <mergeCell ref="A35:B35"/>
    <mergeCell ref="A34:B34"/>
    <mergeCell ref="A14:B14"/>
    <mergeCell ref="A4:C4"/>
    <mergeCell ref="A6:B6"/>
    <mergeCell ref="A8:B8"/>
    <mergeCell ref="A10:B10"/>
    <mergeCell ref="A12:B12"/>
  </mergeCells>
  <dataValidations count="2">
    <dataValidation type="list" allowBlank="1" showInputMessage="1" showErrorMessage="1" sqref="C184" xr:uid="{52FD7570-F96F-4916-B79F-9081DB97A6AD}">
      <formula1>$O$6:$O$9</formula1>
    </dataValidation>
    <dataValidation type="list" allowBlank="1" showInputMessage="1" showErrorMessage="1" sqref="C12" xr:uid="{FF6F0E04-835F-4980-8988-6C3228184092}">
      <formula1>$O$4:$O$9</formula1>
    </dataValidation>
  </dataValidations>
  <hyperlinks>
    <hyperlink ref="E12" r:id="rId1" xr:uid="{C0EC4D88-84CC-4ED2-B2EA-0C1ECA51EE3C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Calculadora de Prestamo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 A</cp:lastModifiedBy>
  <dcterms:created xsi:type="dcterms:W3CDTF">2022-06-29T18:10:33Z</dcterms:created>
  <dcterms:modified xsi:type="dcterms:W3CDTF">2023-05-23T13:48:16Z</dcterms:modified>
</cp:coreProperties>
</file>