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99F3751-0350-4657-BE8E-C2F8E2194A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ujo de Caja Mensual" sheetId="1" r:id="rId1"/>
    <sheet name="PATRIMON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120" i="1"/>
  <c r="C120" i="1"/>
  <c r="C106" i="1"/>
  <c r="D7" i="1" s="1"/>
  <c r="B28" i="2"/>
  <c r="C6" i="1"/>
  <c r="D5" i="2"/>
  <c r="C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C78" i="1"/>
  <c r="C93" i="1"/>
  <c r="C69" i="1"/>
  <c r="C64" i="1"/>
  <c r="C58" i="1"/>
  <c r="C57" i="1"/>
  <c r="C32" i="1"/>
  <c r="C26" i="1"/>
  <c r="C18" i="1"/>
  <c r="C12" i="1"/>
  <c r="D5" i="1" l="1"/>
  <c r="D103" i="1"/>
  <c r="D64" i="1"/>
  <c r="D32" i="1"/>
  <c r="D6" i="1"/>
  <c r="D94" i="1"/>
  <c r="C87" i="1"/>
  <c r="D87" i="1" s="1"/>
  <c r="C43" i="1"/>
  <c r="C102" i="1" s="1"/>
  <c r="C107" i="1" s="1"/>
  <c r="D15" i="1"/>
  <c r="D18" i="1"/>
  <c r="D10" i="1"/>
  <c r="D24" i="1"/>
  <c r="D57" i="1"/>
  <c r="D90" i="1"/>
  <c r="D12" i="1"/>
  <c r="D58" i="1"/>
  <c r="D78" i="1"/>
  <c r="D98" i="1"/>
  <c r="D19" i="1"/>
  <c r="D23" i="1"/>
  <c r="D33" i="1"/>
  <c r="D41" i="1"/>
  <c r="D49" i="1"/>
  <c r="D53" i="1"/>
  <c r="D61" i="1"/>
  <c r="D69" i="1"/>
  <c r="D77" i="1"/>
  <c r="D81" i="1"/>
  <c r="D89" i="1"/>
  <c r="D11" i="1"/>
  <c r="D16" i="1"/>
  <c r="D95" i="1"/>
  <c r="D99" i="1"/>
  <c r="D8" i="1"/>
  <c r="D17" i="1"/>
  <c r="D92" i="1"/>
  <c r="D96" i="1"/>
  <c r="D100" i="1"/>
  <c r="D13" i="1"/>
  <c r="D21" i="1"/>
  <c r="D27" i="1"/>
  <c r="D31" i="1"/>
  <c r="D35" i="1"/>
  <c r="D39" i="1"/>
  <c r="D47" i="1"/>
  <c r="D51" i="1"/>
  <c r="D55" i="1"/>
  <c r="D59" i="1"/>
  <c r="D63" i="1"/>
  <c r="D67" i="1"/>
  <c r="D71" i="1"/>
  <c r="D75" i="1"/>
  <c r="D79" i="1"/>
  <c r="D83" i="1"/>
  <c r="D104" i="1"/>
  <c r="D9" i="1"/>
  <c r="D14" i="1"/>
  <c r="D93" i="1"/>
  <c r="D97" i="1"/>
  <c r="D101" i="1"/>
  <c r="D22" i="1"/>
  <c r="D28" i="1"/>
  <c r="D36" i="1"/>
  <c r="D40" i="1"/>
  <c r="D44" i="1"/>
  <c r="D48" i="1"/>
  <c r="D52" i="1"/>
  <c r="D56" i="1"/>
  <c r="D60" i="1"/>
  <c r="D68" i="1"/>
  <c r="D72" i="1"/>
  <c r="D76" i="1"/>
  <c r="D80" i="1"/>
  <c r="D84" i="1"/>
  <c r="D88" i="1"/>
  <c r="D105" i="1"/>
  <c r="D29" i="1"/>
  <c r="D37" i="1"/>
  <c r="D45" i="1"/>
  <c r="D65" i="1"/>
  <c r="D73" i="1"/>
  <c r="D85" i="1"/>
  <c r="D26" i="1"/>
  <c r="D91" i="1"/>
  <c r="D20" i="1"/>
  <c r="D25" i="1"/>
  <c r="D30" i="1"/>
  <c r="D34" i="1"/>
  <c r="D38" i="1"/>
  <c r="D42" i="1"/>
  <c r="D46" i="1"/>
  <c r="D50" i="1"/>
  <c r="D54" i="1"/>
  <c r="D62" i="1"/>
  <c r="D66" i="1"/>
  <c r="D70" i="1"/>
  <c r="D74" i="1"/>
  <c r="D82" i="1"/>
  <c r="D86" i="1"/>
  <c r="D28" i="2"/>
  <c r="D121" i="1" l="1"/>
  <c r="C121" i="1"/>
  <c r="C123" i="1" s="1"/>
  <c r="D107" i="1"/>
  <c r="D43" i="1"/>
  <c r="D102" i="1"/>
</calcChain>
</file>

<file path=xl/sharedStrings.xml><?xml version="1.0" encoding="utf-8"?>
<sst xmlns="http://schemas.openxmlformats.org/spreadsheetml/2006/main" count="156" uniqueCount="128">
  <si>
    <t>DETALLE</t>
  </si>
  <si>
    <t>SUBTOTAL</t>
  </si>
  <si>
    <t>TOTAL</t>
  </si>
  <si>
    <t>% DE INGRESOS</t>
  </si>
  <si>
    <t>GASTOS DEL INMUEBLE 1</t>
  </si>
  <si>
    <t>HIPOTECA</t>
  </si>
  <si>
    <t>IMPUESTOS</t>
  </si>
  <si>
    <t>ADMINISTRACIÓN</t>
  </si>
  <si>
    <t>MANTENIMIENTO</t>
  </si>
  <si>
    <t>OTROS</t>
  </si>
  <si>
    <t>GASTOS DEL INMUEBLE 2</t>
  </si>
  <si>
    <t>SERVICIOS</t>
  </si>
  <si>
    <t>ELECTRICIDAD</t>
  </si>
  <si>
    <t>AGUA</t>
  </si>
  <si>
    <t>GAS</t>
  </si>
  <si>
    <t>TELEFONOS</t>
  </si>
  <si>
    <t>APP O SUSCRIPCIONES</t>
  </si>
  <si>
    <t>INTERNET / TV</t>
  </si>
  <si>
    <t>ALIMENTACIÓN</t>
  </si>
  <si>
    <t>RESTAURANTES</t>
  </si>
  <si>
    <t>GASTOS DIARIOS CAFÉ/MERIENDA</t>
  </si>
  <si>
    <t>TRANSPORTE</t>
  </si>
  <si>
    <t>BUSES/TRENES</t>
  </si>
  <si>
    <t>CUOTA AUTOMÓVIL 1</t>
  </si>
  <si>
    <t>CUOTA AUTOMÓVIL 2</t>
  </si>
  <si>
    <t>PEAJES</t>
  </si>
  <si>
    <t>SEGUROS</t>
  </si>
  <si>
    <t>HIJOS</t>
  </si>
  <si>
    <t>MATRÍCULAS ESCOLARES</t>
  </si>
  <si>
    <t>ACTIVIDADES EXTRA</t>
  </si>
  <si>
    <t>ÚTILES ESCOLARES</t>
  </si>
  <si>
    <t>REGALOS Y FIESTAS</t>
  </si>
  <si>
    <t>TERAPIAS/OTROS</t>
  </si>
  <si>
    <t>AYUDA DOMÉSTICA</t>
  </si>
  <si>
    <t>TRANSPORTE ESCOLAR</t>
  </si>
  <si>
    <t>VIAJES ESCOLARES</t>
  </si>
  <si>
    <t>EDUCACIÓN ADULTOS</t>
  </si>
  <si>
    <t>SALUD</t>
  </si>
  <si>
    <t>SEGURO MÉDICO</t>
  </si>
  <si>
    <t>MEDICINAS</t>
  </si>
  <si>
    <t>PAGOS NO CUBIERTOS POR SEGURO</t>
  </si>
  <si>
    <t>MASCOTAS</t>
  </si>
  <si>
    <t>SEGURO</t>
  </si>
  <si>
    <t>COMIDA</t>
  </si>
  <si>
    <t>CUIDADOS</t>
  </si>
  <si>
    <t>VESTUARIO</t>
  </si>
  <si>
    <t>UNIFORMES HIJOS</t>
  </si>
  <si>
    <t>IMPLEMENTOS DEPORTIVOS</t>
  </si>
  <si>
    <t>SALÓN DE BELLEZA</t>
  </si>
  <si>
    <t>PELUQUERÍA</t>
  </si>
  <si>
    <t>COSMÉTICOS</t>
  </si>
  <si>
    <t>OTROS GASTOS</t>
  </si>
  <si>
    <t xml:space="preserve">REGALOS </t>
  </si>
  <si>
    <t>FIESTAS Y CELEBRACIONES</t>
  </si>
  <si>
    <t>VACACIONES</t>
  </si>
  <si>
    <t>SALIDAS FIN DE SEMANA</t>
  </si>
  <si>
    <t>DONACIONES</t>
  </si>
  <si>
    <t>HOBBIES/PASATIEMPOS</t>
  </si>
  <si>
    <t>OTROS SEGUROS</t>
  </si>
  <si>
    <t>SEGURO DE VIDA</t>
  </si>
  <si>
    <t>DEUDAS</t>
  </si>
  <si>
    <t>TARJETA DE CRÉDITO 1</t>
  </si>
  <si>
    <t>TARJETA DE CRÉDITO 2</t>
  </si>
  <si>
    <t>TARJETA DE CRÉDITO 3</t>
  </si>
  <si>
    <t>OTRA DEUDA 1</t>
  </si>
  <si>
    <t>OTRA DEUDA 2</t>
  </si>
  <si>
    <t>DEUDAS FAMILIARES</t>
  </si>
  <si>
    <t>DEUDA CON LA EMPRESA</t>
  </si>
  <si>
    <t>CRÉDITO DE EDUCACIÓN</t>
  </si>
  <si>
    <t>TOTAL GASTOS MENSUALES</t>
  </si>
  <si>
    <t>INGRESOS MENSUALES ADULTO 1</t>
  </si>
  <si>
    <t>INGRESOS MENSUALES ADULTO 2</t>
  </si>
  <si>
    <t>OTROS INGRESOS</t>
  </si>
  <si>
    <t>TOTAL INGRESOS</t>
  </si>
  <si>
    <t>SALDO MENSUAL</t>
  </si>
  <si>
    <t>DESCRIPCIÓN</t>
  </si>
  <si>
    <t>VALOR</t>
  </si>
  <si>
    <t>DEUDA</t>
  </si>
  <si>
    <t>ACTIVO</t>
  </si>
  <si>
    <t>INMUEBLE 1</t>
  </si>
  <si>
    <t>INMUEBLE 2</t>
  </si>
  <si>
    <t>AUTOMÓVIL 1</t>
  </si>
  <si>
    <t>AUTOMÓVIL 2</t>
  </si>
  <si>
    <t>MUEBLES</t>
  </si>
  <si>
    <t>JOYAS</t>
  </si>
  <si>
    <t>ARTE</t>
  </si>
  <si>
    <t>EFECTIVO CUENTA 1</t>
  </si>
  <si>
    <t>EFECTIVO CUENTA 2</t>
  </si>
  <si>
    <t>DEUDAS POR COBRAR</t>
  </si>
  <si>
    <t xml:space="preserve">ACCIONES </t>
  </si>
  <si>
    <t>BONOS O TITULOS VALORES</t>
  </si>
  <si>
    <t>BONOS O DERECHOS LABORALES</t>
  </si>
  <si>
    <t>OTRA DEUDA 3</t>
  </si>
  <si>
    <r>
      <t xml:space="preserve">MÁS INFORMACIÓN: </t>
    </r>
    <r>
      <rPr>
        <sz val="10"/>
        <color theme="0"/>
        <rFont val="Montserrat"/>
      </rPr>
      <t>www.carlosdevis.com</t>
    </r>
  </si>
  <si>
    <t>SI TIENES ALGÚN INCONVENIENTE CONTACTA A :</t>
  </si>
  <si>
    <t>soporte@carlosdevis.com</t>
  </si>
  <si>
    <t>IMPUESTOS/TRIBUTOS</t>
  </si>
  <si>
    <t>COMPRAS DE SUPERMERCADO - COMESTIBLES</t>
  </si>
  <si>
    <t>CIGARRILLOS/TABACO/ALCOHOL</t>
  </si>
  <si>
    <t>COMBUSTIBLE/GASOLINA</t>
  </si>
  <si>
    <t>PARQUEADERO/ESTACIONAMIENTO/GARAGE/PARKING</t>
  </si>
  <si>
    <t>INSTITUCIONES EDUCATIVAS/COLEGIOS</t>
  </si>
  <si>
    <t>MENSUALIDAD HIJOS/MESADA</t>
  </si>
  <si>
    <t>PENSIÓN DE ALIMENTOS/CUOTA ALIMENTARIA HIJOS</t>
  </si>
  <si>
    <t>CLASES PARTICULARES/CLASES EXTRA O DE APOYO</t>
  </si>
  <si>
    <t>SEGURO ONDONTOLOGÍA/DENTISTA</t>
  </si>
  <si>
    <t>SEGURO FÚNEBRE</t>
  </si>
  <si>
    <t>FONDO DE RETIRO/CESANTÍA/JUBILACIÓN</t>
  </si>
  <si>
    <t>ROPA/VESTIMENTA  HIJOS</t>
  </si>
  <si>
    <t>ROPA /VESTIMENTA ADULTOS</t>
  </si>
  <si>
    <t>ODONTOLOGÍA/DENTISTA</t>
  </si>
  <si>
    <t>GASTOS VARIOS</t>
  </si>
  <si>
    <t>AYUDA A FAMILIARES O PARIENTES</t>
  </si>
  <si>
    <t>ARRIENDO 1</t>
  </si>
  <si>
    <t>ARRIENDO 2</t>
  </si>
  <si>
    <t>DIVIDENDOS</t>
  </si>
  <si>
    <t>OTROS PASIVOS</t>
  </si>
  <si>
    <t>SALARIO 1</t>
  </si>
  <si>
    <t>SALARIO 2</t>
  </si>
  <si>
    <t>OTROS INGRESOS ACTIVOS</t>
  </si>
  <si>
    <t>TOTALES</t>
  </si>
  <si>
    <t>DEFICIT MENSUAL GASTOS VS PASIVOS</t>
  </si>
  <si>
    <t>INGRESOS ACTIVOS</t>
  </si>
  <si>
    <t>INGRESOS PASIVOS</t>
  </si>
  <si>
    <t>AHORRO MENSUAL</t>
  </si>
  <si>
    <t>AHORROS TOTALES</t>
  </si>
  <si>
    <t>MESES SIN TRABAJAR</t>
  </si>
  <si>
    <t>HIPOTECA/ARRENDAMIENTO/RENTA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</si>
</sst>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6" x14ac:knownFonts="1">
    <font>
      <sz val="11"/>
      <color indexed="8"/>
      <name val="Arial"/>
    </font>
    <font>
      <sz val="11"/>
      <color indexed="8"/>
      <name val="Montserrat"/>
    </font>
    <font>
      <b/>
      <sz val="11"/>
      <color indexed="8"/>
      <name val="Montserrat"/>
    </font>
    <font>
      <b/>
      <sz val="11"/>
      <color indexed="9"/>
      <name val="Montserrat"/>
    </font>
    <font>
      <sz val="11"/>
      <color indexed="9"/>
      <name val="Montserrat"/>
    </font>
    <font>
      <b/>
      <sz val="11"/>
      <color theme="0"/>
      <name val="Montserrat"/>
    </font>
    <font>
      <sz val="10"/>
      <color indexed="8"/>
      <name val="Montserrat"/>
    </font>
    <font>
      <b/>
      <sz val="10"/>
      <color indexed="9"/>
      <name val="Montserrat"/>
    </font>
    <font>
      <b/>
      <sz val="12"/>
      <color theme="0"/>
      <name val="Montserrat"/>
    </font>
    <font>
      <sz val="11"/>
      <color theme="0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Montserrat"/>
    </font>
    <font>
      <sz val="10"/>
      <color theme="0"/>
      <name val="Montserrat"/>
    </font>
    <font>
      <b/>
      <sz val="9"/>
      <color theme="0"/>
      <name val="Montserrat"/>
    </font>
    <font>
      <sz val="11"/>
      <color theme="0"/>
      <name val="Montserrat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rgb="FF0E4470"/>
        <bgColor indexed="64"/>
      </patternFill>
    </fill>
    <fill>
      <patternFill patternType="solid">
        <fgColor rgb="FFABE2FF"/>
        <bgColor indexed="64"/>
      </patternFill>
    </fill>
    <fill>
      <patternFill patternType="solid">
        <fgColor rgb="FFD2F0FE"/>
        <bgColor indexed="64"/>
      </patternFill>
    </fill>
    <fill>
      <patternFill patternType="solid">
        <fgColor rgb="FF1A9AA7"/>
        <bgColor indexed="64"/>
      </patternFill>
    </fill>
    <fill>
      <patternFill patternType="solid">
        <fgColor rgb="FF27CCDD"/>
        <bgColor indexed="64"/>
      </patternFill>
    </fill>
  </fills>
  <borders count="6">
    <border>
      <left/>
      <right/>
      <top/>
      <bottom/>
      <diagonal/>
    </border>
    <border>
      <left style="thick">
        <color indexed="9"/>
      </left>
      <right/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medium">
        <color indexed="9"/>
      </right>
      <top style="thick">
        <color indexed="9"/>
      </top>
      <bottom style="thick">
        <color indexed="9"/>
      </bottom>
      <diagonal/>
    </border>
    <border>
      <left style="medium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</borders>
  <cellStyleXfs count="2">
    <xf numFmtId="0" fontId="0" fillId="0" borderId="0" applyNumberFormat="0" applyFill="0" applyBorder="0" applyProtection="0"/>
    <xf numFmtId="0" fontId="10" fillId="0" borderId="0" applyNumberFormat="0" applyFill="0" applyBorder="0" applyAlignment="0" applyProtection="0"/>
  </cellStyleXfs>
  <cellXfs count="43"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164" fontId="0" fillId="0" borderId="0" xfId="0" applyNumberFormat="1" applyFont="1" applyAlignment="1"/>
    <xf numFmtId="164" fontId="1" fillId="2" borderId="2" xfId="0" applyNumberFormat="1" applyFont="1" applyFill="1" applyBorder="1" applyAlignment="1"/>
    <xf numFmtId="164" fontId="2" fillId="2" borderId="2" xfId="0" applyNumberFormat="1" applyFont="1" applyFill="1" applyBorder="1" applyAlignment="1"/>
    <xf numFmtId="10" fontId="1" fillId="2" borderId="2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/>
    <xf numFmtId="164" fontId="5" fillId="3" borderId="2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3" fillId="3" borderId="1" xfId="0" applyNumberFormat="1" applyFont="1" applyFill="1" applyBorder="1" applyAlignment="1"/>
    <xf numFmtId="164" fontId="3" fillId="3" borderId="2" xfId="0" applyNumberFormat="1" applyFont="1" applyFill="1" applyBorder="1" applyAlignment="1"/>
    <xf numFmtId="10" fontId="3" fillId="3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/>
    <xf numFmtId="49" fontId="1" fillId="5" borderId="2" xfId="0" applyNumberFormat="1" applyFont="1" applyFill="1" applyBorder="1" applyAlignment="1"/>
    <xf numFmtId="164" fontId="1" fillId="5" borderId="2" xfId="0" applyNumberFormat="1" applyFont="1" applyFill="1" applyBorder="1" applyAlignment="1"/>
    <xf numFmtId="10" fontId="1" fillId="7" borderId="2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/>
    <xf numFmtId="49" fontId="2" fillId="5" borderId="4" xfId="0" applyNumberFormat="1" applyFont="1" applyFill="1" applyBorder="1" applyAlignment="1"/>
    <xf numFmtId="164" fontId="2" fillId="5" borderId="5" xfId="0" applyNumberFormat="1" applyFont="1" applyFill="1" applyBorder="1" applyAlignment="1"/>
    <xf numFmtId="164" fontId="4" fillId="3" borderId="3" xfId="0" applyNumberFormat="1" applyFont="1" applyFill="1" applyBorder="1" applyAlignment="1"/>
    <xf numFmtId="49" fontId="8" fillId="3" borderId="2" xfId="0" applyNumberFormat="1" applyFont="1" applyFill="1" applyBorder="1" applyAlignment="1"/>
    <xf numFmtId="49" fontId="8" fillId="3" borderId="2" xfId="0" applyNumberFormat="1" applyFont="1" applyFill="1" applyBorder="1" applyAlignment="1">
      <alignment horizontal="center"/>
    </xf>
    <xf numFmtId="49" fontId="7" fillId="3" borderId="2" xfId="0" applyNumberFormat="1" applyFont="1" applyFill="1" applyBorder="1" applyAlignment="1"/>
    <xf numFmtId="164" fontId="7" fillId="3" borderId="2" xfId="0" applyNumberFormat="1" applyFont="1" applyFill="1" applyBorder="1" applyAlignment="1"/>
    <xf numFmtId="0" fontId="9" fillId="0" borderId="0" xfId="0" applyNumberFormat="1" applyFont="1" applyFill="1" applyAlignment="1"/>
    <xf numFmtId="0" fontId="0" fillId="0" borderId="0" xfId="0" applyNumberFormat="1" applyFont="1" applyFill="1" applyAlignment="1"/>
    <xf numFmtId="49" fontId="6" fillId="5" borderId="2" xfId="0" applyNumberFormat="1" applyFont="1" applyFill="1" applyBorder="1" applyAlignment="1"/>
    <xf numFmtId="164" fontId="6" fillId="5" borderId="2" xfId="0" applyNumberFormat="1" applyFont="1" applyFill="1" applyBorder="1" applyAlignment="1"/>
    <xf numFmtId="49" fontId="6" fillId="4" borderId="2" xfId="0" applyNumberFormat="1" applyFont="1" applyFill="1" applyBorder="1" applyAlignment="1"/>
    <xf numFmtId="164" fontId="6" fillId="4" borderId="2" xfId="0" applyNumberFormat="1" applyFont="1" applyFill="1" applyBorder="1" applyAlignment="1"/>
    <xf numFmtId="0" fontId="11" fillId="0" borderId="0" xfId="1" applyFont="1" applyFill="1" applyAlignment="1">
      <alignment vertical="center"/>
    </xf>
    <xf numFmtId="0" fontId="0" fillId="0" borderId="0" xfId="0" applyFill="1" applyAlignment="1">
      <alignment vertical="center"/>
    </xf>
    <xf numFmtId="0" fontId="14" fillId="0" borderId="0" xfId="0" applyFont="1" applyFill="1" applyAlignment="1">
      <alignment vertical="center"/>
    </xf>
    <xf numFmtId="1" fontId="3" fillId="3" borderId="2" xfId="0" applyNumberFormat="1" applyFont="1" applyFill="1" applyBorder="1" applyAlignment="1"/>
    <xf numFmtId="164" fontId="1" fillId="0" borderId="2" xfId="0" applyNumberFormat="1" applyFont="1" applyFill="1" applyBorder="1" applyAlignment="1"/>
    <xf numFmtId="10" fontId="15" fillId="3" borderId="0" xfId="0" applyNumberFormat="1" applyFont="1" applyFill="1" applyAlignment="1"/>
    <xf numFmtId="0" fontId="0" fillId="0" borderId="0" xfId="0" applyNumberFormat="1" applyFont="1" applyAlignment="1">
      <alignment horizontal="center"/>
    </xf>
    <xf numFmtId="0" fontId="11" fillId="6" borderId="0" xfId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0CECE"/>
      <rgbColor rgb="FFDADADA"/>
      <rgbColor rgb="FFECECEC"/>
      <rgbColor rgb="FFC8C8C8"/>
      <rgbColor rgb="FFF2F2F2"/>
      <rgbColor rgb="FFAEABA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E4470"/>
      <color rgb="FFD2F0FE"/>
      <color rgb="FFABE2FF"/>
      <color rgb="FFFFFFFF"/>
      <color rgb="FF27CCDD"/>
      <color rgb="FF1A9A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1438790</xdr:colOff>
      <xdr:row>2</xdr:row>
      <xdr:rowOff>18495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53600" cy="58727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0</xdr:row>
      <xdr:rowOff>76200</xdr:rowOff>
    </xdr:from>
    <xdr:to>
      <xdr:col>0</xdr:col>
      <xdr:colOff>1973057</xdr:colOff>
      <xdr:row>1</xdr:row>
      <xdr:rowOff>267400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76200"/>
          <a:ext cx="1943100" cy="476950"/>
        </a:xfrm>
        <a:prstGeom prst="rect">
          <a:avLst/>
        </a:prstGeom>
      </xdr:spPr>
    </xdr:pic>
    <xdr:clientData/>
  </xdr:twoCellAnchor>
  <xdr:oneCellAnchor>
    <xdr:from>
      <xdr:col>1</xdr:col>
      <xdr:colOff>1390650</xdr:colOff>
      <xdr:row>0</xdr:row>
      <xdr:rowOff>200025</xdr:rowOff>
    </xdr:from>
    <xdr:ext cx="2923619" cy="342464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19575" y="200025"/>
          <a:ext cx="2923619" cy="34246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600" b="1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Montserrat" panose="00000500000000000000" pitchFamily="2" charset="0"/>
              <a:ea typeface="Calibri"/>
              <a:cs typeface="Calibri"/>
              <a:sym typeface="Calibri"/>
            </a:rPr>
            <a:t>FLUJO DE CAJA MENSUAL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11003</xdr:colOff>
      <xdr:row>2</xdr:row>
      <xdr:rowOff>19130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07696" cy="593471"/>
        </a:xfrm>
        <a:prstGeom prst="rect">
          <a:avLst/>
        </a:prstGeom>
      </xdr:spPr>
    </xdr:pic>
    <xdr:clientData/>
  </xdr:twoCellAnchor>
  <xdr:twoCellAnchor editAs="oneCell">
    <xdr:from>
      <xdr:col>0</xdr:col>
      <xdr:colOff>16566</xdr:colOff>
      <xdr:row>0</xdr:row>
      <xdr:rowOff>91109</xdr:rowOff>
    </xdr:from>
    <xdr:to>
      <xdr:col>0</xdr:col>
      <xdr:colOff>1894899</xdr:colOff>
      <xdr:row>1</xdr:row>
      <xdr:rowOff>258882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6" y="91109"/>
          <a:ext cx="1875610" cy="460384"/>
        </a:xfrm>
        <a:prstGeom prst="rect">
          <a:avLst/>
        </a:prstGeom>
      </xdr:spPr>
    </xdr:pic>
    <xdr:clientData/>
  </xdr:twoCellAnchor>
  <xdr:oneCellAnchor>
    <xdr:from>
      <xdr:col>1</xdr:col>
      <xdr:colOff>1167847</xdr:colOff>
      <xdr:row>0</xdr:row>
      <xdr:rowOff>214933</xdr:rowOff>
    </xdr:from>
    <xdr:ext cx="2544028" cy="342464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172238" y="214933"/>
          <a:ext cx="2544028" cy="34246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none" lIns="45719" tIns="45719" rIns="45719" bIns="45719" numCol="1" spcCol="38100" rtlCol="0" anchor="t">
          <a:spAutoFit/>
        </a:bodyPr>
        <a:lstStyle/>
        <a:p>
          <a:pPr marL="0" marR="0" indent="0" algn="l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600" b="1" i="0" u="none" strike="noStrike" cap="none" spc="0" normalizeH="0" baseline="0">
              <a:ln>
                <a:noFill/>
              </a:ln>
              <a:solidFill>
                <a:schemeClr val="bg1"/>
              </a:solidFill>
              <a:effectLst/>
              <a:uFillTx/>
              <a:latin typeface="Montserrat" panose="00000500000000000000" pitchFamily="2" charset="0"/>
              <a:ea typeface="Calibri"/>
              <a:cs typeface="Calibri"/>
              <a:sym typeface="Calibri"/>
            </a:rPr>
            <a:t>PLANILLA DE ACTIVOS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porte@carlosdevis.com" TargetMode="External"/><Relationship Id="rId1" Type="http://schemas.openxmlformats.org/officeDocument/2006/relationships/hyperlink" Target="https://carlosdevis.com/" TargetMode="External"/><Relationship Id="rId5" Type="http://schemas.openxmlformats.org/officeDocument/2006/relationships/image" Target="../media/image1.png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2.xml"/><Relationship Id="rId1" Type="http://schemas.openxmlformats.org/officeDocument/2006/relationships/hyperlink" Target="mailto:soporte@carlosdev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24"/>
  <sheetViews>
    <sheetView showGridLines="0" tabSelected="1" zoomScale="62" zoomScaleNormal="62" workbookViewId="0">
      <selection activeCell="C125" sqref="C125"/>
    </sheetView>
  </sheetViews>
  <sheetFormatPr baseColWidth="10" defaultColWidth="12.625" defaultRowHeight="15" customHeight="1" x14ac:dyDescent="0.2"/>
  <cols>
    <col min="1" max="1" width="60.75" style="1" customWidth="1"/>
    <col min="2" max="2" width="24.5" style="3" customWidth="1"/>
    <col min="3" max="3" width="23.75" style="3" customWidth="1"/>
    <col min="4" max="4" width="22.375" style="1" customWidth="1"/>
    <col min="5" max="6" width="10" style="1" customWidth="1"/>
    <col min="7" max="9" width="9.375" style="1" customWidth="1"/>
    <col min="10" max="256" width="12.625" style="1" customWidth="1"/>
  </cols>
  <sheetData>
    <row r="1" spans="1:256" ht="22.5" customHeight="1" x14ac:dyDescent="0.2">
      <c r="A1" s="37"/>
      <c r="B1" s="37"/>
      <c r="C1" s="37"/>
      <c r="D1" s="3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22.5" customHeight="1" x14ac:dyDescent="0.2">
      <c r="A2" s="37"/>
      <c r="B2" s="37"/>
      <c r="C2" s="37"/>
      <c r="D2" s="3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ht="22.5" customHeight="1" thickBot="1" x14ac:dyDescent="0.25">
      <c r="A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</row>
    <row r="4" spans="1:256" ht="18.75" customHeight="1" thickTop="1" thickBot="1" x14ac:dyDescent="0.4">
      <c r="A4" s="7" t="s">
        <v>0</v>
      </c>
      <c r="B4" s="8" t="s">
        <v>1</v>
      </c>
      <c r="C4" s="8" t="s">
        <v>2</v>
      </c>
      <c r="D4" s="9" t="s">
        <v>3</v>
      </c>
      <c r="E4" s="2"/>
      <c r="F4" s="2"/>
      <c r="G4" s="2"/>
      <c r="H4" s="2"/>
      <c r="I4" s="2"/>
      <c r="J4" s="2"/>
    </row>
    <row r="5" spans="1:256" ht="18.75" customHeight="1" thickTop="1" thickBot="1" x14ac:dyDescent="0.4">
      <c r="A5" s="10" t="s">
        <v>124</v>
      </c>
      <c r="B5" s="17">
        <v>2000</v>
      </c>
      <c r="C5" s="11">
        <f>B5</f>
        <v>2000</v>
      </c>
      <c r="D5" s="12">
        <f>C5/C106</f>
        <v>0.44444444444444442</v>
      </c>
      <c r="E5" s="2"/>
      <c r="F5" s="38" t="s">
        <v>93</v>
      </c>
      <c r="G5" s="38"/>
      <c r="H5" s="38"/>
      <c r="I5" s="38"/>
      <c r="J5" s="38"/>
      <c r="K5" s="38"/>
    </row>
    <row r="6" spans="1:256" ht="18.75" customHeight="1" thickTop="1" thickBot="1" x14ac:dyDescent="0.4">
      <c r="A6" s="10" t="s">
        <v>4</v>
      </c>
      <c r="B6" s="13"/>
      <c r="C6" s="11">
        <f>SUM(B7:B11)</f>
        <v>1250</v>
      </c>
      <c r="D6" s="12">
        <f>C6/C106</f>
        <v>0.27777777777777779</v>
      </c>
      <c r="E6" s="2"/>
      <c r="F6" s="39" t="s">
        <v>94</v>
      </c>
      <c r="G6" s="40"/>
      <c r="H6" s="40"/>
      <c r="I6" s="40"/>
      <c r="J6" s="40"/>
      <c r="K6" s="40"/>
    </row>
    <row r="7" spans="1:256" ht="18.75" customHeight="1" x14ac:dyDescent="0.35">
      <c r="A7" s="14" t="s">
        <v>127</v>
      </c>
      <c r="B7" s="15">
        <v>1000</v>
      </c>
      <c r="C7" s="4"/>
      <c r="D7" s="16">
        <f>B7/C106</f>
        <v>0.22222222222222221</v>
      </c>
      <c r="E7" s="2"/>
      <c r="F7" s="41" t="s">
        <v>95</v>
      </c>
      <c r="G7" s="42"/>
      <c r="H7" s="42"/>
      <c r="I7" s="42"/>
      <c r="J7" s="42"/>
      <c r="K7" s="42"/>
    </row>
    <row r="8" spans="1:256" ht="18.75" customHeight="1" x14ac:dyDescent="0.35">
      <c r="A8" s="14" t="s">
        <v>96</v>
      </c>
      <c r="B8" s="15">
        <v>50</v>
      </c>
      <c r="C8" s="4"/>
      <c r="D8" s="16">
        <f>B8/C106</f>
        <v>1.1111111111111112E-2</v>
      </c>
      <c r="E8" s="2"/>
      <c r="F8" s="2"/>
      <c r="G8" s="2"/>
      <c r="H8" s="2"/>
      <c r="I8" s="2"/>
      <c r="J8" s="2"/>
    </row>
    <row r="9" spans="1:256" ht="18.75" customHeight="1" x14ac:dyDescent="0.35">
      <c r="A9" s="14" t="s">
        <v>7</v>
      </c>
      <c r="B9" s="15"/>
      <c r="C9" s="4"/>
      <c r="D9" s="16">
        <f>B9/C106</f>
        <v>0</v>
      </c>
      <c r="E9" s="2"/>
      <c r="F9" s="2"/>
      <c r="G9" s="2"/>
      <c r="H9" s="2"/>
      <c r="I9" s="2"/>
      <c r="J9" s="2"/>
    </row>
    <row r="10" spans="1:256" ht="18.75" customHeight="1" x14ac:dyDescent="0.35">
      <c r="A10" s="14" t="s">
        <v>8</v>
      </c>
      <c r="B10" s="15">
        <v>200</v>
      </c>
      <c r="C10" s="4"/>
      <c r="D10" s="16">
        <f>B10/C106</f>
        <v>4.4444444444444446E-2</v>
      </c>
      <c r="E10" s="2"/>
      <c r="F10" s="2"/>
      <c r="G10" s="2"/>
      <c r="H10" s="2"/>
      <c r="I10" s="2"/>
      <c r="J10" s="2"/>
    </row>
    <row r="11" spans="1:256" ht="18.75" customHeight="1" x14ac:dyDescent="0.35">
      <c r="A11" s="14" t="s">
        <v>9</v>
      </c>
      <c r="B11" s="15"/>
      <c r="C11" s="4"/>
      <c r="D11" s="16">
        <f>B11/C106</f>
        <v>0</v>
      </c>
      <c r="E11" s="2"/>
      <c r="F11" s="2"/>
      <c r="G11" s="2"/>
      <c r="H11" s="2"/>
      <c r="I11" s="2"/>
      <c r="J11" s="2"/>
    </row>
    <row r="12" spans="1:256" ht="18.75" customHeight="1" x14ac:dyDescent="0.35">
      <c r="A12" s="10" t="s">
        <v>10</v>
      </c>
      <c r="B12" s="20"/>
      <c r="C12" s="11">
        <f>SUM(B13:B17)</f>
        <v>0</v>
      </c>
      <c r="D12" s="12">
        <f>C12/C106</f>
        <v>0</v>
      </c>
      <c r="E12" s="2"/>
      <c r="F12" s="2"/>
      <c r="G12" s="2"/>
      <c r="H12" s="2"/>
      <c r="I12" s="2"/>
      <c r="J12" s="2"/>
    </row>
    <row r="13" spans="1:256" ht="18.75" customHeight="1" x14ac:dyDescent="0.35">
      <c r="A13" s="14" t="s">
        <v>5</v>
      </c>
      <c r="B13" s="15"/>
      <c r="C13" s="4"/>
      <c r="D13" s="16">
        <f>B13/C106</f>
        <v>0</v>
      </c>
      <c r="E13" s="2"/>
      <c r="F13" s="2"/>
      <c r="G13" s="2"/>
      <c r="H13" s="2"/>
      <c r="I13" s="2"/>
      <c r="J13" s="2"/>
    </row>
    <row r="14" spans="1:256" ht="18.75" customHeight="1" x14ac:dyDescent="0.35">
      <c r="A14" s="14" t="s">
        <v>6</v>
      </c>
      <c r="B14" s="15"/>
      <c r="C14" s="4"/>
      <c r="D14" s="16">
        <f>B14/C106</f>
        <v>0</v>
      </c>
      <c r="E14" s="2"/>
      <c r="F14" s="2"/>
      <c r="G14" s="2"/>
      <c r="H14" s="2"/>
      <c r="I14" s="2"/>
      <c r="J14" s="2"/>
    </row>
    <row r="15" spans="1:256" ht="18.75" customHeight="1" x14ac:dyDescent="0.35">
      <c r="A15" s="14" t="s">
        <v>7</v>
      </c>
      <c r="B15" s="15"/>
      <c r="C15" s="4"/>
      <c r="D15" s="16">
        <f>B15/C106</f>
        <v>0</v>
      </c>
      <c r="E15" s="2"/>
      <c r="F15" s="2"/>
      <c r="G15" s="2"/>
      <c r="H15" s="2"/>
      <c r="I15" s="2"/>
      <c r="J15" s="2"/>
    </row>
    <row r="16" spans="1:256" ht="18.75" customHeight="1" x14ac:dyDescent="0.35">
      <c r="A16" s="14" t="s">
        <v>8</v>
      </c>
      <c r="B16" s="15"/>
      <c r="C16" s="4"/>
      <c r="D16" s="16">
        <f>B16/C106</f>
        <v>0</v>
      </c>
      <c r="E16" s="2"/>
      <c r="F16" s="2"/>
      <c r="G16" s="2"/>
      <c r="H16" s="2"/>
      <c r="I16" s="2"/>
      <c r="J16" s="2"/>
    </row>
    <row r="17" spans="1:10" ht="18.75" customHeight="1" x14ac:dyDescent="0.35">
      <c r="A17" s="14" t="s">
        <v>9</v>
      </c>
      <c r="B17" s="15"/>
      <c r="C17" s="4"/>
      <c r="D17" s="16">
        <f>B17/C106</f>
        <v>0</v>
      </c>
      <c r="E17" s="2"/>
      <c r="F17" s="2"/>
      <c r="G17" s="2"/>
      <c r="H17" s="2"/>
      <c r="I17" s="2"/>
      <c r="J17" s="2"/>
    </row>
    <row r="18" spans="1:10" ht="18.75" customHeight="1" x14ac:dyDescent="0.35">
      <c r="A18" s="10" t="s">
        <v>11</v>
      </c>
      <c r="B18" s="13"/>
      <c r="C18" s="11">
        <f>SUM(B19:B25)</f>
        <v>170</v>
      </c>
      <c r="D18" s="12">
        <f>C18/C106</f>
        <v>3.7777777777777778E-2</v>
      </c>
      <c r="E18" s="2"/>
      <c r="F18" s="2"/>
      <c r="G18" s="2"/>
      <c r="H18" s="2"/>
      <c r="I18" s="2"/>
      <c r="J18" s="2"/>
    </row>
    <row r="19" spans="1:10" ht="18.75" customHeight="1" x14ac:dyDescent="0.35">
      <c r="A19" s="14" t="s">
        <v>12</v>
      </c>
      <c r="B19" s="15">
        <v>70</v>
      </c>
      <c r="C19" s="4"/>
      <c r="D19" s="16">
        <f>B19/C106</f>
        <v>1.5555555555555555E-2</v>
      </c>
      <c r="E19" s="2"/>
      <c r="F19" s="2"/>
      <c r="G19" s="2"/>
      <c r="H19" s="2"/>
      <c r="I19" s="2"/>
      <c r="J19" s="2"/>
    </row>
    <row r="20" spans="1:10" ht="18.75" customHeight="1" x14ac:dyDescent="0.35">
      <c r="A20" s="14" t="s">
        <v>13</v>
      </c>
      <c r="B20" s="15">
        <v>100</v>
      </c>
      <c r="C20" s="4"/>
      <c r="D20" s="16">
        <f>B20/C106</f>
        <v>2.2222222222222223E-2</v>
      </c>
      <c r="E20" s="2"/>
      <c r="F20" s="2"/>
      <c r="G20" s="2"/>
      <c r="H20" s="2"/>
      <c r="I20" s="2"/>
      <c r="J20" s="2"/>
    </row>
    <row r="21" spans="1:10" ht="18.75" customHeight="1" x14ac:dyDescent="0.35">
      <c r="A21" s="14" t="s">
        <v>14</v>
      </c>
      <c r="B21" s="15"/>
      <c r="C21" s="4"/>
      <c r="D21" s="16">
        <f>B21/C106</f>
        <v>0</v>
      </c>
      <c r="E21" s="2"/>
      <c r="F21" s="2"/>
      <c r="G21" s="2"/>
      <c r="H21" s="2"/>
      <c r="I21" s="2"/>
      <c r="J21" s="2"/>
    </row>
    <row r="22" spans="1:10" ht="18.75" customHeight="1" x14ac:dyDescent="0.35">
      <c r="A22" s="14" t="s">
        <v>15</v>
      </c>
      <c r="B22" s="15"/>
      <c r="C22" s="4"/>
      <c r="D22" s="16">
        <f>B22/C106</f>
        <v>0</v>
      </c>
      <c r="E22" s="2"/>
      <c r="F22" s="2"/>
      <c r="G22" s="2"/>
      <c r="H22" s="2"/>
      <c r="I22" s="2"/>
      <c r="J22" s="2"/>
    </row>
    <row r="23" spans="1:10" ht="18.75" customHeight="1" x14ac:dyDescent="0.35">
      <c r="A23" s="14" t="s">
        <v>16</v>
      </c>
      <c r="B23" s="15"/>
      <c r="C23" s="4"/>
      <c r="D23" s="16">
        <f>B23/C106</f>
        <v>0</v>
      </c>
      <c r="E23" s="2"/>
      <c r="F23" s="2"/>
      <c r="G23" s="2"/>
      <c r="H23" s="2"/>
      <c r="I23" s="2"/>
      <c r="J23" s="2"/>
    </row>
    <row r="24" spans="1:10" ht="18.75" customHeight="1" x14ac:dyDescent="0.35">
      <c r="A24" s="14" t="s">
        <v>17</v>
      </c>
      <c r="B24" s="15"/>
      <c r="C24" s="4"/>
      <c r="D24" s="16">
        <f>B24/C106</f>
        <v>0</v>
      </c>
      <c r="E24" s="2"/>
      <c r="F24" s="2"/>
      <c r="G24" s="2"/>
      <c r="H24" s="2"/>
      <c r="I24" s="2"/>
      <c r="J24" s="2"/>
    </row>
    <row r="25" spans="1:10" ht="18.75" customHeight="1" x14ac:dyDescent="0.35">
      <c r="A25" s="14" t="s">
        <v>9</v>
      </c>
      <c r="B25" s="15"/>
      <c r="C25" s="4"/>
      <c r="D25" s="16">
        <f>B25/C106</f>
        <v>0</v>
      </c>
      <c r="E25" s="2"/>
      <c r="F25" s="2"/>
      <c r="G25" s="2"/>
      <c r="H25" s="2"/>
      <c r="I25" s="2"/>
      <c r="J25" s="2"/>
    </row>
    <row r="26" spans="1:10" ht="18.75" customHeight="1" x14ac:dyDescent="0.35">
      <c r="A26" s="10" t="s">
        <v>18</v>
      </c>
      <c r="B26" s="13"/>
      <c r="C26" s="11">
        <f>SUM(B27:B31)</f>
        <v>0</v>
      </c>
      <c r="D26" s="12">
        <f>C26/C106</f>
        <v>0</v>
      </c>
      <c r="E26" s="2"/>
      <c r="F26" s="2"/>
      <c r="G26" s="2"/>
      <c r="H26" s="2"/>
      <c r="I26" s="2"/>
      <c r="J26" s="2"/>
    </row>
    <row r="27" spans="1:10" ht="18.75" customHeight="1" x14ac:dyDescent="0.35">
      <c r="A27" s="14" t="s">
        <v>97</v>
      </c>
      <c r="B27" s="15"/>
      <c r="C27" s="4"/>
      <c r="D27" s="16">
        <f>B27/C106</f>
        <v>0</v>
      </c>
      <c r="E27" s="2"/>
      <c r="F27" s="2"/>
      <c r="G27" s="2"/>
      <c r="H27" s="2"/>
      <c r="I27" s="2"/>
      <c r="J27" s="2"/>
    </row>
    <row r="28" spans="1:10" ht="18.75" customHeight="1" x14ac:dyDescent="0.35">
      <c r="A28" s="14" t="s">
        <v>19</v>
      </c>
      <c r="B28" s="15"/>
      <c r="C28" s="4"/>
      <c r="D28" s="16">
        <f>B28/C106</f>
        <v>0</v>
      </c>
      <c r="E28" s="2"/>
      <c r="F28" s="2"/>
      <c r="G28" s="2"/>
      <c r="H28" s="2"/>
      <c r="I28" s="2"/>
      <c r="J28" s="2"/>
    </row>
    <row r="29" spans="1:10" ht="18.75" customHeight="1" x14ac:dyDescent="0.35">
      <c r="A29" s="14" t="s">
        <v>20</v>
      </c>
      <c r="B29" s="15"/>
      <c r="C29" s="4"/>
      <c r="D29" s="16">
        <f>B29/C106</f>
        <v>0</v>
      </c>
      <c r="E29" s="2"/>
      <c r="F29" s="2"/>
      <c r="G29" s="2"/>
      <c r="H29" s="2"/>
      <c r="I29" s="2"/>
      <c r="J29" s="2"/>
    </row>
    <row r="30" spans="1:10" ht="18.75" customHeight="1" x14ac:dyDescent="0.35">
      <c r="A30" s="14" t="s">
        <v>98</v>
      </c>
      <c r="B30" s="15"/>
      <c r="C30" s="4"/>
      <c r="D30" s="16">
        <f>B30/C106</f>
        <v>0</v>
      </c>
      <c r="E30" s="2"/>
      <c r="F30" s="2"/>
      <c r="G30" s="2"/>
      <c r="H30" s="2"/>
      <c r="I30" s="2"/>
      <c r="J30" s="2"/>
    </row>
    <row r="31" spans="1:10" ht="18.75" customHeight="1" x14ac:dyDescent="0.35">
      <c r="A31" s="14" t="s">
        <v>9</v>
      </c>
      <c r="B31" s="15"/>
      <c r="C31" s="4"/>
      <c r="D31" s="16">
        <f>B31/C106</f>
        <v>0</v>
      </c>
      <c r="E31" s="2"/>
      <c r="F31" s="2"/>
      <c r="G31" s="2"/>
      <c r="H31" s="2"/>
      <c r="I31" s="2"/>
      <c r="J31" s="2"/>
    </row>
    <row r="32" spans="1:10" ht="18.75" customHeight="1" x14ac:dyDescent="0.35">
      <c r="A32" s="10" t="s">
        <v>21</v>
      </c>
      <c r="B32" s="13"/>
      <c r="C32" s="11">
        <f>SUM(B33:B42)</f>
        <v>50</v>
      </c>
      <c r="D32" s="12">
        <f>C32/C106</f>
        <v>1.1111111111111112E-2</v>
      </c>
      <c r="E32" s="2"/>
      <c r="F32" s="2"/>
      <c r="G32" s="2"/>
      <c r="H32" s="2"/>
      <c r="I32" s="2"/>
      <c r="J32" s="2"/>
    </row>
    <row r="33" spans="1:10" ht="18.75" customHeight="1" x14ac:dyDescent="0.35">
      <c r="A33" s="14" t="s">
        <v>22</v>
      </c>
      <c r="B33" s="15"/>
      <c r="C33" s="4"/>
      <c r="D33" s="16">
        <f>B33/C106</f>
        <v>0</v>
      </c>
      <c r="E33" s="2"/>
      <c r="F33" s="2"/>
      <c r="G33" s="2"/>
      <c r="H33" s="2"/>
      <c r="I33" s="2"/>
      <c r="J33" s="2"/>
    </row>
    <row r="34" spans="1:10" ht="18.75" customHeight="1" x14ac:dyDescent="0.35">
      <c r="A34" s="14" t="s">
        <v>23</v>
      </c>
      <c r="B34" s="15"/>
      <c r="C34" s="4"/>
      <c r="D34" s="16">
        <f>B34/C106</f>
        <v>0</v>
      </c>
      <c r="E34" s="2"/>
      <c r="F34" s="2"/>
      <c r="G34" s="2"/>
      <c r="H34" s="2"/>
      <c r="I34" s="2"/>
      <c r="J34" s="2"/>
    </row>
    <row r="35" spans="1:10" ht="18.75" customHeight="1" x14ac:dyDescent="0.35">
      <c r="A35" s="14" t="s">
        <v>24</v>
      </c>
      <c r="B35" s="15"/>
      <c r="C35" s="4"/>
      <c r="D35" s="16">
        <f>B35/C106</f>
        <v>0</v>
      </c>
      <c r="E35" s="2"/>
      <c r="F35" s="2"/>
      <c r="G35" s="2"/>
      <c r="H35" s="2"/>
      <c r="I35" s="2"/>
      <c r="J35" s="2"/>
    </row>
    <row r="36" spans="1:10" ht="18.75" customHeight="1" x14ac:dyDescent="0.35">
      <c r="A36" s="14" t="s">
        <v>99</v>
      </c>
      <c r="B36" s="15">
        <v>50</v>
      </c>
      <c r="C36" s="4"/>
      <c r="D36" s="16">
        <f>B36/C106</f>
        <v>1.1111111111111112E-2</v>
      </c>
      <c r="E36" s="2"/>
      <c r="F36" s="2"/>
      <c r="G36" s="2"/>
      <c r="H36" s="2"/>
      <c r="I36" s="2"/>
      <c r="J36" s="2"/>
    </row>
    <row r="37" spans="1:10" ht="18.75" customHeight="1" x14ac:dyDescent="0.35">
      <c r="A37" s="14" t="s">
        <v>25</v>
      </c>
      <c r="B37" s="15"/>
      <c r="C37" s="4"/>
      <c r="D37" s="16">
        <f>B37/C106</f>
        <v>0</v>
      </c>
      <c r="E37" s="2"/>
      <c r="F37" s="2"/>
      <c r="G37" s="2"/>
      <c r="H37" s="2"/>
      <c r="I37" s="2"/>
      <c r="J37" s="2"/>
    </row>
    <row r="38" spans="1:10" ht="18.75" customHeight="1" x14ac:dyDescent="0.35">
      <c r="A38" s="14" t="s">
        <v>6</v>
      </c>
      <c r="B38" s="15"/>
      <c r="C38" s="4"/>
      <c r="D38" s="16">
        <f>B38/C106</f>
        <v>0</v>
      </c>
      <c r="E38" s="2"/>
      <c r="F38" s="2"/>
      <c r="G38" s="2"/>
      <c r="H38" s="2"/>
      <c r="I38" s="2"/>
      <c r="J38" s="2"/>
    </row>
    <row r="39" spans="1:10" ht="18.75" customHeight="1" x14ac:dyDescent="0.35">
      <c r="A39" s="14" t="s">
        <v>8</v>
      </c>
      <c r="B39" s="15"/>
      <c r="C39" s="4"/>
      <c r="D39" s="16">
        <f>B39/C106</f>
        <v>0</v>
      </c>
      <c r="E39" s="2"/>
      <c r="F39" s="2"/>
      <c r="G39" s="2"/>
      <c r="H39" s="2"/>
      <c r="I39" s="2"/>
      <c r="J39" s="2"/>
    </row>
    <row r="40" spans="1:10" ht="18.75" customHeight="1" x14ac:dyDescent="0.35">
      <c r="A40" s="14" t="s">
        <v>26</v>
      </c>
      <c r="B40" s="15"/>
      <c r="C40" s="4"/>
      <c r="D40" s="16">
        <f>B40/C106</f>
        <v>0</v>
      </c>
      <c r="E40" s="2"/>
      <c r="F40" s="2"/>
      <c r="G40" s="2"/>
      <c r="H40" s="2"/>
      <c r="I40" s="2"/>
      <c r="J40" s="2"/>
    </row>
    <row r="41" spans="1:10" ht="18.75" customHeight="1" x14ac:dyDescent="0.35">
      <c r="A41" s="14" t="s">
        <v>100</v>
      </c>
      <c r="B41" s="15"/>
      <c r="C41" s="4"/>
      <c r="D41" s="16">
        <f>B41/C106</f>
        <v>0</v>
      </c>
      <c r="E41" s="2"/>
      <c r="F41" s="2"/>
      <c r="G41" s="2"/>
      <c r="H41" s="2"/>
      <c r="I41" s="2"/>
      <c r="J41" s="2"/>
    </row>
    <row r="42" spans="1:10" ht="18.75" customHeight="1" x14ac:dyDescent="0.35">
      <c r="A42" s="14" t="s">
        <v>9</v>
      </c>
      <c r="B42" s="15"/>
      <c r="C42" s="4"/>
      <c r="D42" s="16">
        <f>B42/C106</f>
        <v>0</v>
      </c>
      <c r="E42" s="2"/>
      <c r="F42" s="2"/>
      <c r="G42" s="2"/>
      <c r="H42" s="2"/>
      <c r="I42" s="2"/>
      <c r="J42" s="2"/>
    </row>
    <row r="43" spans="1:10" ht="18.75" customHeight="1" x14ac:dyDescent="0.35">
      <c r="A43" s="10" t="s">
        <v>27</v>
      </c>
      <c r="B43" s="13"/>
      <c r="C43" s="11">
        <f>SUM(B44:B56)</f>
        <v>0</v>
      </c>
      <c r="D43" s="12">
        <f>C43/C106</f>
        <v>0</v>
      </c>
      <c r="E43" s="2"/>
      <c r="F43" s="2"/>
      <c r="G43" s="2"/>
      <c r="H43" s="2"/>
      <c r="I43" s="2"/>
      <c r="J43" s="2"/>
    </row>
    <row r="44" spans="1:10" ht="18.75" customHeight="1" x14ac:dyDescent="0.35">
      <c r="A44" s="14" t="s">
        <v>101</v>
      </c>
      <c r="B44" s="15"/>
      <c r="C44" s="4"/>
      <c r="D44" s="16">
        <f>B44/C106</f>
        <v>0</v>
      </c>
      <c r="E44" s="2"/>
      <c r="F44" s="2"/>
      <c r="G44" s="2"/>
      <c r="H44" s="2"/>
      <c r="I44" s="2"/>
      <c r="J44" s="2"/>
    </row>
    <row r="45" spans="1:10" ht="18.75" customHeight="1" x14ac:dyDescent="0.35">
      <c r="A45" s="14" t="s">
        <v>28</v>
      </c>
      <c r="B45" s="15"/>
      <c r="C45" s="4"/>
      <c r="D45" s="16">
        <f>B45/C106</f>
        <v>0</v>
      </c>
      <c r="E45" s="2"/>
      <c r="F45" s="2"/>
      <c r="G45" s="2"/>
      <c r="H45" s="2"/>
      <c r="I45" s="2"/>
      <c r="J45" s="2"/>
    </row>
    <row r="46" spans="1:10" ht="18.75" customHeight="1" x14ac:dyDescent="0.35">
      <c r="A46" s="14" t="s">
        <v>29</v>
      </c>
      <c r="B46" s="15"/>
      <c r="C46" s="4"/>
      <c r="D46" s="16">
        <f>B46/C106</f>
        <v>0</v>
      </c>
      <c r="E46" s="2"/>
      <c r="F46" s="2"/>
      <c r="G46" s="2"/>
      <c r="H46" s="2"/>
      <c r="I46" s="2"/>
      <c r="J46" s="2"/>
    </row>
    <row r="47" spans="1:10" ht="18.75" customHeight="1" x14ac:dyDescent="0.35">
      <c r="A47" s="14" t="s">
        <v>102</v>
      </c>
      <c r="B47" s="15"/>
      <c r="C47" s="4"/>
      <c r="D47" s="16">
        <f>B47/C106</f>
        <v>0</v>
      </c>
      <c r="E47" s="2"/>
      <c r="F47" s="2"/>
      <c r="G47" s="2"/>
      <c r="H47" s="2"/>
      <c r="I47" s="2"/>
      <c r="J47" s="2"/>
    </row>
    <row r="48" spans="1:10" ht="18.75" customHeight="1" x14ac:dyDescent="0.35">
      <c r="A48" s="14" t="s">
        <v>30</v>
      </c>
      <c r="B48" s="15"/>
      <c r="C48" s="4"/>
      <c r="D48" s="16">
        <f>B48/C106</f>
        <v>0</v>
      </c>
      <c r="E48" s="2"/>
      <c r="F48" s="2"/>
      <c r="G48" s="2"/>
      <c r="H48" s="2"/>
      <c r="I48" s="2"/>
      <c r="J48" s="2"/>
    </row>
    <row r="49" spans="1:10" ht="18.75" customHeight="1" x14ac:dyDescent="0.35">
      <c r="A49" s="14" t="s">
        <v>31</v>
      </c>
      <c r="B49" s="15"/>
      <c r="C49" s="4"/>
      <c r="D49" s="16">
        <f>B49/C106</f>
        <v>0</v>
      </c>
      <c r="E49" s="2"/>
      <c r="F49" s="2"/>
      <c r="G49" s="2"/>
      <c r="H49" s="2"/>
      <c r="I49" s="2"/>
      <c r="J49" s="2"/>
    </row>
    <row r="50" spans="1:10" ht="18.75" customHeight="1" x14ac:dyDescent="0.35">
      <c r="A50" s="14" t="s">
        <v>104</v>
      </c>
      <c r="B50" s="15"/>
      <c r="C50" s="4"/>
      <c r="D50" s="16">
        <f>B50/C106</f>
        <v>0</v>
      </c>
      <c r="E50" s="2"/>
      <c r="F50" s="2"/>
      <c r="G50" s="2"/>
      <c r="H50" s="2"/>
      <c r="I50" s="2"/>
      <c r="J50" s="2"/>
    </row>
    <row r="51" spans="1:10" ht="18.75" customHeight="1" x14ac:dyDescent="0.35">
      <c r="A51" s="14" t="s">
        <v>32</v>
      </c>
      <c r="B51" s="15"/>
      <c r="C51" s="4"/>
      <c r="D51" s="16">
        <f>B51/C106</f>
        <v>0</v>
      </c>
      <c r="E51" s="2"/>
      <c r="F51" s="2"/>
      <c r="G51" s="2"/>
      <c r="H51" s="2"/>
      <c r="I51" s="2"/>
      <c r="J51" s="2"/>
    </row>
    <row r="52" spans="1:10" ht="18.75" customHeight="1" x14ac:dyDescent="0.35">
      <c r="A52" s="14" t="s">
        <v>33</v>
      </c>
      <c r="B52" s="15"/>
      <c r="C52" s="4"/>
      <c r="D52" s="16">
        <f>B52/C106</f>
        <v>0</v>
      </c>
      <c r="E52" s="2"/>
      <c r="F52" s="2"/>
      <c r="G52" s="2"/>
      <c r="H52" s="2"/>
      <c r="I52" s="2"/>
      <c r="J52" s="2"/>
    </row>
    <row r="53" spans="1:10" ht="18.75" customHeight="1" thickTop="1" thickBot="1" x14ac:dyDescent="0.4">
      <c r="A53" s="14" t="s">
        <v>34</v>
      </c>
      <c r="B53" s="15"/>
      <c r="C53" s="4"/>
      <c r="D53" s="16">
        <f>B53/C106</f>
        <v>0</v>
      </c>
      <c r="E53" s="2"/>
      <c r="F53" s="2"/>
      <c r="G53" s="2"/>
      <c r="H53" s="2"/>
      <c r="I53" s="2"/>
      <c r="J53" s="2"/>
    </row>
    <row r="54" spans="1:10" ht="18.75" customHeight="1" thickTop="1" thickBot="1" x14ac:dyDescent="0.4">
      <c r="A54" s="14" t="s">
        <v>35</v>
      </c>
      <c r="B54" s="15"/>
      <c r="C54" s="4"/>
      <c r="D54" s="16">
        <f>B54/C106</f>
        <v>0</v>
      </c>
      <c r="E54" s="2"/>
      <c r="F54" s="2"/>
      <c r="G54" s="2"/>
      <c r="H54" s="2"/>
      <c r="I54" s="2"/>
      <c r="J54" s="2"/>
    </row>
    <row r="55" spans="1:10" ht="18.75" customHeight="1" thickTop="1" thickBot="1" x14ac:dyDescent="0.4">
      <c r="A55" s="14" t="s">
        <v>103</v>
      </c>
      <c r="B55" s="15"/>
      <c r="C55" s="4"/>
      <c r="D55" s="16">
        <f>B55/C106</f>
        <v>0</v>
      </c>
      <c r="E55" s="2"/>
      <c r="F55" s="2"/>
      <c r="G55" s="2"/>
      <c r="H55" s="2"/>
      <c r="I55" s="2"/>
      <c r="J55" s="2"/>
    </row>
    <row r="56" spans="1:10" ht="18.75" customHeight="1" thickTop="1" thickBot="1" x14ac:dyDescent="0.4">
      <c r="A56" s="14" t="s">
        <v>9</v>
      </c>
      <c r="B56" s="15"/>
      <c r="C56" s="4"/>
      <c r="D56" s="16">
        <f>B56/C106</f>
        <v>0</v>
      </c>
      <c r="E56" s="2"/>
      <c r="F56" s="2"/>
      <c r="G56" s="2"/>
      <c r="H56" s="2"/>
      <c r="I56" s="2"/>
      <c r="J56" s="2"/>
    </row>
    <row r="57" spans="1:10" ht="18.75" customHeight="1" x14ac:dyDescent="0.35">
      <c r="A57" s="10" t="s">
        <v>36</v>
      </c>
      <c r="B57" s="17"/>
      <c r="C57" s="11">
        <f>B57</f>
        <v>0</v>
      </c>
      <c r="D57" s="12">
        <f>C57/C106</f>
        <v>0</v>
      </c>
      <c r="E57" s="2"/>
      <c r="F57" s="2"/>
      <c r="G57" s="2"/>
      <c r="H57" s="2"/>
      <c r="I57" s="2"/>
      <c r="J57" s="2"/>
    </row>
    <row r="58" spans="1:10" ht="18.75" customHeight="1" x14ac:dyDescent="0.35">
      <c r="A58" s="10" t="s">
        <v>37</v>
      </c>
      <c r="B58" s="13"/>
      <c r="C58" s="11">
        <f>SUM(B59:B63)</f>
        <v>0</v>
      </c>
      <c r="D58" s="12">
        <f>C58/C106</f>
        <v>0</v>
      </c>
      <c r="E58" s="2"/>
      <c r="F58" s="2"/>
      <c r="G58" s="2"/>
      <c r="H58" s="2"/>
      <c r="I58" s="2"/>
      <c r="J58" s="2"/>
    </row>
    <row r="59" spans="1:10" ht="18.75" customHeight="1" x14ac:dyDescent="0.35">
      <c r="A59" s="14" t="s">
        <v>38</v>
      </c>
      <c r="B59" s="15"/>
      <c r="C59" s="4"/>
      <c r="D59" s="16">
        <f>B59/C106</f>
        <v>0</v>
      </c>
      <c r="E59" s="2"/>
      <c r="F59" s="2"/>
      <c r="G59" s="2"/>
      <c r="H59" s="2"/>
      <c r="I59" s="2"/>
      <c r="J59" s="2"/>
    </row>
    <row r="60" spans="1:10" ht="18.75" customHeight="1" x14ac:dyDescent="0.35">
      <c r="A60" s="14" t="s">
        <v>110</v>
      </c>
      <c r="B60" s="15"/>
      <c r="C60" s="4"/>
      <c r="D60" s="16">
        <f>B60/C106</f>
        <v>0</v>
      </c>
      <c r="E60" s="2"/>
      <c r="F60" s="2"/>
      <c r="G60" s="2"/>
      <c r="H60" s="2"/>
      <c r="I60" s="2"/>
      <c r="J60" s="2"/>
    </row>
    <row r="61" spans="1:10" ht="18.75" customHeight="1" x14ac:dyDescent="0.35">
      <c r="A61" s="14" t="s">
        <v>39</v>
      </c>
      <c r="B61" s="15"/>
      <c r="C61" s="4"/>
      <c r="D61" s="16">
        <f>B61/C106</f>
        <v>0</v>
      </c>
      <c r="E61" s="2"/>
      <c r="F61" s="2"/>
      <c r="G61" s="2"/>
      <c r="H61" s="2"/>
      <c r="I61" s="2"/>
      <c r="J61" s="2"/>
    </row>
    <row r="62" spans="1:10" ht="18.75" customHeight="1" x14ac:dyDescent="0.35">
      <c r="A62" s="14" t="s">
        <v>40</v>
      </c>
      <c r="B62" s="15"/>
      <c r="C62" s="4"/>
      <c r="D62" s="16">
        <f>B62/C106</f>
        <v>0</v>
      </c>
      <c r="E62" s="2"/>
      <c r="F62" s="2"/>
      <c r="G62" s="2"/>
      <c r="H62" s="2"/>
      <c r="I62" s="2"/>
      <c r="J62" s="2"/>
    </row>
    <row r="63" spans="1:10" ht="18.75" customHeight="1" x14ac:dyDescent="0.35">
      <c r="A63" s="14" t="s">
        <v>9</v>
      </c>
      <c r="B63" s="15"/>
      <c r="C63" s="4"/>
      <c r="D63" s="16">
        <f>B63/C106</f>
        <v>0</v>
      </c>
      <c r="E63" s="2"/>
      <c r="F63" s="2"/>
      <c r="G63" s="2"/>
      <c r="H63" s="2"/>
      <c r="I63" s="2"/>
      <c r="J63" s="2"/>
    </row>
    <row r="64" spans="1:10" ht="18.75" customHeight="1" x14ac:dyDescent="0.35">
      <c r="A64" s="10" t="s">
        <v>41</v>
      </c>
      <c r="B64" s="13"/>
      <c r="C64" s="11">
        <f>SUM(B65:B68)</f>
        <v>0</v>
      </c>
      <c r="D64" s="12">
        <f>C64/C106</f>
        <v>0</v>
      </c>
      <c r="E64" s="2"/>
      <c r="F64" s="2"/>
      <c r="G64" s="2"/>
      <c r="H64" s="2"/>
      <c r="I64" s="2"/>
      <c r="J64" s="2"/>
    </row>
    <row r="65" spans="1:10" ht="18.75" customHeight="1" x14ac:dyDescent="0.35">
      <c r="A65" s="14" t="s">
        <v>42</v>
      </c>
      <c r="B65" s="15"/>
      <c r="C65" s="4"/>
      <c r="D65" s="16">
        <f>B65/C106</f>
        <v>0</v>
      </c>
      <c r="E65" s="2"/>
      <c r="F65" s="2"/>
      <c r="G65" s="2"/>
      <c r="H65" s="2"/>
      <c r="I65" s="2"/>
      <c r="J65" s="2"/>
    </row>
    <row r="66" spans="1:10" ht="18.75" customHeight="1" x14ac:dyDescent="0.35">
      <c r="A66" s="14" t="s">
        <v>43</v>
      </c>
      <c r="B66" s="15"/>
      <c r="C66" s="4"/>
      <c r="D66" s="16">
        <f>B66/C106</f>
        <v>0</v>
      </c>
      <c r="E66" s="2"/>
      <c r="F66" s="2"/>
      <c r="G66" s="2"/>
      <c r="H66" s="2"/>
      <c r="I66" s="2"/>
      <c r="J66" s="2"/>
    </row>
    <row r="67" spans="1:10" ht="18.75" customHeight="1" x14ac:dyDescent="0.35">
      <c r="A67" s="14" t="s">
        <v>44</v>
      </c>
      <c r="B67" s="15"/>
      <c r="C67" s="4"/>
      <c r="D67" s="16">
        <f>B67/C106</f>
        <v>0</v>
      </c>
      <c r="E67" s="2"/>
      <c r="F67" s="2"/>
      <c r="G67" s="2"/>
      <c r="H67" s="2"/>
      <c r="I67" s="2"/>
      <c r="J67" s="2"/>
    </row>
    <row r="68" spans="1:10" ht="18.75" customHeight="1" x14ac:dyDescent="0.35">
      <c r="A68" s="14" t="s">
        <v>9</v>
      </c>
      <c r="B68" s="15"/>
      <c r="C68" s="4"/>
      <c r="D68" s="16">
        <f>B68/C106</f>
        <v>0</v>
      </c>
      <c r="E68" s="2"/>
      <c r="F68" s="2"/>
      <c r="G68" s="2"/>
      <c r="H68" s="2"/>
      <c r="I68" s="2"/>
      <c r="J68" s="2"/>
    </row>
    <row r="69" spans="1:10" ht="18.75" customHeight="1" x14ac:dyDescent="0.35">
      <c r="A69" s="10" t="s">
        <v>45</v>
      </c>
      <c r="B69" s="13"/>
      <c r="C69" s="11">
        <f>SUM(B70:B77)</f>
        <v>0</v>
      </c>
      <c r="D69" s="12">
        <f>C69/C106</f>
        <v>0</v>
      </c>
      <c r="E69" s="2"/>
      <c r="F69" s="2"/>
      <c r="G69" s="2"/>
      <c r="H69" s="2"/>
      <c r="I69" s="2"/>
      <c r="J69" s="2"/>
    </row>
    <row r="70" spans="1:10" ht="18.75" customHeight="1" x14ac:dyDescent="0.35">
      <c r="A70" s="14" t="s">
        <v>46</v>
      </c>
      <c r="B70" s="15"/>
      <c r="C70" s="4"/>
      <c r="D70" s="16">
        <f>B70/C106</f>
        <v>0</v>
      </c>
      <c r="E70" s="2"/>
      <c r="F70" s="2"/>
      <c r="G70" s="2"/>
      <c r="H70" s="2"/>
      <c r="I70" s="2"/>
      <c r="J70" s="2"/>
    </row>
    <row r="71" spans="1:10" ht="18.75" customHeight="1" x14ac:dyDescent="0.35">
      <c r="A71" s="14" t="s">
        <v>108</v>
      </c>
      <c r="B71" s="15"/>
      <c r="C71" s="4"/>
      <c r="D71" s="16">
        <f>B71/C106</f>
        <v>0</v>
      </c>
      <c r="E71" s="2"/>
      <c r="F71" s="2"/>
      <c r="G71" s="2"/>
      <c r="H71" s="2"/>
      <c r="I71" s="2"/>
      <c r="J71" s="2"/>
    </row>
    <row r="72" spans="1:10" ht="18.75" customHeight="1" x14ac:dyDescent="0.35">
      <c r="A72" s="14" t="s">
        <v>109</v>
      </c>
      <c r="B72" s="15"/>
      <c r="C72" s="4"/>
      <c r="D72" s="16">
        <f>B72/C106</f>
        <v>0</v>
      </c>
      <c r="E72" s="2"/>
      <c r="F72" s="2"/>
      <c r="G72" s="2"/>
      <c r="H72" s="2"/>
      <c r="I72" s="2"/>
      <c r="J72" s="2"/>
    </row>
    <row r="73" spans="1:10" ht="18.75" customHeight="1" x14ac:dyDescent="0.35">
      <c r="A73" s="14" t="s">
        <v>47</v>
      </c>
      <c r="B73" s="15"/>
      <c r="C73" s="4"/>
      <c r="D73" s="16">
        <f>B73/C106</f>
        <v>0</v>
      </c>
      <c r="E73" s="2"/>
      <c r="F73" s="2"/>
      <c r="G73" s="2"/>
      <c r="H73" s="2"/>
      <c r="I73" s="2"/>
      <c r="J73" s="2"/>
    </row>
    <row r="74" spans="1:10" ht="18.75" customHeight="1" x14ac:dyDescent="0.35">
      <c r="A74" s="14" t="s">
        <v>48</v>
      </c>
      <c r="B74" s="15"/>
      <c r="C74" s="4"/>
      <c r="D74" s="16">
        <f>B74/C106</f>
        <v>0</v>
      </c>
      <c r="E74" s="2"/>
      <c r="F74" s="2"/>
      <c r="G74" s="2"/>
      <c r="H74" s="2"/>
      <c r="I74" s="2"/>
      <c r="J74" s="2"/>
    </row>
    <row r="75" spans="1:10" ht="18.75" customHeight="1" x14ac:dyDescent="0.35">
      <c r="A75" s="14" t="s">
        <v>49</v>
      </c>
      <c r="B75" s="15"/>
      <c r="C75" s="4"/>
      <c r="D75" s="16">
        <f>B75/C106</f>
        <v>0</v>
      </c>
      <c r="E75" s="2"/>
      <c r="F75" s="2"/>
      <c r="G75" s="2"/>
      <c r="H75" s="2"/>
      <c r="I75" s="2"/>
      <c r="J75" s="2"/>
    </row>
    <row r="76" spans="1:10" ht="18.75" customHeight="1" x14ac:dyDescent="0.35">
      <c r="A76" s="14" t="s">
        <v>50</v>
      </c>
      <c r="B76" s="15"/>
      <c r="C76" s="4"/>
      <c r="D76" s="16">
        <f>B76/C106</f>
        <v>0</v>
      </c>
      <c r="E76" s="2"/>
      <c r="F76" s="2"/>
      <c r="G76" s="2"/>
      <c r="H76" s="2"/>
      <c r="I76" s="2"/>
      <c r="J76" s="2"/>
    </row>
    <row r="77" spans="1:10" ht="18.75" customHeight="1" x14ac:dyDescent="0.35">
      <c r="A77" s="14" t="s">
        <v>9</v>
      </c>
      <c r="B77" s="15"/>
      <c r="C77" s="4"/>
      <c r="D77" s="16">
        <f>B77/C106</f>
        <v>0</v>
      </c>
      <c r="E77" s="2"/>
      <c r="F77" s="2"/>
      <c r="G77" s="2"/>
      <c r="H77" s="2"/>
      <c r="I77" s="2"/>
      <c r="J77" s="2"/>
    </row>
    <row r="78" spans="1:10" ht="18.75" customHeight="1" x14ac:dyDescent="0.35">
      <c r="A78" s="10" t="s">
        <v>51</v>
      </c>
      <c r="B78" s="13"/>
      <c r="C78" s="11">
        <f>SUM(B79:B86)</f>
        <v>150</v>
      </c>
      <c r="D78" s="12">
        <f>C78/C106</f>
        <v>3.3333333333333333E-2</v>
      </c>
      <c r="E78" s="2"/>
      <c r="F78" s="2"/>
      <c r="G78" s="2"/>
      <c r="H78" s="2"/>
      <c r="I78" s="2"/>
      <c r="J78" s="2"/>
    </row>
    <row r="79" spans="1:10" ht="18.75" customHeight="1" x14ac:dyDescent="0.35">
      <c r="A79" s="14" t="s">
        <v>52</v>
      </c>
      <c r="B79" s="15"/>
      <c r="C79" s="4"/>
      <c r="D79" s="16">
        <f>B79/C106</f>
        <v>0</v>
      </c>
      <c r="E79" s="2"/>
      <c r="F79" s="2"/>
      <c r="G79" s="2"/>
      <c r="H79" s="2"/>
      <c r="I79" s="2"/>
      <c r="J79" s="2"/>
    </row>
    <row r="80" spans="1:10" ht="18.75" customHeight="1" x14ac:dyDescent="0.35">
      <c r="A80" s="14" t="s">
        <v>53</v>
      </c>
      <c r="B80" s="15"/>
      <c r="C80" s="4"/>
      <c r="D80" s="16">
        <f>B80/C106</f>
        <v>0</v>
      </c>
      <c r="E80" s="2"/>
      <c r="F80" s="2"/>
      <c r="G80" s="2"/>
      <c r="H80" s="2"/>
      <c r="I80" s="2"/>
      <c r="J80" s="2"/>
    </row>
    <row r="81" spans="1:10" ht="18.75" customHeight="1" x14ac:dyDescent="0.35">
      <c r="A81" s="14" t="s">
        <v>54</v>
      </c>
      <c r="B81" s="15">
        <v>150</v>
      </c>
      <c r="C81" s="4"/>
      <c r="D81" s="16">
        <f>B81/C106</f>
        <v>3.3333333333333333E-2</v>
      </c>
      <c r="E81" s="2"/>
      <c r="F81" s="2"/>
      <c r="G81" s="2"/>
      <c r="H81" s="2"/>
      <c r="I81" s="2"/>
      <c r="J81" s="2"/>
    </row>
    <row r="82" spans="1:10" ht="18.75" customHeight="1" x14ac:dyDescent="0.35">
      <c r="A82" s="14" t="s">
        <v>55</v>
      </c>
      <c r="B82" s="15"/>
      <c r="C82" s="4"/>
      <c r="D82" s="16">
        <f>B82/C106</f>
        <v>0</v>
      </c>
      <c r="E82" s="2"/>
      <c r="F82" s="2"/>
      <c r="G82" s="2"/>
      <c r="H82" s="2"/>
      <c r="I82" s="2"/>
      <c r="J82" s="2"/>
    </row>
    <row r="83" spans="1:10" ht="18.75" customHeight="1" x14ac:dyDescent="0.35">
      <c r="A83" s="14" t="s">
        <v>112</v>
      </c>
      <c r="B83" s="15"/>
      <c r="C83" s="4"/>
      <c r="D83" s="16">
        <f>B83/C106</f>
        <v>0</v>
      </c>
      <c r="E83" s="2"/>
      <c r="F83" s="2"/>
      <c r="G83" s="2"/>
      <c r="H83" s="2"/>
      <c r="I83" s="2"/>
      <c r="J83" s="2"/>
    </row>
    <row r="84" spans="1:10" ht="18.75" customHeight="1" x14ac:dyDescent="0.35">
      <c r="A84" s="14" t="s">
        <v>56</v>
      </c>
      <c r="B84" s="15"/>
      <c r="C84" s="4"/>
      <c r="D84" s="16">
        <f>B84/C106</f>
        <v>0</v>
      </c>
      <c r="E84" s="2"/>
      <c r="F84" s="2"/>
      <c r="G84" s="2"/>
      <c r="H84" s="2"/>
      <c r="I84" s="2"/>
      <c r="J84" s="2"/>
    </row>
    <row r="85" spans="1:10" ht="18.75" customHeight="1" x14ac:dyDescent="0.35">
      <c r="A85" s="14" t="s">
        <v>57</v>
      </c>
      <c r="B85" s="15"/>
      <c r="C85" s="4"/>
      <c r="D85" s="16">
        <f>B85/C106</f>
        <v>0</v>
      </c>
      <c r="E85" s="2"/>
      <c r="F85" s="2"/>
      <c r="G85" s="2"/>
      <c r="H85" s="2"/>
      <c r="I85" s="2"/>
      <c r="J85" s="2"/>
    </row>
    <row r="86" spans="1:10" ht="18.75" customHeight="1" x14ac:dyDescent="0.35">
      <c r="A86" s="14" t="s">
        <v>111</v>
      </c>
      <c r="B86" s="15"/>
      <c r="C86" s="4"/>
      <c r="D86" s="16">
        <f>B86/C106</f>
        <v>0</v>
      </c>
      <c r="E86" s="2"/>
      <c r="F86" s="2"/>
      <c r="G86" s="2"/>
      <c r="H86" s="2"/>
      <c r="I86" s="2"/>
      <c r="J86" s="2"/>
    </row>
    <row r="87" spans="1:10" ht="18.75" customHeight="1" x14ac:dyDescent="0.35">
      <c r="A87" s="10" t="s">
        <v>58</v>
      </c>
      <c r="B87" s="13"/>
      <c r="C87" s="11">
        <f>SUM(B88:B92)</f>
        <v>0</v>
      </c>
      <c r="D87" s="12">
        <f>C87/C106</f>
        <v>0</v>
      </c>
      <c r="E87" s="2"/>
      <c r="F87" s="2"/>
      <c r="G87" s="2"/>
      <c r="H87" s="2"/>
      <c r="I87" s="2"/>
      <c r="J87" s="2"/>
    </row>
    <row r="88" spans="1:10" ht="18.75" customHeight="1" x14ac:dyDescent="0.35">
      <c r="A88" s="14" t="s">
        <v>38</v>
      </c>
      <c r="B88" s="15"/>
      <c r="C88" s="4"/>
      <c r="D88" s="16">
        <f>B88/C106</f>
        <v>0</v>
      </c>
      <c r="E88" s="2"/>
      <c r="F88" s="2"/>
      <c r="G88" s="2"/>
      <c r="H88" s="2"/>
      <c r="I88" s="2"/>
      <c r="J88" s="2"/>
    </row>
    <row r="89" spans="1:10" ht="18.75" customHeight="1" x14ac:dyDescent="0.35">
      <c r="A89" s="14" t="s">
        <v>105</v>
      </c>
      <c r="B89" s="15"/>
      <c r="C89" s="4"/>
      <c r="D89" s="16">
        <f>B89/C106</f>
        <v>0</v>
      </c>
      <c r="E89" s="2"/>
      <c r="F89" s="2"/>
      <c r="G89" s="2"/>
      <c r="H89" s="2"/>
      <c r="I89" s="2"/>
      <c r="J89" s="2"/>
    </row>
    <row r="90" spans="1:10" ht="18.75" customHeight="1" x14ac:dyDescent="0.35">
      <c r="A90" s="14" t="s">
        <v>59</v>
      </c>
      <c r="B90" s="15"/>
      <c r="C90" s="4"/>
      <c r="D90" s="16">
        <f>B90/C106</f>
        <v>0</v>
      </c>
      <c r="E90" s="2"/>
      <c r="F90" s="2"/>
      <c r="G90" s="2"/>
      <c r="H90" s="2"/>
      <c r="I90" s="2"/>
      <c r="J90" s="2"/>
    </row>
    <row r="91" spans="1:10" ht="18.75" customHeight="1" x14ac:dyDescent="0.35">
      <c r="A91" s="14" t="s">
        <v>106</v>
      </c>
      <c r="B91" s="15"/>
      <c r="C91" s="4"/>
      <c r="D91" s="16">
        <f>B91/C106</f>
        <v>0</v>
      </c>
      <c r="E91" s="2"/>
      <c r="F91" s="2"/>
      <c r="G91" s="2"/>
      <c r="H91" s="2"/>
      <c r="I91" s="2"/>
      <c r="J91" s="2"/>
    </row>
    <row r="92" spans="1:10" ht="18.75" customHeight="1" x14ac:dyDescent="0.35">
      <c r="A92" s="14" t="s">
        <v>58</v>
      </c>
      <c r="B92" s="15"/>
      <c r="C92" s="4"/>
      <c r="D92" s="16">
        <f>B92/C106</f>
        <v>0</v>
      </c>
      <c r="E92" s="2"/>
      <c r="F92" s="2"/>
      <c r="G92" s="2"/>
      <c r="H92" s="2"/>
      <c r="I92" s="2"/>
      <c r="J92" s="2"/>
    </row>
    <row r="93" spans="1:10" ht="18.75" customHeight="1" x14ac:dyDescent="0.35">
      <c r="A93" s="10" t="s">
        <v>60</v>
      </c>
      <c r="B93" s="13"/>
      <c r="C93" s="11">
        <f>SUM(B94:B101)</f>
        <v>200</v>
      </c>
      <c r="D93" s="12">
        <f>C93/C106</f>
        <v>4.4444444444444446E-2</v>
      </c>
      <c r="E93" s="2"/>
      <c r="F93" s="2"/>
      <c r="G93" s="2"/>
      <c r="H93" s="2"/>
      <c r="I93" s="2"/>
      <c r="J93" s="2"/>
    </row>
    <row r="94" spans="1:10" ht="18.75" customHeight="1" x14ac:dyDescent="0.35">
      <c r="A94" s="14" t="s">
        <v>61</v>
      </c>
      <c r="B94" s="15">
        <v>200</v>
      </c>
      <c r="C94" s="4"/>
      <c r="D94" s="16">
        <f>B94/C106</f>
        <v>4.4444444444444446E-2</v>
      </c>
      <c r="E94" s="2"/>
      <c r="F94" s="2"/>
      <c r="G94" s="2"/>
      <c r="H94" s="2"/>
      <c r="I94" s="2"/>
      <c r="J94" s="2"/>
    </row>
    <row r="95" spans="1:10" ht="18.75" customHeight="1" x14ac:dyDescent="0.35">
      <c r="A95" s="14" t="s">
        <v>62</v>
      </c>
      <c r="B95" s="15"/>
      <c r="C95" s="4"/>
      <c r="D95" s="16">
        <f>B95/C106</f>
        <v>0</v>
      </c>
      <c r="E95" s="2"/>
      <c r="F95" s="2"/>
      <c r="G95" s="2"/>
      <c r="H95" s="2"/>
      <c r="I95" s="2"/>
      <c r="J95" s="2"/>
    </row>
    <row r="96" spans="1:10" ht="18.75" customHeight="1" x14ac:dyDescent="0.35">
      <c r="A96" s="14" t="s">
        <v>63</v>
      </c>
      <c r="B96" s="15"/>
      <c r="C96" s="4"/>
      <c r="D96" s="16">
        <f>B96/C106</f>
        <v>0</v>
      </c>
      <c r="E96" s="2"/>
      <c r="F96" s="2"/>
      <c r="G96" s="2"/>
      <c r="H96" s="2"/>
      <c r="I96" s="2"/>
      <c r="J96" s="2"/>
    </row>
    <row r="97" spans="1:10" ht="18.75" customHeight="1" x14ac:dyDescent="0.35">
      <c r="A97" s="14" t="s">
        <v>64</v>
      </c>
      <c r="B97" s="15"/>
      <c r="C97" s="4"/>
      <c r="D97" s="16">
        <f>B97/C106</f>
        <v>0</v>
      </c>
      <c r="E97" s="2"/>
      <c r="F97" s="2"/>
      <c r="G97" s="2"/>
      <c r="H97" s="2"/>
      <c r="I97" s="2"/>
      <c r="J97" s="2"/>
    </row>
    <row r="98" spans="1:10" ht="18.75" customHeight="1" x14ac:dyDescent="0.35">
      <c r="A98" s="14" t="s">
        <v>65</v>
      </c>
      <c r="B98" s="15"/>
      <c r="C98" s="4"/>
      <c r="D98" s="16">
        <f>B98/C106</f>
        <v>0</v>
      </c>
      <c r="E98" s="2"/>
      <c r="F98" s="2"/>
      <c r="G98" s="2"/>
      <c r="H98" s="2"/>
      <c r="I98" s="2"/>
      <c r="J98" s="2"/>
    </row>
    <row r="99" spans="1:10" ht="18.75" customHeight="1" x14ac:dyDescent="0.35">
      <c r="A99" s="14" t="s">
        <v>66</v>
      </c>
      <c r="B99" s="15"/>
      <c r="C99" s="4"/>
      <c r="D99" s="16">
        <f>B99/C106</f>
        <v>0</v>
      </c>
      <c r="E99" s="2"/>
      <c r="F99" s="2"/>
      <c r="G99" s="2"/>
      <c r="H99" s="2"/>
      <c r="I99" s="2"/>
      <c r="J99" s="2"/>
    </row>
    <row r="100" spans="1:10" ht="18.75" customHeight="1" x14ac:dyDescent="0.35">
      <c r="A100" s="14" t="s">
        <v>67</v>
      </c>
      <c r="B100" s="15"/>
      <c r="C100" s="4"/>
      <c r="D100" s="16">
        <f>B100/C106</f>
        <v>0</v>
      </c>
      <c r="E100" s="2"/>
      <c r="F100" s="2"/>
      <c r="G100" s="2"/>
      <c r="H100" s="2"/>
      <c r="I100" s="2"/>
      <c r="J100" s="2"/>
    </row>
    <row r="101" spans="1:10" ht="18.75" customHeight="1" x14ac:dyDescent="0.35">
      <c r="A101" s="14" t="s">
        <v>68</v>
      </c>
      <c r="B101" s="15"/>
      <c r="C101" s="4"/>
      <c r="D101" s="16">
        <f>B101/C106</f>
        <v>0</v>
      </c>
      <c r="E101" s="2"/>
      <c r="F101" s="2"/>
      <c r="G101" s="2"/>
      <c r="H101" s="2"/>
      <c r="I101" s="2"/>
      <c r="J101" s="2"/>
    </row>
    <row r="102" spans="1:10" ht="18.75" customHeight="1" x14ac:dyDescent="0.35">
      <c r="A102" s="10" t="s">
        <v>69</v>
      </c>
      <c r="B102" s="13"/>
      <c r="C102" s="11">
        <f>SUM(C6,C12,C18,C26,C32,C43,C57,C58,C64,C69,C78,C87,C93)</f>
        <v>1820</v>
      </c>
      <c r="D102" s="12">
        <f>C102/C106</f>
        <v>0.40444444444444444</v>
      </c>
      <c r="E102" s="2"/>
      <c r="F102" s="2"/>
      <c r="G102" s="2"/>
      <c r="H102" s="2"/>
      <c r="I102" s="2"/>
      <c r="J102" s="2"/>
    </row>
    <row r="103" spans="1:10" ht="18.75" customHeight="1" x14ac:dyDescent="0.35">
      <c r="A103" s="18" t="s">
        <v>70</v>
      </c>
      <c r="B103" s="19">
        <v>4000</v>
      </c>
      <c r="C103" s="5"/>
      <c r="D103" s="16">
        <f>B103/C106</f>
        <v>0.88888888888888884</v>
      </c>
      <c r="E103" s="2"/>
      <c r="F103" s="2"/>
      <c r="G103" s="2"/>
      <c r="H103" s="2"/>
      <c r="I103" s="2"/>
      <c r="J103" s="2"/>
    </row>
    <row r="104" spans="1:10" ht="18.75" customHeight="1" x14ac:dyDescent="0.35">
      <c r="A104" s="18" t="s">
        <v>71</v>
      </c>
      <c r="B104" s="19"/>
      <c r="C104" s="5"/>
      <c r="D104" s="16">
        <f>B104/C106</f>
        <v>0</v>
      </c>
      <c r="E104" s="2"/>
      <c r="F104" s="2"/>
      <c r="G104" s="2"/>
      <c r="H104" s="2"/>
      <c r="I104" s="2"/>
      <c r="J104" s="2"/>
    </row>
    <row r="105" spans="1:10" ht="18.75" customHeight="1" x14ac:dyDescent="0.35">
      <c r="A105" s="18" t="s">
        <v>72</v>
      </c>
      <c r="B105" s="19">
        <v>500</v>
      </c>
      <c r="C105" s="5"/>
      <c r="D105" s="16">
        <f>B105/C106</f>
        <v>0.1111111111111111</v>
      </c>
      <c r="E105" s="2"/>
      <c r="F105" s="2"/>
      <c r="G105" s="2"/>
      <c r="H105" s="2"/>
      <c r="I105" s="2"/>
      <c r="J105" s="2"/>
    </row>
    <row r="106" spans="1:10" ht="18.75" customHeight="1" x14ac:dyDescent="0.35">
      <c r="A106" s="10" t="s">
        <v>73</v>
      </c>
      <c r="B106" s="13"/>
      <c r="C106" s="11">
        <f>SUM(B103:B105)</f>
        <v>4500</v>
      </c>
      <c r="D106" s="6"/>
      <c r="E106" s="2"/>
      <c r="F106" s="2"/>
      <c r="G106" s="2"/>
      <c r="H106" s="2"/>
      <c r="I106" s="2"/>
      <c r="J106" s="2"/>
    </row>
    <row r="107" spans="1:10" ht="18.75" customHeight="1" x14ac:dyDescent="0.35">
      <c r="A107" s="10" t="s">
        <v>74</v>
      </c>
      <c r="B107" s="13"/>
      <c r="C107" s="11">
        <f>C106-C102</f>
        <v>2680</v>
      </c>
      <c r="D107" s="12">
        <f>C107/C106</f>
        <v>0.5955555555555555</v>
      </c>
      <c r="E107" s="2"/>
      <c r="F107" s="2"/>
      <c r="G107" s="2"/>
      <c r="H107" s="2"/>
      <c r="I107" s="2"/>
      <c r="J107" s="2"/>
    </row>
    <row r="108" spans="1:10" ht="18.75" customHeight="1" x14ac:dyDescent="0.2">
      <c r="A108" s="2"/>
      <c r="D108" s="2"/>
      <c r="E108" s="2"/>
      <c r="F108" s="2"/>
      <c r="G108" s="2"/>
      <c r="H108" s="2"/>
      <c r="I108" s="2"/>
      <c r="J108" s="2"/>
    </row>
    <row r="109" spans="1:10" ht="18.75" customHeight="1" x14ac:dyDescent="0.2">
      <c r="A109" s="2"/>
      <c r="D109" s="2"/>
      <c r="E109" s="2"/>
      <c r="F109" s="2"/>
      <c r="G109" s="2"/>
      <c r="H109" s="2"/>
      <c r="I109" s="2"/>
      <c r="J109" s="2"/>
    </row>
    <row r="110" spans="1:10" ht="18.75" customHeight="1" thickBot="1" x14ac:dyDescent="0.25">
      <c r="A110" s="2"/>
      <c r="D110" s="2"/>
      <c r="E110" s="2"/>
      <c r="F110" s="2"/>
      <c r="G110" s="2"/>
      <c r="H110" s="2"/>
      <c r="I110" s="2"/>
      <c r="J110" s="2"/>
    </row>
    <row r="111" spans="1:10" ht="18.75" customHeight="1" thickTop="1" thickBot="1" x14ac:dyDescent="0.4">
      <c r="A111" s="10" t="s">
        <v>75</v>
      </c>
      <c r="B111" s="13" t="s">
        <v>122</v>
      </c>
      <c r="C111" s="11" t="s">
        <v>123</v>
      </c>
      <c r="D111" s="2"/>
      <c r="E111" s="2"/>
      <c r="F111" s="2"/>
      <c r="G111" s="2"/>
      <c r="H111" s="2"/>
      <c r="I111" s="2"/>
      <c r="J111" s="2"/>
    </row>
    <row r="112" spans="1:10" ht="18.75" customHeight="1" thickTop="1" thickBot="1" x14ac:dyDescent="0.4">
      <c r="A112" s="14" t="s">
        <v>117</v>
      </c>
      <c r="B112" s="15">
        <v>4000</v>
      </c>
      <c r="C112" s="35"/>
      <c r="D112" s="2"/>
      <c r="E112" s="2"/>
      <c r="F112" s="2"/>
      <c r="G112" s="2"/>
      <c r="H112" s="2"/>
      <c r="I112" s="2"/>
      <c r="J112" s="2"/>
    </row>
    <row r="113" spans="1:10" ht="18.75" customHeight="1" thickTop="1" thickBot="1" x14ac:dyDescent="0.4">
      <c r="A113" s="14" t="s">
        <v>118</v>
      </c>
      <c r="B113" s="15"/>
      <c r="C113" s="35"/>
      <c r="D113" s="2"/>
      <c r="E113" s="2"/>
      <c r="F113" s="2"/>
      <c r="G113" s="2"/>
      <c r="H113" s="2"/>
      <c r="I113" s="2"/>
      <c r="J113" s="2"/>
    </row>
    <row r="114" spans="1:10" ht="18.75" customHeight="1" thickTop="1" thickBot="1" x14ac:dyDescent="0.4">
      <c r="A114" s="14" t="s">
        <v>119</v>
      </c>
      <c r="B114" s="15"/>
      <c r="C114" s="35"/>
      <c r="D114" s="2"/>
      <c r="E114" s="2"/>
      <c r="F114" s="2"/>
      <c r="G114" s="2"/>
      <c r="H114" s="2"/>
      <c r="I114" s="2"/>
      <c r="J114" s="2"/>
    </row>
    <row r="115" spans="1:10" ht="18.75" customHeight="1" thickTop="1" thickBot="1" x14ac:dyDescent="0.4">
      <c r="A115" s="14" t="s">
        <v>113</v>
      </c>
      <c r="B115" s="35"/>
      <c r="C115" s="15">
        <v>500</v>
      </c>
      <c r="D115" s="2"/>
      <c r="E115" s="2"/>
      <c r="F115" s="2"/>
      <c r="G115" s="2"/>
      <c r="H115" s="2"/>
      <c r="I115" s="2"/>
      <c r="J115" s="2"/>
    </row>
    <row r="116" spans="1:10" ht="18.75" customHeight="1" thickTop="1" thickBot="1" x14ac:dyDescent="0.4">
      <c r="A116" s="14" t="s">
        <v>114</v>
      </c>
      <c r="B116" s="35"/>
      <c r="C116" s="15"/>
      <c r="D116" s="2"/>
      <c r="E116" s="2"/>
      <c r="F116" s="2"/>
      <c r="G116" s="2"/>
      <c r="H116" s="2"/>
      <c r="I116" s="2"/>
      <c r="J116" s="2"/>
    </row>
    <row r="117" spans="1:10" ht="18.75" customHeight="1" thickTop="1" thickBot="1" x14ac:dyDescent="0.4">
      <c r="A117" s="14" t="s">
        <v>115</v>
      </c>
      <c r="B117" s="35"/>
      <c r="C117" s="15"/>
      <c r="D117" s="2"/>
      <c r="E117" s="2"/>
      <c r="F117" s="2"/>
      <c r="G117" s="2"/>
      <c r="H117" s="2"/>
      <c r="I117" s="2"/>
      <c r="J117" s="2"/>
    </row>
    <row r="118" spans="1:10" ht="15" customHeight="1" thickTop="1" thickBot="1" x14ac:dyDescent="0.4">
      <c r="A118" s="14" t="s">
        <v>116</v>
      </c>
      <c r="B118" s="35"/>
      <c r="C118" s="15"/>
    </row>
    <row r="119" spans="1:10" ht="15" customHeight="1" thickTop="1" thickBot="1" x14ac:dyDescent="0.4">
      <c r="A119" s="14" t="s">
        <v>9</v>
      </c>
      <c r="B119" s="35"/>
      <c r="C119" s="15"/>
    </row>
    <row r="120" spans="1:10" ht="15" customHeight="1" thickTop="1" thickBot="1" x14ac:dyDescent="0.4">
      <c r="A120" s="10" t="s">
        <v>120</v>
      </c>
      <c r="B120" s="11">
        <f>SUM(B112:B114)</f>
        <v>4000</v>
      </c>
      <c r="C120" s="11">
        <f>SUM(C115:C119)</f>
        <v>500</v>
      </c>
    </row>
    <row r="121" spans="1:10" ht="15" customHeight="1" thickTop="1" thickBot="1" x14ac:dyDescent="0.4">
      <c r="A121" s="18" t="s">
        <v>121</v>
      </c>
      <c r="C121" s="19">
        <f>SUM(C102-C120)</f>
        <v>1320</v>
      </c>
      <c r="D121" s="36">
        <f>C120/C102</f>
        <v>0.27472527472527475</v>
      </c>
    </row>
    <row r="122" spans="1:10" ht="15" customHeight="1" thickTop="1" thickBot="1" x14ac:dyDescent="0.4">
      <c r="A122" s="18" t="s">
        <v>125</v>
      </c>
      <c r="C122" s="19"/>
    </row>
    <row r="123" spans="1:10" ht="15" customHeight="1" thickTop="1" thickBot="1" x14ac:dyDescent="0.4">
      <c r="A123" s="10" t="s">
        <v>126</v>
      </c>
      <c r="B123" s="13"/>
      <c r="C123" s="34">
        <f>C122/C121</f>
        <v>0</v>
      </c>
    </row>
    <row r="124" spans="1:10" ht="15" customHeight="1" thickTop="1" x14ac:dyDescent="0.2"/>
  </sheetData>
  <mergeCells count="4">
    <mergeCell ref="A1:D2"/>
    <mergeCell ref="F5:K5"/>
    <mergeCell ref="F6:K6"/>
    <mergeCell ref="F7:K7"/>
  </mergeCells>
  <hyperlinks>
    <hyperlink ref="F5:K5" r:id="rId1" display="MÁS INFORMACIÓN: www.carlosdevis.com" xr:uid="{00000000-0004-0000-0000-000000000000}"/>
    <hyperlink ref="F7" r:id="rId2" xr:uid="{00000000-0004-0000-0000-000001000000}"/>
  </hyperlinks>
  <pageMargins left="0.7" right="0.7" top="0.75" bottom="0.75" header="0" footer="0"/>
  <pageSetup orientation="portrait" r:id="rId3"/>
  <headerFooter>
    <oddFooter>&amp;C&amp;"Helvetica,Regular"&amp;12&amp;K000000&amp;P</oddFooter>
  </headerFooter>
  <drawing r:id="rId4"/>
  <picture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56"/>
  <sheetViews>
    <sheetView showGridLines="0" zoomScale="115" zoomScaleNormal="115" workbookViewId="0">
      <pane ySplit="4" topLeftCell="A5" activePane="bottomLeft" state="frozen"/>
      <selection pane="bottomLeft" activeCell="E10" sqref="E10"/>
    </sheetView>
  </sheetViews>
  <sheetFormatPr baseColWidth="10" defaultColWidth="12.625" defaultRowHeight="15" customHeight="1" x14ac:dyDescent="0.2"/>
  <cols>
    <col min="1" max="1" width="38" style="2" customWidth="1"/>
    <col min="2" max="4" width="17.5" style="2" customWidth="1"/>
    <col min="5" max="5" width="9.375" style="2" customWidth="1"/>
    <col min="6" max="256" width="12.625" style="2" customWidth="1"/>
  </cols>
  <sheetData>
    <row r="1" spans="1:14" ht="22.5" customHeight="1" x14ac:dyDescent="0.2">
      <c r="A1" s="37"/>
      <c r="B1" s="37"/>
      <c r="C1" s="37"/>
      <c r="D1" s="37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22.5" customHeight="1" x14ac:dyDescent="0.2">
      <c r="A2" s="37"/>
      <c r="B2" s="37"/>
      <c r="C2" s="37"/>
      <c r="D2" s="37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5" customHeight="1" thickBot="1" x14ac:dyDescent="0.25"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21" customHeight="1" thickTop="1" thickBot="1" x14ac:dyDescent="0.4">
      <c r="A4" s="21" t="s">
        <v>75</v>
      </c>
      <c r="B4" s="22" t="s">
        <v>76</v>
      </c>
      <c r="C4" s="22" t="s">
        <v>77</v>
      </c>
      <c r="D4" s="22" t="s">
        <v>78</v>
      </c>
      <c r="E4" s="25"/>
      <c r="F4" s="38" t="s">
        <v>93</v>
      </c>
      <c r="G4" s="38"/>
      <c r="H4" s="38"/>
      <c r="I4" s="38"/>
      <c r="J4" s="31"/>
      <c r="K4" s="31"/>
      <c r="L4" s="25"/>
      <c r="M4" s="25"/>
      <c r="N4" s="25"/>
    </row>
    <row r="5" spans="1:14" ht="17.100000000000001" customHeight="1" thickTop="1" thickBot="1" x14ac:dyDescent="0.35">
      <c r="A5" s="27" t="s">
        <v>79</v>
      </c>
      <c r="B5" s="28">
        <v>100000</v>
      </c>
      <c r="C5" s="28">
        <v>45000</v>
      </c>
      <c r="D5" s="28">
        <f t="shared" ref="D5:D28" si="0">B5-C5</f>
        <v>55000</v>
      </c>
      <c r="E5" s="25"/>
      <c r="F5" s="39" t="s">
        <v>94</v>
      </c>
      <c r="G5" s="39"/>
      <c r="H5" s="39"/>
      <c r="I5" s="39"/>
      <c r="J5" s="32"/>
      <c r="K5" s="32"/>
      <c r="L5" s="25"/>
      <c r="M5" s="25"/>
      <c r="N5" s="25"/>
    </row>
    <row r="6" spans="1:14" ht="17.100000000000001" customHeight="1" thickTop="1" thickBot="1" x14ac:dyDescent="0.35">
      <c r="A6" s="29" t="s">
        <v>80</v>
      </c>
      <c r="B6" s="30"/>
      <c r="C6" s="30"/>
      <c r="D6" s="30">
        <f t="shared" si="0"/>
        <v>0</v>
      </c>
      <c r="E6" s="25"/>
      <c r="F6" s="41" t="s">
        <v>95</v>
      </c>
      <c r="G6" s="41"/>
      <c r="H6" s="41"/>
      <c r="I6" s="41"/>
      <c r="J6" s="33"/>
      <c r="K6" s="33"/>
      <c r="L6" s="25"/>
      <c r="M6" s="25"/>
      <c r="N6" s="25"/>
    </row>
    <row r="7" spans="1:14" ht="17.100000000000001" customHeight="1" thickTop="1" thickBot="1" x14ac:dyDescent="0.35">
      <c r="A7" s="27" t="s">
        <v>81</v>
      </c>
      <c r="B7" s="28"/>
      <c r="C7" s="28"/>
      <c r="D7" s="28">
        <f t="shared" si="0"/>
        <v>0</v>
      </c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7.100000000000001" customHeight="1" x14ac:dyDescent="0.3">
      <c r="A8" s="29" t="s">
        <v>82</v>
      </c>
      <c r="B8" s="30"/>
      <c r="C8" s="30"/>
      <c r="D8" s="30">
        <f t="shared" si="0"/>
        <v>0</v>
      </c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7.100000000000001" customHeight="1" x14ac:dyDescent="0.3">
      <c r="A9" s="27" t="s">
        <v>83</v>
      </c>
      <c r="B9" s="28"/>
      <c r="C9" s="28"/>
      <c r="D9" s="28">
        <f t="shared" si="0"/>
        <v>0</v>
      </c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7.100000000000001" customHeight="1" x14ac:dyDescent="0.3">
      <c r="A10" s="29" t="s">
        <v>84</v>
      </c>
      <c r="B10" s="30"/>
      <c r="C10" s="30"/>
      <c r="D10" s="30">
        <f t="shared" si="0"/>
        <v>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7.100000000000001" customHeight="1" x14ac:dyDescent="0.3">
      <c r="A11" s="27" t="s">
        <v>85</v>
      </c>
      <c r="B11" s="28"/>
      <c r="C11" s="28"/>
      <c r="D11" s="28">
        <f t="shared" si="0"/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7.100000000000001" customHeight="1" x14ac:dyDescent="0.3">
      <c r="A12" s="29" t="s">
        <v>86</v>
      </c>
      <c r="B12" s="30"/>
      <c r="C12" s="30"/>
      <c r="D12" s="30">
        <f t="shared" si="0"/>
        <v>0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7.100000000000001" customHeight="1" x14ac:dyDescent="0.3">
      <c r="A13" s="27" t="s">
        <v>87</v>
      </c>
      <c r="B13" s="28"/>
      <c r="C13" s="28"/>
      <c r="D13" s="28">
        <f t="shared" si="0"/>
        <v>0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7.100000000000001" customHeight="1" x14ac:dyDescent="0.3">
      <c r="A14" s="29" t="s">
        <v>88</v>
      </c>
      <c r="B14" s="30"/>
      <c r="C14" s="30"/>
      <c r="D14" s="30">
        <f t="shared" si="0"/>
        <v>0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7.100000000000001" customHeight="1" x14ac:dyDescent="0.3">
      <c r="A15" s="27" t="s">
        <v>89</v>
      </c>
      <c r="B15" s="28"/>
      <c r="C15" s="28"/>
      <c r="D15" s="28">
        <f t="shared" si="0"/>
        <v>0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7.100000000000001" customHeight="1" x14ac:dyDescent="0.3">
      <c r="A16" s="29" t="s">
        <v>90</v>
      </c>
      <c r="B16" s="30"/>
      <c r="C16" s="30"/>
      <c r="D16" s="30">
        <f t="shared" si="0"/>
        <v>0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1:14" ht="17.100000000000001" customHeight="1" x14ac:dyDescent="0.3">
      <c r="A17" s="27" t="s">
        <v>107</v>
      </c>
      <c r="B17" s="28"/>
      <c r="C17" s="28"/>
      <c r="D17" s="28">
        <f t="shared" si="0"/>
        <v>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1:14" ht="17.100000000000001" customHeight="1" x14ac:dyDescent="0.3">
      <c r="A18" s="29" t="s">
        <v>91</v>
      </c>
      <c r="B18" s="30"/>
      <c r="C18" s="30"/>
      <c r="D18" s="30">
        <f t="shared" si="0"/>
        <v>0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1:14" ht="17.100000000000001" customHeight="1" x14ac:dyDescent="0.3">
      <c r="A19" s="27" t="s">
        <v>61</v>
      </c>
      <c r="B19" s="28"/>
      <c r="C19" s="28">
        <v>5000</v>
      </c>
      <c r="D19" s="28">
        <f t="shared" si="0"/>
        <v>-5000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4" ht="17.100000000000001" customHeight="1" x14ac:dyDescent="0.3">
      <c r="A20" s="29" t="s">
        <v>62</v>
      </c>
      <c r="B20" s="30"/>
      <c r="C20" s="30"/>
      <c r="D20" s="30">
        <f t="shared" si="0"/>
        <v>0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1:14" ht="17.100000000000001" customHeight="1" x14ac:dyDescent="0.3">
      <c r="A21" s="27" t="s">
        <v>63</v>
      </c>
      <c r="B21" s="28"/>
      <c r="C21" s="28"/>
      <c r="D21" s="28">
        <f t="shared" si="0"/>
        <v>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4" ht="17.100000000000001" customHeight="1" x14ac:dyDescent="0.3">
      <c r="A22" s="29" t="s">
        <v>64</v>
      </c>
      <c r="B22" s="30"/>
      <c r="C22" s="30"/>
      <c r="D22" s="30">
        <f t="shared" si="0"/>
        <v>0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1:14" ht="15.75" customHeight="1" x14ac:dyDescent="0.3">
      <c r="A23" s="27" t="s">
        <v>65</v>
      </c>
      <c r="B23" s="28"/>
      <c r="C23" s="28"/>
      <c r="D23" s="28">
        <f t="shared" si="0"/>
        <v>0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1:14" ht="15.75" customHeight="1" x14ac:dyDescent="0.3">
      <c r="A24" s="29" t="s">
        <v>92</v>
      </c>
      <c r="B24" s="30"/>
      <c r="C24" s="30"/>
      <c r="D24" s="30">
        <f t="shared" si="0"/>
        <v>0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1:14" ht="15.75" customHeight="1" x14ac:dyDescent="0.3">
      <c r="A25" s="27" t="s">
        <v>9</v>
      </c>
      <c r="B25" s="28"/>
      <c r="C25" s="28"/>
      <c r="D25" s="28">
        <f t="shared" si="0"/>
        <v>0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1:14" ht="15.75" customHeight="1" x14ac:dyDescent="0.3">
      <c r="A26" s="29" t="s">
        <v>9</v>
      </c>
      <c r="B26" s="30"/>
      <c r="C26" s="30"/>
      <c r="D26" s="30">
        <f t="shared" si="0"/>
        <v>0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14" ht="15.75" customHeight="1" x14ac:dyDescent="0.3">
      <c r="A27" s="27" t="s">
        <v>9</v>
      </c>
      <c r="B27" s="28"/>
      <c r="C27" s="28"/>
      <c r="D27" s="28">
        <f t="shared" si="0"/>
        <v>0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1:14" ht="15.75" customHeight="1" x14ac:dyDescent="0.3">
      <c r="A28" s="23" t="s">
        <v>2</v>
      </c>
      <c r="B28" s="24">
        <f>SUM(B5:B27)</f>
        <v>100000</v>
      </c>
      <c r="C28" s="24">
        <f>SUM(C5:C27)</f>
        <v>50000</v>
      </c>
      <c r="D28" s="24">
        <f t="shared" si="0"/>
        <v>50000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1:14" ht="1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spans="1:14" ht="1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</row>
    <row r="31" spans="1:14" ht="1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spans="1:14" ht="1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ht="1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spans="1:14" ht="1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</row>
    <row r="35" spans="1:14" ht="1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spans="1:14" ht="1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spans="1:14" ht="1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14" ht="1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14" ht="15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14" ht="15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14" ht="1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ht="1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ht="1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spans="1:14" ht="1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spans="1:14" ht="1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spans="1:14" ht="1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spans="1:14" ht="1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spans="1:14" ht="1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spans="1:14" ht="1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spans="1:14" ht="1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spans="1:14" ht="1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spans="1:14" ht="1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</row>
    <row r="53" spans="1:14" ht="1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ht="1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</row>
    <row r="55" spans="1:14" ht="1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spans="1:14" ht="1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</row>
  </sheetData>
  <mergeCells count="4">
    <mergeCell ref="F6:I6"/>
    <mergeCell ref="A1:D2"/>
    <mergeCell ref="F4:I4"/>
    <mergeCell ref="F5:I5"/>
  </mergeCells>
  <hyperlinks>
    <hyperlink ref="F6" r:id="rId1" xr:uid="{00000000-0004-0000-0100-000000000000}"/>
  </hyperlinks>
  <pageMargins left="0.7" right="0.7" top="0.75" bottom="0.75" header="0" footer="0"/>
  <pageSetup orientation="landscape"/>
  <headerFooter>
    <oddFooter>&amp;C&amp;"Helvetica,Regular"&amp;12&amp;K000000&amp;P</oddFoot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 de Caja Mensual</vt:lpstr>
      <vt:lpstr>PATRIMONIO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2022-11-11T18:29:08Z</dcterms:created>
  <dcterms:modified xsi:type="dcterms:W3CDTF">2023-06-16T23:56:03Z</dcterms:modified>
</cp:coreProperties>
</file>