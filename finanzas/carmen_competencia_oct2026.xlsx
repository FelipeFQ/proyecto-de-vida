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enc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Precio publicado acordado con el abuelo (15 may 2026). Fuente: finanzas/comercializacion_inmuebles.md</t>
        </r>
      </text>
    </comment>
  </commentList>
</comments>
</file>

<file path=xl/sharedStrings.xml><?xml version="1.0" encoding="utf-8"?>
<sst xmlns="http://schemas.openxmlformats.org/spreadsheetml/2006/main" count="73" uniqueCount="70">
  <si>
    <t xml:space="preserve">Competencia — Carmen de Apicalá (conjunto Calle 1 # 11-10) · llamadas 9 oct 2026</t>
  </si>
  <si>
    <t xml:space="preserve">Cómo usar: llena solo las celdas amarillas. $/m² y la diferencia contra el nuestro se calculan solos. Fila verde = nuestro apartamento (referencia).</t>
  </si>
  <si>
    <t xml:space="preserve">#</t>
  </si>
  <si>
    <t xml:space="preserve">Fuente</t>
  </si>
  <si>
    <t xml:space="preserve">Teléfono</t>
  </si>
  <si>
    <t xml:space="preserve">Torre / piso</t>
  </si>
  <si>
    <t xml:space="preserve">m²</t>
  </si>
  <si>
    <t xml:space="preserve">Hab</t>
  </si>
  <si>
    <t xml:space="preserve">Baños</t>
  </si>
  <si>
    <t xml:space="preserve">Precio ($)</t>
  </si>
  <si>
    <t xml:space="preserve">$/m²</t>
  </si>
  <si>
    <t xml:space="preserve">vs nuestro $/m² (220M)</t>
  </si>
  <si>
    <t xml:space="preserve">Parqueadero</t>
  </si>
  <si>
    <t xml:space="preserve">Amoblado</t>
  </si>
  <si>
    <t xml:space="preserve">Tiempo en venta</t>
  </si>
  <si>
    <t xml:space="preserve">¿Negociable?</t>
  </si>
  <si>
    <t xml:space="preserve">¿Ofertas?</t>
  </si>
  <si>
    <t xml:space="preserve">Dueño / inmobiliaria</t>
  </si>
  <si>
    <t xml:space="preserve">Estado / remodelado</t>
  </si>
  <si>
    <t xml:space="preserve">Administración ($/mes)</t>
  </si>
  <si>
    <t xml:space="preserve">Estrato</t>
  </si>
  <si>
    <t xml:space="preserve">Predial ($/año)</t>
  </si>
  <si>
    <t xml:space="preserve">¿Acepta crédito?</t>
  </si>
  <si>
    <t xml:space="preserve">Notas</t>
  </si>
  <si>
    <t xml:space="preserve">Ref</t>
  </si>
  <si>
    <t xml:space="preserve">Nuestro (MetroCuadrado/FB)</t>
  </si>
  <si>
    <t xml:space="preserve">T1 / piso 4</t>
  </si>
  <si>
    <t xml:space="preserve">—</t>
  </si>
  <si>
    <t xml:space="preserve">Doble exclusivo</t>
  </si>
  <si>
    <t xml:space="preserve">Sí</t>
  </si>
  <si>
    <t xml:space="preserve">~5 meses (desde 15 may)</t>
  </si>
  <si>
    <t xml:space="preserve">Por definir</t>
  </si>
  <si>
    <t xml:space="preserve">No</t>
  </si>
  <si>
    <t xml:space="preserve">Dueño (abuelos)</t>
  </si>
  <si>
    <t xml:space="preserve">3 (mismo conjunto: Arenitas Riviera PH)</t>
  </si>
  <si>
    <t xml:space="preserve">Precio único $220M (decidido con el abuelo, viaje 8–10 oct). Predial ~$60k/año: conjunto sin desenglobar</t>
  </si>
  <si>
    <t xml:space="preserve">Letrero · Century 21 (ficha ID 149314)</t>
  </si>
  <si>
    <t xml:space="preserve">Beatriz Triviño · +57 302 702 3042</t>
  </si>
  <si>
    <t xml:space="preserve">T1 / piso 8 (apto 805)</t>
  </si>
  <si>
    <t xml:space="preserve">1 privado cubierto</t>
  </si>
  <si>
    <t xml:space="preserve">No amoblado, pero incluye 1 aire acondicionado</t>
  </si>
  <si>
    <t xml:space="preserve">≥138 días (última actualización ~24 may 2026, según la página de Century 21)</t>
  </si>
  <si>
    <t xml:space="preserve">Sí (dicho por la asesora)</t>
  </si>
  <si>
    <t xml:space="preserve">Inmobiliaria (Century 21)</t>
  </si>
  <si>
    <t xml:space="preserve">Excelente · construido 2020</t>
  </si>
  <si>
    <t xml:space="preserve">Arenitas Riviera PH, Etapa 1. Balcón con vista. Precio de inmobiliaria: incluye su comisión.</t>
  </si>
  <si>
    <t xml:space="preserve">Metrocuadrado</t>
  </si>
  <si>
    <t xml:space="preserve">Letrero</t>
  </si>
  <si>
    <t xml:space="preserve">Metrocuadrado MC6840778 (re-publicado a $220M)</t>
  </si>
  <si>
    <t xml:space="preserve">1 cubierto privado</t>
  </si>
  <si>
    <t xml:space="preserve">Ya rebajó $20M</t>
  </si>
  <si>
    <t xml:space="preserve">Bajó de $240M a $220M: nueva publicación más reciente del mismo apto (confirmado por Felipe 9 oct). Construidos 63,3 / privados 55,49 m²</t>
  </si>
  <si>
    <t xml:space="preserve">Metrocuadrado 2469-M6852417 (búsqueda web, sin verificar)</t>
  </si>
  <si>
    <t xml:space="preserve">Conjunto figura como 'La Riviera'. Global Real Estate SAS. Acepta permuta en el norte de Bogotá</t>
  </si>
  <si>
    <t xml:space="preserve">Metrocuadrado 23253-M6984946 — YA NO ESTÁ PUBLICADO</t>
  </si>
  <si>
    <t xml:space="preserve">piso 6</t>
  </si>
  <si>
    <t xml:space="preserve">2 asignados</t>
  </si>
  <si>
    <t xml:space="preserve">Pedía $250M (piso 6, esquinero, 2 parqueaderos, admin $308k). Retirado: ¿vendido o desistió? Desconocido</t>
  </si>
  <si>
    <t xml:space="preserve">Mitula / Keeperomega (búsqueda web, sin verificar)</t>
  </si>
  <si>
    <t xml:space="preserve">piso 5</t>
  </si>
  <si>
    <t xml:space="preserve">1</t>
  </si>
  <si>
    <t xml:space="preserve">Piso 5, construido 2022 (admin $150k parece dato dudoso)</t>
  </si>
  <si>
    <t xml:space="preserve">Resumen</t>
  </si>
  <si>
    <t xml:space="preserve">Promedio $/m² competencia</t>
  </si>
  <si>
    <t xml:space="preserve">Mínimo $/m²</t>
  </si>
  <si>
    <t xml:space="preserve">Máximo $/m²</t>
  </si>
  <si>
    <t xml:space="preserve">Nuestro $/m² a $220M</t>
  </si>
  <si>
    <t xml:space="preserve">Nuestro $/m² a $250M</t>
  </si>
  <si>
    <t xml:space="preserve">Supuesto: $250M = precio dicho por los abuelos (oct 2026), sin publicar.</t>
  </si>
  <si>
    <t xml:space="preserve">Precio nuestro al $/m² promedio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</si>
</sst>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;&quot;($&quot;#,##0\);\-"/>
    <numFmt numFmtId="167" formatCode="0.0%;\-0.0%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6"/>
    <col collapsed="false" customWidth="true" hidden="false" outlineLevel="0" max="7" min="7" style="1" width="7"/>
    <col collapsed="false" customWidth="true" hidden="false" outlineLevel="0" max="8" min="8" style="1" width="15"/>
    <col collapsed="false" customWidth="true" hidden="false" outlineLevel="0" max="10" min="9" style="1" width="13"/>
    <col collapsed="false" customWidth="true" hidden="false" outlineLevel="0" max="11" min="11" style="1" width="16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6" min="16" style="1" width="15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8"/>
    <col collapsed="false" customWidth="true" hidden="false" outlineLevel="0" max="20" min="20" style="1" width="14"/>
    <col collapsed="false" customWidth="true" hidden="false" outlineLevel="0" max="21" min="21" style="1" width="11"/>
    <col collapsed="false" customWidth="true" hidden="false" outlineLevel="0" max="22" min="22" style="1" width="3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</row>
    <row r="5" customFormat="false" ht="15" hidden="false" customHeight="true" outlineLevel="0" collapsed="false">
      <c r="A5" s="5" t="s">
        <v>24</v>
      </c>
      <c r="B5" s="5" t="s">
        <v>25</v>
      </c>
      <c r="C5" s="5"/>
      <c r="D5" s="5" t="s">
        <v>26</v>
      </c>
      <c r="E5" s="6" t="n">
        <v>62.14</v>
      </c>
      <c r="F5" s="5" t="n">
        <v>3</v>
      </c>
      <c r="G5" s="5" t="n">
        <v>2</v>
      </c>
      <c r="H5" s="7" t="n">
        <v>220000000</v>
      </c>
      <c r="I5" s="7" t="n">
        <f aca="false">IFERROR(H5/E5,"")</f>
        <v>3540392.66173157</v>
      </c>
      <c r="J5" s="8" t="s">
        <v>27</v>
      </c>
      <c r="K5" s="5" t="s">
        <v>28</v>
      </c>
      <c r="L5" s="5" t="s">
        <v>29</v>
      </c>
      <c r="M5" s="5" t="s">
        <v>30</v>
      </c>
      <c r="N5" s="5" t="s">
        <v>31</v>
      </c>
      <c r="O5" s="5" t="s">
        <v>32</v>
      </c>
      <c r="P5" s="5" t="s">
        <v>33</v>
      </c>
      <c r="Q5" s="5" t="s">
        <v>27</v>
      </c>
      <c r="R5" s="7" t="n">
        <v>275000</v>
      </c>
      <c r="S5" s="5" t="s">
        <v>34</v>
      </c>
      <c r="T5" s="7" t="n">
        <v>60000</v>
      </c>
      <c r="U5" s="5" t="s">
        <v>29</v>
      </c>
      <c r="V5" s="5" t="s">
        <v>35</v>
      </c>
    </row>
    <row r="6" customFormat="false" ht="15" hidden="false" customHeight="true" outlineLevel="0" collapsed="false">
      <c r="A6" s="9" t="n">
        <v>1</v>
      </c>
      <c r="B6" s="10" t="s">
        <v>36</v>
      </c>
      <c r="C6" s="10" t="s">
        <v>37</v>
      </c>
      <c r="D6" s="10" t="s">
        <v>38</v>
      </c>
      <c r="E6" s="11" t="n">
        <v>57</v>
      </c>
      <c r="F6" s="10" t="n">
        <v>3</v>
      </c>
      <c r="G6" s="10" t="n">
        <v>2</v>
      </c>
      <c r="H6" s="12" t="n">
        <v>200000000</v>
      </c>
      <c r="I6" s="13" t="n">
        <f aca="false">IFERROR(H6/E6,"")</f>
        <v>3508771.92982456</v>
      </c>
      <c r="J6" s="14" t="n">
        <f aca="false">IFERROR(I6/$I$5-1,"")</f>
        <v>-0.00893141945773524</v>
      </c>
      <c r="K6" s="10" t="s">
        <v>39</v>
      </c>
      <c r="L6" s="10" t="s">
        <v>40</v>
      </c>
      <c r="M6" s="10" t="s">
        <v>41</v>
      </c>
      <c r="N6" s="10" t="s">
        <v>42</v>
      </c>
      <c r="O6" s="10"/>
      <c r="P6" s="10" t="s">
        <v>43</v>
      </c>
      <c r="Q6" s="10" t="s">
        <v>44</v>
      </c>
      <c r="R6" s="12" t="n">
        <v>263000</v>
      </c>
      <c r="S6" s="10" t="n">
        <v>3</v>
      </c>
      <c r="T6" s="12"/>
      <c r="U6" s="10"/>
      <c r="V6" s="10" t="s">
        <v>45</v>
      </c>
    </row>
    <row r="7" customFormat="false" ht="15" hidden="false" customHeight="true" outlineLevel="0" collapsed="false">
      <c r="A7" s="9" t="n">
        <v>2</v>
      </c>
      <c r="B7" s="10" t="s">
        <v>46</v>
      </c>
      <c r="C7" s="10"/>
      <c r="D7" s="10"/>
      <c r="E7" s="11"/>
      <c r="F7" s="10"/>
      <c r="G7" s="10"/>
      <c r="H7" s="12"/>
      <c r="I7" s="13" t="str">
        <f aca="false">IFERROR(H7/E7,"")</f>
        <v/>
      </c>
      <c r="J7" s="14" t="str">
        <f aca="false">IFERROR(I7/$I$5-1,"")</f>
        <v/>
      </c>
      <c r="K7" s="10"/>
      <c r="L7" s="10"/>
      <c r="M7" s="10"/>
      <c r="N7" s="10"/>
      <c r="O7" s="10"/>
      <c r="P7" s="10"/>
      <c r="Q7" s="10"/>
      <c r="R7" s="12"/>
      <c r="S7" s="10"/>
      <c r="T7" s="12"/>
      <c r="U7" s="10"/>
      <c r="V7" s="10"/>
    </row>
    <row r="8" customFormat="false" ht="15" hidden="false" customHeight="true" outlineLevel="0" collapsed="false">
      <c r="A8" s="9" t="n">
        <v>3</v>
      </c>
      <c r="B8" s="10" t="s">
        <v>47</v>
      </c>
      <c r="C8" s="10"/>
      <c r="D8" s="10"/>
      <c r="E8" s="11"/>
      <c r="F8" s="10"/>
      <c r="G8" s="10"/>
      <c r="H8" s="12"/>
      <c r="I8" s="13" t="str">
        <f aca="false">IFERROR(H8/E8,"")</f>
        <v/>
      </c>
      <c r="J8" s="14" t="str">
        <f aca="false">IFERROR(I8/$I$5-1,"")</f>
        <v/>
      </c>
      <c r="K8" s="10"/>
      <c r="L8" s="10"/>
      <c r="M8" s="10"/>
      <c r="N8" s="10"/>
      <c r="O8" s="10"/>
      <c r="P8" s="10"/>
      <c r="Q8" s="10"/>
      <c r="R8" s="12"/>
      <c r="S8" s="10"/>
      <c r="T8" s="12"/>
      <c r="U8" s="10"/>
      <c r="V8" s="10"/>
    </row>
    <row r="9" customFormat="false" ht="15" hidden="false" customHeight="true" outlineLevel="0" collapsed="false">
      <c r="A9" s="9" t="n">
        <v>4</v>
      </c>
      <c r="B9" s="10" t="s">
        <v>47</v>
      </c>
      <c r="C9" s="10"/>
      <c r="D9" s="10"/>
      <c r="E9" s="11"/>
      <c r="F9" s="10"/>
      <c r="G9" s="10"/>
      <c r="H9" s="12"/>
      <c r="I9" s="13" t="str">
        <f aca="false">IFERROR(H9/E9,"")</f>
        <v/>
      </c>
      <c r="J9" s="14" t="str">
        <f aca="false">IFERROR(I9/$I$5-1,"")</f>
        <v/>
      </c>
      <c r="K9" s="10"/>
      <c r="L9" s="10"/>
      <c r="M9" s="10"/>
      <c r="N9" s="10"/>
      <c r="O9" s="10"/>
      <c r="P9" s="10"/>
      <c r="Q9" s="10"/>
      <c r="R9" s="12"/>
      <c r="S9" s="10"/>
      <c r="T9" s="12"/>
      <c r="U9" s="10"/>
      <c r="V9" s="10"/>
    </row>
    <row r="10" customFormat="false" ht="15" hidden="false" customHeight="true" outlineLevel="0" collapsed="false">
      <c r="A10" s="9" t="n">
        <v>5</v>
      </c>
      <c r="B10" s="10" t="s">
        <v>48</v>
      </c>
      <c r="C10" s="10"/>
      <c r="D10" s="10"/>
      <c r="E10" s="11" t="n">
        <v>63.3</v>
      </c>
      <c r="F10" s="10"/>
      <c r="G10" s="10"/>
      <c r="H10" s="12" t="n">
        <v>220000000</v>
      </c>
      <c r="I10" s="13" t="n">
        <f aca="false">IFERROR(H10/E10,"")</f>
        <v>3475513.42812006</v>
      </c>
      <c r="J10" s="14" t="n">
        <f aca="false">IFERROR(I10/$I$5-1,"")</f>
        <v>-0.0183254344391784</v>
      </c>
      <c r="K10" s="10" t="s">
        <v>49</v>
      </c>
      <c r="L10" s="10"/>
      <c r="M10" s="10"/>
      <c r="N10" s="10" t="s">
        <v>50</v>
      </c>
      <c r="O10" s="10"/>
      <c r="P10" s="10"/>
      <c r="Q10" s="10"/>
      <c r="R10" s="12"/>
      <c r="S10" s="10"/>
      <c r="T10" s="12"/>
      <c r="U10" s="10"/>
      <c r="V10" s="10" t="s">
        <v>51</v>
      </c>
    </row>
    <row r="11" customFormat="false" ht="15" hidden="false" customHeight="true" outlineLevel="0" collapsed="false">
      <c r="A11" s="9" t="n">
        <v>6</v>
      </c>
      <c r="B11" s="10" t="s">
        <v>52</v>
      </c>
      <c r="C11" s="10"/>
      <c r="D11" s="10"/>
      <c r="E11" s="11" t="n">
        <v>63</v>
      </c>
      <c r="F11" s="10"/>
      <c r="G11" s="10"/>
      <c r="H11" s="12" t="n">
        <v>240000000</v>
      </c>
      <c r="I11" s="13" t="n">
        <f aca="false">IFERROR(H11/E11,"")</f>
        <v>3809523.80952381</v>
      </c>
      <c r="J11" s="14" t="n">
        <f aca="false">IFERROR(I11/$I$5-1,"")</f>
        <v>0.0760173160173161</v>
      </c>
      <c r="K11" s="10"/>
      <c r="L11" s="10"/>
      <c r="M11" s="10"/>
      <c r="N11" s="10"/>
      <c r="O11" s="10"/>
      <c r="P11" s="10"/>
      <c r="Q11" s="10"/>
      <c r="R11" s="12" t="n">
        <v>300000</v>
      </c>
      <c r="S11" s="10"/>
      <c r="T11" s="12"/>
      <c r="U11" s="10"/>
      <c r="V11" s="10" t="s">
        <v>53</v>
      </c>
    </row>
    <row r="12" customFormat="false" ht="15" hidden="false" customHeight="true" outlineLevel="0" collapsed="false">
      <c r="A12" s="9" t="n">
        <v>7</v>
      </c>
      <c r="B12" s="10" t="s">
        <v>54</v>
      </c>
      <c r="C12" s="10"/>
      <c r="D12" s="10" t="s">
        <v>55</v>
      </c>
      <c r="E12" s="11" t="n">
        <v>63</v>
      </c>
      <c r="F12" s="10"/>
      <c r="G12" s="10"/>
      <c r="H12" s="12" t="n">
        <v>250000000</v>
      </c>
      <c r="I12" s="13" t="n">
        <f aca="false">IFERROR(H12/E12,"")</f>
        <v>3968253.96825397</v>
      </c>
      <c r="J12" s="14" t="n">
        <f aca="false">IFERROR(I12/$I$5-1,"")</f>
        <v>0.120851370851371</v>
      </c>
      <c r="K12" s="10" t="s">
        <v>56</v>
      </c>
      <c r="L12" s="10"/>
      <c r="M12" s="10"/>
      <c r="N12" s="10"/>
      <c r="O12" s="10"/>
      <c r="P12" s="10"/>
      <c r="Q12" s="10"/>
      <c r="R12" s="12" t="n">
        <v>308000</v>
      </c>
      <c r="S12" s="10"/>
      <c r="T12" s="12"/>
      <c r="U12" s="10"/>
      <c r="V12" s="10" t="s">
        <v>57</v>
      </c>
    </row>
    <row r="13" customFormat="false" ht="15" hidden="false" customHeight="true" outlineLevel="0" collapsed="false">
      <c r="A13" s="9" t="n">
        <v>8</v>
      </c>
      <c r="B13" s="10" t="s">
        <v>58</v>
      </c>
      <c r="C13" s="10"/>
      <c r="D13" s="10" t="s">
        <v>59</v>
      </c>
      <c r="E13" s="11" t="n">
        <v>63</v>
      </c>
      <c r="F13" s="10"/>
      <c r="G13" s="10"/>
      <c r="H13" s="12" t="n">
        <v>230000000</v>
      </c>
      <c r="I13" s="13" t="n">
        <f aca="false">IFERROR(H13/E13,"")</f>
        <v>3650793.65079365</v>
      </c>
      <c r="J13" s="14" t="n">
        <f aca="false">IFERROR(I13/$I$5-1,"")</f>
        <v>0.0311832611832612</v>
      </c>
      <c r="K13" s="10" t="s">
        <v>60</v>
      </c>
      <c r="L13" s="10"/>
      <c r="M13" s="10"/>
      <c r="N13" s="10"/>
      <c r="O13" s="10"/>
      <c r="P13" s="10"/>
      <c r="Q13" s="10"/>
      <c r="R13" s="12" t="n">
        <v>150000</v>
      </c>
      <c r="S13" s="10"/>
      <c r="T13" s="12"/>
      <c r="U13" s="10"/>
      <c r="V13" s="10" t="s">
        <v>61</v>
      </c>
    </row>
    <row r="15" customFormat="false" ht="15" hidden="false" customHeight="true" outlineLevel="0" collapsed="false">
      <c r="A15" s="15" t="s">
        <v>62</v>
      </c>
    </row>
    <row r="16" customFormat="false" ht="15" hidden="false" customHeight="true" outlineLevel="0" collapsed="false">
      <c r="A16" s="16" t="s">
        <v>63</v>
      </c>
      <c r="B16" s="17" t="n">
        <f aca="false">IFERROR(AVERAGE(I6:I13),"")</f>
        <v>3682571.35730321</v>
      </c>
    </row>
    <row r="17" customFormat="false" ht="15" hidden="false" customHeight="true" outlineLevel="0" collapsed="false">
      <c r="A17" s="16" t="s">
        <v>64</v>
      </c>
      <c r="B17" s="17" t="n">
        <f aca="false">IFERROR(MIN(I6:I13),"")</f>
        <v>3475513.42812006</v>
      </c>
    </row>
    <row r="18" customFormat="false" ht="15" hidden="false" customHeight="true" outlineLevel="0" collapsed="false">
      <c r="A18" s="16" t="s">
        <v>65</v>
      </c>
      <c r="B18" s="17" t="n">
        <f aca="false">IFERROR(MAX(I6:I13),"")</f>
        <v>3968253.96825397</v>
      </c>
    </row>
    <row r="19" customFormat="false" ht="15" hidden="false" customHeight="true" outlineLevel="0" collapsed="false">
      <c r="A19" s="16" t="s">
        <v>66</v>
      </c>
      <c r="B19" s="17" t="n">
        <f aca="false">I5</f>
        <v>3540392.66173157</v>
      </c>
    </row>
    <row r="20" customFormat="false" ht="15" hidden="false" customHeight="true" outlineLevel="0" collapsed="false">
      <c r="A20" s="16" t="s">
        <v>67</v>
      </c>
      <c r="B20" s="17" t="n">
        <f aca="false">IFERROR(250000000/E5,"")</f>
        <v>4023173.47924043</v>
      </c>
      <c r="C20" s="3" t="s">
        <v>68</v>
      </c>
    </row>
    <row r="21" customFormat="false" ht="15" hidden="false" customHeight="true" outlineLevel="0" collapsed="false">
      <c r="A21" s="16" t="s">
        <v>69</v>
      </c>
      <c r="B21" s="17" t="n">
        <f aca="false">IFERROR(B16*E5,"")</f>
        <v>228834984.142822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2026-10-09T16:43:41Z</dcterms:created>
  <dc:creator>openpyxl</dc:creator>
  <dc:description/>
  <dc:language>en-US</dc:language>
  <cp:lastModifiedBy/>
  <dcterms:modified xsi:type="dcterms:W3CDTF">2026-10-13T00:42:58Z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